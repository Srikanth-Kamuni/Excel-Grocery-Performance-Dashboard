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roject_1\"/>
    </mc:Choice>
  </mc:AlternateContent>
  <xr:revisionPtr revIDLastSave="0" documentId="13_ncr:1_{DCCFFD61-20BC-4E27-9891-BC27EEC75036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Dashboard" sheetId="1" r:id="rId1"/>
    <sheet name="Analysis" sheetId="2" r:id="rId2"/>
    <sheet name="Customers" sheetId="3" r:id="rId3"/>
    <sheet name="Settings" sheetId="4" r:id="rId4"/>
    <sheet name="Clean" sheetId="5" r:id="rId5"/>
    <sheet name="Raw" sheetId="6" r:id="rId6"/>
    <sheet name="Audit" sheetId="7" r:id="rId7"/>
  </sheets>
  <definedNames>
    <definedName name="CategoryOptions">Settings!$F$2:INDEX(Settings!$F$2:$F$902,Settings!$I$3+1)</definedName>
    <definedName name="ZoneOptions">Settings!$D$2:INDEX(Settings!$D$2:$D$902,Settings!$I$2+1)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7" l="1"/>
  <c r="B3" i="7"/>
  <c r="B2" i="7"/>
  <c r="AG901" i="5"/>
  <c r="AD901" i="5"/>
  <c r="AC901" i="5"/>
  <c r="AB901" i="5"/>
  <c r="AA901" i="5"/>
  <c r="X901" i="5"/>
  <c r="W901" i="5"/>
  <c r="V901" i="5"/>
  <c r="U901" i="5"/>
  <c r="T901" i="5"/>
  <c r="S901" i="5"/>
  <c r="R901" i="5"/>
  <c r="P901" i="5"/>
  <c r="Q901" i="5" s="1"/>
  <c r="AG900" i="5"/>
  <c r="AD900" i="5"/>
  <c r="AC900" i="5"/>
  <c r="AB900" i="5"/>
  <c r="AA900" i="5"/>
  <c r="X900" i="5"/>
  <c r="W900" i="5"/>
  <c r="V900" i="5"/>
  <c r="U900" i="5"/>
  <c r="T900" i="5"/>
  <c r="S900" i="5"/>
  <c r="P900" i="5"/>
  <c r="AG899" i="5"/>
  <c r="AD899" i="5"/>
  <c r="AC899" i="5"/>
  <c r="AB899" i="5"/>
  <c r="AA899" i="5"/>
  <c r="X899" i="5"/>
  <c r="W899" i="5"/>
  <c r="V899" i="5"/>
  <c r="U899" i="5"/>
  <c r="T899" i="5"/>
  <c r="S899" i="5"/>
  <c r="P899" i="5"/>
  <c r="AG898" i="5"/>
  <c r="AD898" i="5"/>
  <c r="AC898" i="5"/>
  <c r="AB898" i="5"/>
  <c r="AA898" i="5"/>
  <c r="X898" i="5"/>
  <c r="W898" i="5"/>
  <c r="V898" i="5"/>
  <c r="U898" i="5"/>
  <c r="T898" i="5"/>
  <c r="S898" i="5"/>
  <c r="P898" i="5"/>
  <c r="Q898" i="5" s="1"/>
  <c r="AG897" i="5"/>
  <c r="AD897" i="5"/>
  <c r="AC897" i="5"/>
  <c r="AB897" i="5"/>
  <c r="AA897" i="5"/>
  <c r="X897" i="5"/>
  <c r="W897" i="5"/>
  <c r="V897" i="5"/>
  <c r="U897" i="5"/>
  <c r="T897" i="5"/>
  <c r="S897" i="5"/>
  <c r="P897" i="5"/>
  <c r="AG896" i="5"/>
  <c r="AD896" i="5"/>
  <c r="AC896" i="5"/>
  <c r="AB896" i="5"/>
  <c r="AA896" i="5"/>
  <c r="X896" i="5"/>
  <c r="W896" i="5"/>
  <c r="V896" i="5"/>
  <c r="U896" i="5"/>
  <c r="T896" i="5"/>
  <c r="S896" i="5"/>
  <c r="P896" i="5"/>
  <c r="Q896" i="5" s="1"/>
  <c r="R896" i="5" s="1"/>
  <c r="AG895" i="5"/>
  <c r="AD895" i="5"/>
  <c r="AC895" i="5"/>
  <c r="AB895" i="5"/>
  <c r="AA895" i="5"/>
  <c r="X895" i="5"/>
  <c r="W895" i="5"/>
  <c r="V895" i="5"/>
  <c r="U895" i="5"/>
  <c r="T895" i="5"/>
  <c r="S895" i="5"/>
  <c r="P895" i="5"/>
  <c r="AG894" i="5"/>
  <c r="AD894" i="5"/>
  <c r="AC894" i="5"/>
  <c r="AB894" i="5"/>
  <c r="AA894" i="5"/>
  <c r="X894" i="5"/>
  <c r="W894" i="5"/>
  <c r="V894" i="5"/>
  <c r="U894" i="5"/>
  <c r="T894" i="5"/>
  <c r="S894" i="5"/>
  <c r="P894" i="5"/>
  <c r="Q894" i="5" s="1"/>
  <c r="R894" i="5" s="1"/>
  <c r="AG893" i="5"/>
  <c r="AD893" i="5"/>
  <c r="AC893" i="5"/>
  <c r="AB893" i="5"/>
  <c r="AA893" i="5"/>
  <c r="X893" i="5"/>
  <c r="W893" i="5"/>
  <c r="V893" i="5"/>
  <c r="U893" i="5"/>
  <c r="T893" i="5"/>
  <c r="S893" i="5"/>
  <c r="R893" i="5"/>
  <c r="P893" i="5"/>
  <c r="Q893" i="5" s="1"/>
  <c r="AG892" i="5"/>
  <c r="AD892" i="5"/>
  <c r="AC892" i="5"/>
  <c r="AB892" i="5"/>
  <c r="AA892" i="5"/>
  <c r="X892" i="5"/>
  <c r="W892" i="5"/>
  <c r="V892" i="5"/>
  <c r="U892" i="5"/>
  <c r="T892" i="5"/>
  <c r="S892" i="5"/>
  <c r="P892" i="5"/>
  <c r="Q892" i="5" s="1"/>
  <c r="R892" i="5" s="1"/>
  <c r="AG891" i="5"/>
  <c r="AD891" i="5"/>
  <c r="AC891" i="5"/>
  <c r="AB891" i="5"/>
  <c r="AA891" i="5"/>
  <c r="X891" i="5"/>
  <c r="W891" i="5"/>
  <c r="V891" i="5"/>
  <c r="U891" i="5"/>
  <c r="T891" i="5"/>
  <c r="S891" i="5"/>
  <c r="P891" i="5"/>
  <c r="AG890" i="5"/>
  <c r="AD890" i="5"/>
  <c r="AC890" i="5"/>
  <c r="AB890" i="5"/>
  <c r="AA890" i="5"/>
  <c r="X890" i="5"/>
  <c r="W890" i="5"/>
  <c r="V890" i="5"/>
  <c r="U890" i="5"/>
  <c r="T890" i="5"/>
  <c r="S890" i="5"/>
  <c r="P890" i="5"/>
  <c r="Q890" i="5" s="1"/>
  <c r="R890" i="5" s="1"/>
  <c r="AG889" i="5"/>
  <c r="AD889" i="5"/>
  <c r="AC889" i="5"/>
  <c r="AB889" i="5"/>
  <c r="AA889" i="5"/>
  <c r="X889" i="5"/>
  <c r="W889" i="5"/>
  <c r="V889" i="5"/>
  <c r="U889" i="5"/>
  <c r="T889" i="5"/>
  <c r="S889" i="5"/>
  <c r="P889" i="5"/>
  <c r="AG888" i="5"/>
  <c r="AD888" i="5"/>
  <c r="AC888" i="5"/>
  <c r="AB888" i="5"/>
  <c r="AA888" i="5"/>
  <c r="X888" i="5"/>
  <c r="W888" i="5"/>
  <c r="V888" i="5"/>
  <c r="U888" i="5"/>
  <c r="T888" i="5"/>
  <c r="S888" i="5"/>
  <c r="P888" i="5"/>
  <c r="Q888" i="5" s="1"/>
  <c r="R888" i="5" s="1"/>
  <c r="AG887" i="5"/>
  <c r="AD887" i="5"/>
  <c r="AC887" i="5"/>
  <c r="AB887" i="5"/>
  <c r="AA887" i="5"/>
  <c r="X887" i="5"/>
  <c r="W887" i="5"/>
  <c r="V887" i="5"/>
  <c r="U887" i="5"/>
  <c r="T887" i="5"/>
  <c r="S887" i="5"/>
  <c r="P887" i="5"/>
  <c r="AG886" i="5"/>
  <c r="AD886" i="5"/>
  <c r="AC886" i="5"/>
  <c r="AB886" i="5"/>
  <c r="AA886" i="5"/>
  <c r="X886" i="5"/>
  <c r="W886" i="5"/>
  <c r="V886" i="5"/>
  <c r="U886" i="5"/>
  <c r="T886" i="5"/>
  <c r="S886" i="5"/>
  <c r="P886" i="5"/>
  <c r="AG885" i="5"/>
  <c r="AD885" i="5"/>
  <c r="AC885" i="5"/>
  <c r="AB885" i="5"/>
  <c r="AA885" i="5"/>
  <c r="X885" i="5"/>
  <c r="W885" i="5"/>
  <c r="V885" i="5"/>
  <c r="U885" i="5"/>
  <c r="T885" i="5"/>
  <c r="S885" i="5"/>
  <c r="P885" i="5"/>
  <c r="AG884" i="5"/>
  <c r="AD884" i="5"/>
  <c r="AC884" i="5"/>
  <c r="AB884" i="5"/>
  <c r="AA884" i="5"/>
  <c r="X884" i="5"/>
  <c r="W884" i="5"/>
  <c r="V884" i="5"/>
  <c r="U884" i="5"/>
  <c r="T884" i="5"/>
  <c r="S884" i="5"/>
  <c r="P884" i="5"/>
  <c r="AG883" i="5"/>
  <c r="AD883" i="5"/>
  <c r="AC883" i="5"/>
  <c r="AB883" i="5"/>
  <c r="AA883" i="5"/>
  <c r="X883" i="5"/>
  <c r="W883" i="5"/>
  <c r="V883" i="5"/>
  <c r="U883" i="5"/>
  <c r="T883" i="5"/>
  <c r="S883" i="5"/>
  <c r="P883" i="5"/>
  <c r="AG882" i="5"/>
  <c r="AD882" i="5"/>
  <c r="AC882" i="5"/>
  <c r="AB882" i="5"/>
  <c r="AA882" i="5"/>
  <c r="X882" i="5"/>
  <c r="W882" i="5"/>
  <c r="V882" i="5"/>
  <c r="U882" i="5"/>
  <c r="T882" i="5"/>
  <c r="S882" i="5"/>
  <c r="P882" i="5"/>
  <c r="AG881" i="5"/>
  <c r="AD881" i="5"/>
  <c r="AC881" i="5"/>
  <c r="AB881" i="5"/>
  <c r="AA881" i="5"/>
  <c r="X881" i="5"/>
  <c r="W881" i="5"/>
  <c r="V881" i="5"/>
  <c r="U881" i="5"/>
  <c r="T881" i="5"/>
  <c r="S881" i="5"/>
  <c r="P881" i="5"/>
  <c r="AG880" i="5"/>
  <c r="AD880" i="5"/>
  <c r="AC880" i="5"/>
  <c r="AB880" i="5"/>
  <c r="AA880" i="5"/>
  <c r="X880" i="5"/>
  <c r="W880" i="5"/>
  <c r="V880" i="5"/>
  <c r="U880" i="5"/>
  <c r="T880" i="5"/>
  <c r="S880" i="5"/>
  <c r="P880" i="5"/>
  <c r="Q880" i="5" s="1"/>
  <c r="R880" i="5" s="1"/>
  <c r="AG879" i="5"/>
  <c r="AD879" i="5"/>
  <c r="AC879" i="5"/>
  <c r="AB879" i="5"/>
  <c r="AA879" i="5"/>
  <c r="X879" i="5"/>
  <c r="W879" i="5"/>
  <c r="V879" i="5"/>
  <c r="U879" i="5"/>
  <c r="T879" i="5"/>
  <c r="S879" i="5"/>
  <c r="P879" i="5"/>
  <c r="AG878" i="5"/>
  <c r="AD878" i="5"/>
  <c r="AC878" i="5"/>
  <c r="AB878" i="5"/>
  <c r="AA878" i="5"/>
  <c r="X878" i="5"/>
  <c r="W878" i="5"/>
  <c r="V878" i="5"/>
  <c r="U878" i="5"/>
  <c r="T878" i="5"/>
  <c r="S878" i="5"/>
  <c r="P878" i="5"/>
  <c r="AG877" i="5"/>
  <c r="AD877" i="5"/>
  <c r="AC877" i="5"/>
  <c r="AB877" i="5"/>
  <c r="AA877" i="5"/>
  <c r="X877" i="5"/>
  <c r="W877" i="5"/>
  <c r="V877" i="5"/>
  <c r="U877" i="5"/>
  <c r="T877" i="5"/>
  <c r="S877" i="5"/>
  <c r="R877" i="5"/>
  <c r="P877" i="5"/>
  <c r="Q877" i="5" s="1"/>
  <c r="AG876" i="5"/>
  <c r="AD876" i="5"/>
  <c r="AC876" i="5"/>
  <c r="AB876" i="5"/>
  <c r="AA876" i="5"/>
  <c r="X876" i="5"/>
  <c r="W876" i="5"/>
  <c r="V876" i="5"/>
  <c r="U876" i="5"/>
  <c r="T876" i="5"/>
  <c r="S876" i="5"/>
  <c r="P876" i="5"/>
  <c r="AG875" i="5"/>
  <c r="AD875" i="5"/>
  <c r="AC875" i="5"/>
  <c r="AB875" i="5"/>
  <c r="AA875" i="5"/>
  <c r="X875" i="5"/>
  <c r="W875" i="5"/>
  <c r="V875" i="5"/>
  <c r="U875" i="5"/>
  <c r="T875" i="5"/>
  <c r="S875" i="5"/>
  <c r="P875" i="5"/>
  <c r="AG874" i="5"/>
  <c r="AD874" i="5"/>
  <c r="AC874" i="5"/>
  <c r="AB874" i="5"/>
  <c r="AA874" i="5"/>
  <c r="X874" i="5"/>
  <c r="W874" i="5"/>
  <c r="V874" i="5"/>
  <c r="U874" i="5"/>
  <c r="T874" i="5"/>
  <c r="S874" i="5"/>
  <c r="P874" i="5"/>
  <c r="AG873" i="5"/>
  <c r="AD873" i="5"/>
  <c r="AC873" i="5"/>
  <c r="AB873" i="5"/>
  <c r="AA873" i="5"/>
  <c r="X873" i="5"/>
  <c r="W873" i="5"/>
  <c r="V873" i="5"/>
  <c r="U873" i="5"/>
  <c r="T873" i="5"/>
  <c r="S873" i="5"/>
  <c r="P873" i="5"/>
  <c r="Q873" i="5" s="1"/>
  <c r="AG872" i="5"/>
  <c r="AD872" i="5"/>
  <c r="AC872" i="5"/>
  <c r="AB872" i="5"/>
  <c r="AA872" i="5"/>
  <c r="X872" i="5"/>
  <c r="W872" i="5"/>
  <c r="V872" i="5"/>
  <c r="U872" i="5"/>
  <c r="T872" i="5"/>
  <c r="S872" i="5"/>
  <c r="P872" i="5"/>
  <c r="AG871" i="5"/>
  <c r="AD871" i="5"/>
  <c r="AC871" i="5"/>
  <c r="AB871" i="5"/>
  <c r="AA871" i="5"/>
  <c r="X871" i="5"/>
  <c r="W871" i="5"/>
  <c r="V871" i="5"/>
  <c r="U871" i="5"/>
  <c r="T871" i="5"/>
  <c r="S871" i="5"/>
  <c r="P871" i="5"/>
  <c r="AG870" i="5"/>
  <c r="AD870" i="5"/>
  <c r="AC870" i="5"/>
  <c r="AB870" i="5"/>
  <c r="AA870" i="5"/>
  <c r="X870" i="5"/>
  <c r="W870" i="5"/>
  <c r="V870" i="5"/>
  <c r="U870" i="5"/>
  <c r="T870" i="5"/>
  <c r="S870" i="5"/>
  <c r="P870" i="5"/>
  <c r="AG869" i="5"/>
  <c r="AD869" i="5"/>
  <c r="AC869" i="5"/>
  <c r="AB869" i="5"/>
  <c r="AA869" i="5"/>
  <c r="X869" i="5"/>
  <c r="W869" i="5"/>
  <c r="V869" i="5"/>
  <c r="U869" i="5"/>
  <c r="T869" i="5"/>
  <c r="S869" i="5"/>
  <c r="P869" i="5"/>
  <c r="AG868" i="5"/>
  <c r="AD868" i="5"/>
  <c r="AC868" i="5"/>
  <c r="AB868" i="5"/>
  <c r="AA868" i="5"/>
  <c r="X868" i="5"/>
  <c r="W868" i="5"/>
  <c r="V868" i="5"/>
  <c r="U868" i="5"/>
  <c r="T868" i="5"/>
  <c r="S868" i="5"/>
  <c r="P868" i="5"/>
  <c r="AG867" i="5"/>
  <c r="AD867" i="5"/>
  <c r="AC867" i="5"/>
  <c r="AB867" i="5"/>
  <c r="AA867" i="5"/>
  <c r="X867" i="5"/>
  <c r="W867" i="5"/>
  <c r="V867" i="5"/>
  <c r="U867" i="5"/>
  <c r="T867" i="5"/>
  <c r="S867" i="5"/>
  <c r="P867" i="5"/>
  <c r="AG866" i="5"/>
  <c r="AD866" i="5"/>
  <c r="AC866" i="5"/>
  <c r="AB866" i="5"/>
  <c r="AA866" i="5"/>
  <c r="X866" i="5"/>
  <c r="W866" i="5"/>
  <c r="V866" i="5"/>
  <c r="U866" i="5"/>
  <c r="T866" i="5"/>
  <c r="S866" i="5"/>
  <c r="P866" i="5"/>
  <c r="AG865" i="5"/>
  <c r="AD865" i="5"/>
  <c r="AC865" i="5"/>
  <c r="AB865" i="5"/>
  <c r="AA865" i="5"/>
  <c r="X865" i="5"/>
  <c r="W865" i="5"/>
  <c r="V865" i="5"/>
  <c r="U865" i="5"/>
  <c r="T865" i="5"/>
  <c r="S865" i="5"/>
  <c r="R865" i="5"/>
  <c r="P865" i="5"/>
  <c r="Q865" i="5" s="1"/>
  <c r="AG864" i="5"/>
  <c r="AD864" i="5"/>
  <c r="AC864" i="5"/>
  <c r="AB864" i="5"/>
  <c r="AA864" i="5"/>
  <c r="X864" i="5"/>
  <c r="W864" i="5"/>
  <c r="V864" i="5"/>
  <c r="U864" i="5"/>
  <c r="T864" i="5"/>
  <c r="S864" i="5"/>
  <c r="P864" i="5"/>
  <c r="AG863" i="5"/>
  <c r="AD863" i="5"/>
  <c r="AC863" i="5"/>
  <c r="AB863" i="5"/>
  <c r="AA863" i="5"/>
  <c r="X863" i="5"/>
  <c r="W863" i="5"/>
  <c r="V863" i="5"/>
  <c r="U863" i="5"/>
  <c r="T863" i="5"/>
  <c r="S863" i="5"/>
  <c r="P863" i="5"/>
  <c r="AG862" i="5"/>
  <c r="AD862" i="5"/>
  <c r="AC862" i="5"/>
  <c r="AB862" i="5"/>
  <c r="AA862" i="5"/>
  <c r="X862" i="5"/>
  <c r="W862" i="5"/>
  <c r="V862" i="5"/>
  <c r="U862" i="5"/>
  <c r="T862" i="5"/>
  <c r="S862" i="5"/>
  <c r="P862" i="5"/>
  <c r="Q862" i="5" s="1"/>
  <c r="R862" i="5" s="1"/>
  <c r="AG861" i="5"/>
  <c r="AD861" i="5"/>
  <c r="AC861" i="5"/>
  <c r="AB861" i="5"/>
  <c r="AA861" i="5"/>
  <c r="X861" i="5"/>
  <c r="W861" i="5"/>
  <c r="V861" i="5"/>
  <c r="U861" i="5"/>
  <c r="T861" i="5"/>
  <c r="S861" i="5"/>
  <c r="P861" i="5"/>
  <c r="AG860" i="5"/>
  <c r="AD860" i="5"/>
  <c r="AC860" i="5"/>
  <c r="AB860" i="5"/>
  <c r="AA860" i="5"/>
  <c r="X860" i="5"/>
  <c r="W860" i="5"/>
  <c r="V860" i="5"/>
  <c r="U860" i="5"/>
  <c r="T860" i="5"/>
  <c r="S860" i="5"/>
  <c r="P860" i="5"/>
  <c r="AG859" i="5"/>
  <c r="AD859" i="5"/>
  <c r="AC859" i="5"/>
  <c r="AB859" i="5"/>
  <c r="AA859" i="5"/>
  <c r="X859" i="5"/>
  <c r="W859" i="5"/>
  <c r="V859" i="5"/>
  <c r="U859" i="5"/>
  <c r="T859" i="5"/>
  <c r="S859" i="5"/>
  <c r="P859" i="5"/>
  <c r="AG858" i="5"/>
  <c r="AD858" i="5"/>
  <c r="AC858" i="5"/>
  <c r="AB858" i="5"/>
  <c r="AA858" i="5"/>
  <c r="X858" i="5"/>
  <c r="W858" i="5"/>
  <c r="V858" i="5"/>
  <c r="U858" i="5"/>
  <c r="T858" i="5"/>
  <c r="S858" i="5"/>
  <c r="P858" i="5"/>
  <c r="Q858" i="5" s="1"/>
  <c r="R858" i="5" s="1"/>
  <c r="AG857" i="5"/>
  <c r="AD857" i="5"/>
  <c r="AC857" i="5"/>
  <c r="AB857" i="5"/>
  <c r="AA857" i="5"/>
  <c r="X857" i="5"/>
  <c r="W857" i="5"/>
  <c r="V857" i="5"/>
  <c r="U857" i="5"/>
  <c r="T857" i="5"/>
  <c r="S857" i="5"/>
  <c r="P857" i="5"/>
  <c r="Q857" i="5" s="1"/>
  <c r="AG856" i="5"/>
  <c r="AD856" i="5"/>
  <c r="AC856" i="5"/>
  <c r="AB856" i="5"/>
  <c r="AA856" i="5"/>
  <c r="X856" i="5"/>
  <c r="W856" i="5"/>
  <c r="V856" i="5"/>
  <c r="U856" i="5"/>
  <c r="T856" i="5"/>
  <c r="S856" i="5"/>
  <c r="P856" i="5"/>
  <c r="Q856" i="5" s="1"/>
  <c r="R856" i="5" s="1"/>
  <c r="AG855" i="5"/>
  <c r="AD855" i="5"/>
  <c r="AC855" i="5"/>
  <c r="AB855" i="5"/>
  <c r="AA855" i="5"/>
  <c r="X855" i="5"/>
  <c r="W855" i="5"/>
  <c r="V855" i="5"/>
  <c r="U855" i="5"/>
  <c r="T855" i="5"/>
  <c r="S855" i="5"/>
  <c r="P855" i="5"/>
  <c r="AG854" i="5"/>
  <c r="AD854" i="5"/>
  <c r="AC854" i="5"/>
  <c r="AB854" i="5"/>
  <c r="AA854" i="5"/>
  <c r="X854" i="5"/>
  <c r="W854" i="5"/>
  <c r="V854" i="5"/>
  <c r="U854" i="5"/>
  <c r="T854" i="5"/>
  <c r="S854" i="5"/>
  <c r="P854" i="5"/>
  <c r="AG853" i="5"/>
  <c r="AD853" i="5"/>
  <c r="AC853" i="5"/>
  <c r="AB853" i="5"/>
  <c r="AA853" i="5"/>
  <c r="X853" i="5"/>
  <c r="W853" i="5"/>
  <c r="V853" i="5"/>
  <c r="U853" i="5"/>
  <c r="T853" i="5"/>
  <c r="S853" i="5"/>
  <c r="P853" i="5"/>
  <c r="Q853" i="5" s="1"/>
  <c r="AG852" i="5"/>
  <c r="AD852" i="5"/>
  <c r="AC852" i="5"/>
  <c r="AB852" i="5"/>
  <c r="AA852" i="5"/>
  <c r="X852" i="5"/>
  <c r="W852" i="5"/>
  <c r="V852" i="5"/>
  <c r="U852" i="5"/>
  <c r="T852" i="5"/>
  <c r="S852" i="5"/>
  <c r="R852" i="5"/>
  <c r="P852" i="5"/>
  <c r="Q852" i="5" s="1"/>
  <c r="AG851" i="5"/>
  <c r="AD851" i="5"/>
  <c r="AC851" i="5"/>
  <c r="AB851" i="5"/>
  <c r="AA851" i="5"/>
  <c r="X851" i="5"/>
  <c r="W851" i="5"/>
  <c r="V851" i="5"/>
  <c r="U851" i="5"/>
  <c r="T851" i="5"/>
  <c r="S851" i="5"/>
  <c r="P851" i="5"/>
  <c r="AG850" i="5"/>
  <c r="AD850" i="5"/>
  <c r="AC850" i="5"/>
  <c r="AB850" i="5"/>
  <c r="AA850" i="5"/>
  <c r="X850" i="5"/>
  <c r="W850" i="5"/>
  <c r="V850" i="5"/>
  <c r="U850" i="5"/>
  <c r="T850" i="5"/>
  <c r="S850" i="5"/>
  <c r="P850" i="5"/>
  <c r="Q850" i="5" s="1"/>
  <c r="R850" i="5" s="1"/>
  <c r="AG849" i="5"/>
  <c r="AD849" i="5"/>
  <c r="AC849" i="5"/>
  <c r="AB849" i="5"/>
  <c r="AA849" i="5"/>
  <c r="X849" i="5"/>
  <c r="W849" i="5"/>
  <c r="V849" i="5"/>
  <c r="U849" i="5"/>
  <c r="T849" i="5"/>
  <c r="S849" i="5"/>
  <c r="P849" i="5"/>
  <c r="Q849" i="5" s="1"/>
  <c r="AG848" i="5"/>
  <c r="AD848" i="5"/>
  <c r="AC848" i="5"/>
  <c r="AB848" i="5"/>
  <c r="AA848" i="5"/>
  <c r="X848" i="5"/>
  <c r="W848" i="5"/>
  <c r="V848" i="5"/>
  <c r="U848" i="5"/>
  <c r="T848" i="5"/>
  <c r="S848" i="5"/>
  <c r="P848" i="5"/>
  <c r="Q848" i="5" s="1"/>
  <c r="R848" i="5" s="1"/>
  <c r="AG847" i="5"/>
  <c r="AD847" i="5"/>
  <c r="AC847" i="5"/>
  <c r="AB847" i="5"/>
  <c r="AA847" i="5"/>
  <c r="X847" i="5"/>
  <c r="W847" i="5"/>
  <c r="V847" i="5"/>
  <c r="U847" i="5"/>
  <c r="T847" i="5"/>
  <c r="S847" i="5"/>
  <c r="P847" i="5"/>
  <c r="AG846" i="5"/>
  <c r="AD846" i="5"/>
  <c r="AC846" i="5"/>
  <c r="AB846" i="5"/>
  <c r="AA846" i="5"/>
  <c r="X846" i="5"/>
  <c r="W846" i="5"/>
  <c r="V846" i="5"/>
  <c r="U846" i="5"/>
  <c r="T846" i="5"/>
  <c r="S846" i="5"/>
  <c r="P846" i="5"/>
  <c r="AG845" i="5"/>
  <c r="AD845" i="5"/>
  <c r="AC845" i="5"/>
  <c r="AB845" i="5"/>
  <c r="AA845" i="5"/>
  <c r="X845" i="5"/>
  <c r="W845" i="5"/>
  <c r="V845" i="5"/>
  <c r="U845" i="5"/>
  <c r="T845" i="5"/>
  <c r="S845" i="5"/>
  <c r="P845" i="5"/>
  <c r="Q845" i="5" s="1"/>
  <c r="AG844" i="5"/>
  <c r="AD844" i="5"/>
  <c r="AC844" i="5"/>
  <c r="AB844" i="5"/>
  <c r="AA844" i="5"/>
  <c r="X844" i="5"/>
  <c r="W844" i="5"/>
  <c r="V844" i="5"/>
  <c r="U844" i="5"/>
  <c r="T844" i="5"/>
  <c r="S844" i="5"/>
  <c r="P844" i="5"/>
  <c r="Q844" i="5" s="1"/>
  <c r="R844" i="5" s="1"/>
  <c r="AG843" i="5"/>
  <c r="AD843" i="5"/>
  <c r="AC843" i="5"/>
  <c r="AB843" i="5"/>
  <c r="AA843" i="5"/>
  <c r="X843" i="5"/>
  <c r="W843" i="5"/>
  <c r="V843" i="5"/>
  <c r="U843" i="5"/>
  <c r="T843" i="5"/>
  <c r="S843" i="5"/>
  <c r="P843" i="5"/>
  <c r="AG842" i="5"/>
  <c r="AD842" i="5"/>
  <c r="AC842" i="5"/>
  <c r="AB842" i="5"/>
  <c r="AA842" i="5"/>
  <c r="X842" i="5"/>
  <c r="W842" i="5"/>
  <c r="V842" i="5"/>
  <c r="U842" i="5"/>
  <c r="T842" i="5"/>
  <c r="S842" i="5"/>
  <c r="P842" i="5"/>
  <c r="Q842" i="5" s="1"/>
  <c r="R842" i="5" s="1"/>
  <c r="AG841" i="5"/>
  <c r="AD841" i="5"/>
  <c r="AC841" i="5"/>
  <c r="AB841" i="5"/>
  <c r="AA841" i="5"/>
  <c r="X841" i="5"/>
  <c r="W841" i="5"/>
  <c r="V841" i="5"/>
  <c r="U841" i="5"/>
  <c r="T841" i="5"/>
  <c r="S841" i="5"/>
  <c r="P841" i="5"/>
  <c r="Q841" i="5" s="1"/>
  <c r="AG840" i="5"/>
  <c r="AD840" i="5"/>
  <c r="AC840" i="5"/>
  <c r="AB840" i="5"/>
  <c r="AA840" i="5"/>
  <c r="X840" i="5"/>
  <c r="W840" i="5"/>
  <c r="V840" i="5"/>
  <c r="U840" i="5"/>
  <c r="T840" i="5"/>
  <c r="S840" i="5"/>
  <c r="P840" i="5"/>
  <c r="Q840" i="5" s="1"/>
  <c r="R840" i="5" s="1"/>
  <c r="AG839" i="5"/>
  <c r="AD839" i="5"/>
  <c r="AC839" i="5"/>
  <c r="AB839" i="5"/>
  <c r="AA839" i="5"/>
  <c r="X839" i="5"/>
  <c r="W839" i="5"/>
  <c r="V839" i="5"/>
  <c r="U839" i="5"/>
  <c r="T839" i="5"/>
  <c r="S839" i="5"/>
  <c r="P839" i="5"/>
  <c r="AG838" i="5"/>
  <c r="AD838" i="5"/>
  <c r="AC838" i="5"/>
  <c r="AB838" i="5"/>
  <c r="AA838" i="5"/>
  <c r="X838" i="5"/>
  <c r="W838" i="5"/>
  <c r="V838" i="5"/>
  <c r="U838" i="5"/>
  <c r="T838" i="5"/>
  <c r="S838" i="5"/>
  <c r="P838" i="5"/>
  <c r="AG837" i="5"/>
  <c r="AD837" i="5"/>
  <c r="AC837" i="5"/>
  <c r="AB837" i="5"/>
  <c r="AA837" i="5"/>
  <c r="X837" i="5"/>
  <c r="W837" i="5"/>
  <c r="V837" i="5"/>
  <c r="U837" i="5"/>
  <c r="T837" i="5"/>
  <c r="S837" i="5"/>
  <c r="P837" i="5"/>
  <c r="Q837" i="5" s="1"/>
  <c r="AG836" i="5"/>
  <c r="AD836" i="5"/>
  <c r="AC836" i="5"/>
  <c r="AB836" i="5"/>
  <c r="AA836" i="5"/>
  <c r="X836" i="5"/>
  <c r="W836" i="5"/>
  <c r="V836" i="5"/>
  <c r="U836" i="5"/>
  <c r="T836" i="5"/>
  <c r="S836" i="5"/>
  <c r="P836" i="5"/>
  <c r="Q836" i="5" s="1"/>
  <c r="R836" i="5" s="1"/>
  <c r="AG835" i="5"/>
  <c r="AD835" i="5"/>
  <c r="AC835" i="5"/>
  <c r="AB835" i="5"/>
  <c r="AA835" i="5"/>
  <c r="X835" i="5"/>
  <c r="W835" i="5"/>
  <c r="V835" i="5"/>
  <c r="U835" i="5"/>
  <c r="T835" i="5"/>
  <c r="S835" i="5"/>
  <c r="P835" i="5"/>
  <c r="AG834" i="5"/>
  <c r="AD834" i="5"/>
  <c r="AC834" i="5"/>
  <c r="AB834" i="5"/>
  <c r="AA834" i="5"/>
  <c r="X834" i="5"/>
  <c r="W834" i="5"/>
  <c r="V834" i="5"/>
  <c r="U834" i="5"/>
  <c r="T834" i="5"/>
  <c r="S834" i="5"/>
  <c r="P834" i="5"/>
  <c r="Q834" i="5" s="1"/>
  <c r="R834" i="5" s="1"/>
  <c r="AG833" i="5"/>
  <c r="AD833" i="5"/>
  <c r="AC833" i="5"/>
  <c r="AB833" i="5"/>
  <c r="AA833" i="5"/>
  <c r="X833" i="5"/>
  <c r="W833" i="5"/>
  <c r="V833" i="5"/>
  <c r="U833" i="5"/>
  <c r="T833" i="5"/>
  <c r="S833" i="5"/>
  <c r="P833" i="5"/>
  <c r="Q833" i="5" s="1"/>
  <c r="AG832" i="5"/>
  <c r="AD832" i="5"/>
  <c r="AC832" i="5"/>
  <c r="AB832" i="5"/>
  <c r="AA832" i="5"/>
  <c r="X832" i="5"/>
  <c r="W832" i="5"/>
  <c r="V832" i="5"/>
  <c r="U832" i="5"/>
  <c r="T832" i="5"/>
  <c r="S832" i="5"/>
  <c r="P832" i="5"/>
  <c r="Q832" i="5" s="1"/>
  <c r="R832" i="5" s="1"/>
  <c r="AG831" i="5"/>
  <c r="AD831" i="5"/>
  <c r="AC831" i="5"/>
  <c r="AB831" i="5"/>
  <c r="AA831" i="5"/>
  <c r="X831" i="5"/>
  <c r="W831" i="5"/>
  <c r="V831" i="5"/>
  <c r="U831" i="5"/>
  <c r="T831" i="5"/>
  <c r="S831" i="5"/>
  <c r="P831" i="5"/>
  <c r="AG830" i="5"/>
  <c r="AD830" i="5"/>
  <c r="AC830" i="5"/>
  <c r="AB830" i="5"/>
  <c r="AA830" i="5"/>
  <c r="X830" i="5"/>
  <c r="W830" i="5"/>
  <c r="V830" i="5"/>
  <c r="U830" i="5"/>
  <c r="T830" i="5"/>
  <c r="S830" i="5"/>
  <c r="P830" i="5"/>
  <c r="AG829" i="5"/>
  <c r="AD829" i="5"/>
  <c r="AC829" i="5"/>
  <c r="AB829" i="5"/>
  <c r="AA829" i="5"/>
  <c r="X829" i="5"/>
  <c r="W829" i="5"/>
  <c r="V829" i="5"/>
  <c r="U829" i="5"/>
  <c r="T829" i="5"/>
  <c r="S829" i="5"/>
  <c r="P829" i="5"/>
  <c r="Q829" i="5" s="1"/>
  <c r="AG828" i="5"/>
  <c r="AD828" i="5"/>
  <c r="AC828" i="5"/>
  <c r="AB828" i="5"/>
  <c r="AA828" i="5"/>
  <c r="X828" i="5"/>
  <c r="W828" i="5"/>
  <c r="V828" i="5"/>
  <c r="U828" i="5"/>
  <c r="T828" i="5"/>
  <c r="S828" i="5"/>
  <c r="P828" i="5"/>
  <c r="Q828" i="5" s="1"/>
  <c r="R828" i="5" s="1"/>
  <c r="AG827" i="5"/>
  <c r="AD827" i="5"/>
  <c r="AC827" i="5"/>
  <c r="AB827" i="5"/>
  <c r="AA827" i="5"/>
  <c r="X827" i="5"/>
  <c r="W827" i="5"/>
  <c r="V827" i="5"/>
  <c r="U827" i="5"/>
  <c r="T827" i="5"/>
  <c r="S827" i="5"/>
  <c r="P827" i="5"/>
  <c r="AG826" i="5"/>
  <c r="AD826" i="5"/>
  <c r="AC826" i="5"/>
  <c r="AB826" i="5"/>
  <c r="AA826" i="5"/>
  <c r="X826" i="5"/>
  <c r="W826" i="5"/>
  <c r="V826" i="5"/>
  <c r="U826" i="5"/>
  <c r="T826" i="5"/>
  <c r="S826" i="5"/>
  <c r="P826" i="5"/>
  <c r="Q826" i="5" s="1"/>
  <c r="R826" i="5" s="1"/>
  <c r="AG825" i="5"/>
  <c r="AD825" i="5"/>
  <c r="AC825" i="5"/>
  <c r="AB825" i="5"/>
  <c r="AA825" i="5"/>
  <c r="X825" i="5"/>
  <c r="W825" i="5"/>
  <c r="V825" i="5"/>
  <c r="U825" i="5"/>
  <c r="T825" i="5"/>
  <c r="S825" i="5"/>
  <c r="P825" i="5"/>
  <c r="Q825" i="5" s="1"/>
  <c r="AG824" i="5"/>
  <c r="AD824" i="5"/>
  <c r="AC824" i="5"/>
  <c r="AB824" i="5"/>
  <c r="AA824" i="5"/>
  <c r="X824" i="5"/>
  <c r="W824" i="5"/>
  <c r="V824" i="5"/>
  <c r="U824" i="5"/>
  <c r="T824" i="5"/>
  <c r="S824" i="5"/>
  <c r="P824" i="5"/>
  <c r="Q824" i="5" s="1"/>
  <c r="R824" i="5" s="1"/>
  <c r="AG823" i="5"/>
  <c r="AD823" i="5"/>
  <c r="AC823" i="5"/>
  <c r="AB823" i="5"/>
  <c r="AA823" i="5"/>
  <c r="X823" i="5"/>
  <c r="W823" i="5"/>
  <c r="V823" i="5"/>
  <c r="U823" i="5"/>
  <c r="T823" i="5"/>
  <c r="S823" i="5"/>
  <c r="P823" i="5"/>
  <c r="AG822" i="5"/>
  <c r="AD822" i="5"/>
  <c r="AC822" i="5"/>
  <c r="AB822" i="5"/>
  <c r="AA822" i="5"/>
  <c r="X822" i="5"/>
  <c r="W822" i="5"/>
  <c r="V822" i="5"/>
  <c r="U822" i="5"/>
  <c r="T822" i="5"/>
  <c r="S822" i="5"/>
  <c r="P822" i="5"/>
  <c r="Q822" i="5" s="1"/>
  <c r="R822" i="5" s="1"/>
  <c r="AG821" i="5"/>
  <c r="AD821" i="5"/>
  <c r="AC821" i="5"/>
  <c r="AB821" i="5"/>
  <c r="AA821" i="5"/>
  <c r="X821" i="5"/>
  <c r="W821" i="5"/>
  <c r="V821" i="5"/>
  <c r="U821" i="5"/>
  <c r="T821" i="5"/>
  <c r="S821" i="5"/>
  <c r="P821" i="5"/>
  <c r="Q821" i="5" s="1"/>
  <c r="AG820" i="5"/>
  <c r="AD820" i="5"/>
  <c r="AC820" i="5"/>
  <c r="AB820" i="5"/>
  <c r="AA820" i="5"/>
  <c r="X820" i="5"/>
  <c r="W820" i="5"/>
  <c r="V820" i="5"/>
  <c r="U820" i="5"/>
  <c r="T820" i="5"/>
  <c r="S820" i="5"/>
  <c r="P820" i="5"/>
  <c r="Q820" i="5" s="1"/>
  <c r="R820" i="5" s="1"/>
  <c r="AG819" i="5"/>
  <c r="AD819" i="5"/>
  <c r="AC819" i="5"/>
  <c r="AB819" i="5"/>
  <c r="AA819" i="5"/>
  <c r="X819" i="5"/>
  <c r="W819" i="5"/>
  <c r="V819" i="5"/>
  <c r="U819" i="5"/>
  <c r="T819" i="5"/>
  <c r="S819" i="5"/>
  <c r="P819" i="5"/>
  <c r="Q819" i="5" s="1"/>
  <c r="AG818" i="5"/>
  <c r="AD818" i="5"/>
  <c r="AC818" i="5"/>
  <c r="AB818" i="5"/>
  <c r="AA818" i="5"/>
  <c r="X818" i="5"/>
  <c r="W818" i="5"/>
  <c r="V818" i="5"/>
  <c r="U818" i="5"/>
  <c r="T818" i="5"/>
  <c r="S818" i="5"/>
  <c r="P818" i="5"/>
  <c r="Q818" i="5" s="1"/>
  <c r="R818" i="5" s="1"/>
  <c r="AG817" i="5"/>
  <c r="AD817" i="5"/>
  <c r="AC817" i="5"/>
  <c r="AB817" i="5"/>
  <c r="AA817" i="5"/>
  <c r="X817" i="5"/>
  <c r="W817" i="5"/>
  <c r="V817" i="5"/>
  <c r="U817" i="5"/>
  <c r="T817" i="5"/>
  <c r="S817" i="5"/>
  <c r="P817" i="5"/>
  <c r="Q817" i="5" s="1"/>
  <c r="AG816" i="5"/>
  <c r="AD816" i="5"/>
  <c r="AC816" i="5"/>
  <c r="AB816" i="5"/>
  <c r="AA816" i="5"/>
  <c r="X816" i="5"/>
  <c r="W816" i="5"/>
  <c r="V816" i="5"/>
  <c r="U816" i="5"/>
  <c r="T816" i="5"/>
  <c r="S816" i="5"/>
  <c r="P816" i="5"/>
  <c r="Q816" i="5" s="1"/>
  <c r="R816" i="5" s="1"/>
  <c r="AG815" i="5"/>
  <c r="AD815" i="5"/>
  <c r="AC815" i="5"/>
  <c r="AB815" i="5"/>
  <c r="AA815" i="5"/>
  <c r="X815" i="5"/>
  <c r="W815" i="5"/>
  <c r="V815" i="5"/>
  <c r="U815" i="5"/>
  <c r="T815" i="5"/>
  <c r="S815" i="5"/>
  <c r="P815" i="5"/>
  <c r="AG814" i="5"/>
  <c r="AD814" i="5"/>
  <c r="AC814" i="5"/>
  <c r="AB814" i="5"/>
  <c r="AA814" i="5"/>
  <c r="X814" i="5"/>
  <c r="W814" i="5"/>
  <c r="V814" i="5"/>
  <c r="U814" i="5"/>
  <c r="T814" i="5"/>
  <c r="S814" i="5"/>
  <c r="P814" i="5"/>
  <c r="Q814" i="5" s="1"/>
  <c r="R814" i="5" s="1"/>
  <c r="AG813" i="5"/>
  <c r="AD813" i="5"/>
  <c r="AC813" i="5"/>
  <c r="AB813" i="5"/>
  <c r="AA813" i="5"/>
  <c r="X813" i="5"/>
  <c r="W813" i="5"/>
  <c r="V813" i="5"/>
  <c r="U813" i="5"/>
  <c r="T813" i="5"/>
  <c r="S813" i="5"/>
  <c r="P813" i="5"/>
  <c r="Q813" i="5" s="1"/>
  <c r="AG812" i="5"/>
  <c r="AD812" i="5"/>
  <c r="AC812" i="5"/>
  <c r="AB812" i="5"/>
  <c r="AA812" i="5"/>
  <c r="X812" i="5"/>
  <c r="W812" i="5"/>
  <c r="V812" i="5"/>
  <c r="U812" i="5"/>
  <c r="T812" i="5"/>
  <c r="S812" i="5"/>
  <c r="P812" i="5"/>
  <c r="Q812" i="5" s="1"/>
  <c r="R812" i="5" s="1"/>
  <c r="AG811" i="5"/>
  <c r="AD811" i="5"/>
  <c r="AC811" i="5"/>
  <c r="AB811" i="5"/>
  <c r="AA811" i="5"/>
  <c r="X811" i="5"/>
  <c r="W811" i="5"/>
  <c r="V811" i="5"/>
  <c r="U811" i="5"/>
  <c r="T811" i="5"/>
  <c r="S811" i="5"/>
  <c r="P811" i="5"/>
  <c r="AG810" i="5"/>
  <c r="AD810" i="5"/>
  <c r="AC810" i="5"/>
  <c r="AB810" i="5"/>
  <c r="AA810" i="5"/>
  <c r="X810" i="5"/>
  <c r="W810" i="5"/>
  <c r="V810" i="5"/>
  <c r="U810" i="5"/>
  <c r="T810" i="5"/>
  <c r="S810" i="5"/>
  <c r="P810" i="5"/>
  <c r="Q810" i="5" s="1"/>
  <c r="R810" i="5" s="1"/>
  <c r="AG809" i="5"/>
  <c r="AD809" i="5"/>
  <c r="AC809" i="5"/>
  <c r="AB809" i="5"/>
  <c r="AA809" i="5"/>
  <c r="X809" i="5"/>
  <c r="W809" i="5"/>
  <c r="V809" i="5"/>
  <c r="U809" i="5"/>
  <c r="T809" i="5"/>
  <c r="S809" i="5"/>
  <c r="P809" i="5"/>
  <c r="AG808" i="5"/>
  <c r="AD808" i="5"/>
  <c r="AC808" i="5"/>
  <c r="AB808" i="5"/>
  <c r="AA808" i="5"/>
  <c r="X808" i="5"/>
  <c r="W808" i="5"/>
  <c r="V808" i="5"/>
  <c r="U808" i="5"/>
  <c r="T808" i="5"/>
  <c r="S808" i="5"/>
  <c r="P808" i="5"/>
  <c r="Q808" i="5" s="1"/>
  <c r="R808" i="5" s="1"/>
  <c r="AG807" i="5"/>
  <c r="AD807" i="5"/>
  <c r="AC807" i="5"/>
  <c r="AB807" i="5"/>
  <c r="AA807" i="5"/>
  <c r="X807" i="5"/>
  <c r="W807" i="5"/>
  <c r="V807" i="5"/>
  <c r="U807" i="5"/>
  <c r="T807" i="5"/>
  <c r="S807" i="5"/>
  <c r="P807" i="5"/>
  <c r="Q807" i="5" s="1"/>
  <c r="AG806" i="5"/>
  <c r="AD806" i="5"/>
  <c r="AC806" i="5"/>
  <c r="AB806" i="5"/>
  <c r="AA806" i="5"/>
  <c r="X806" i="5"/>
  <c r="W806" i="5"/>
  <c r="V806" i="5"/>
  <c r="U806" i="5"/>
  <c r="T806" i="5"/>
  <c r="S806" i="5"/>
  <c r="P806" i="5"/>
  <c r="Q806" i="5" s="1"/>
  <c r="R806" i="5" s="1"/>
  <c r="AG805" i="5"/>
  <c r="AD805" i="5"/>
  <c r="AC805" i="5"/>
  <c r="AB805" i="5"/>
  <c r="AA805" i="5"/>
  <c r="X805" i="5"/>
  <c r="W805" i="5"/>
  <c r="V805" i="5"/>
  <c r="U805" i="5"/>
  <c r="T805" i="5"/>
  <c r="S805" i="5"/>
  <c r="P805" i="5"/>
  <c r="Q805" i="5" s="1"/>
  <c r="AG804" i="5"/>
  <c r="AD804" i="5"/>
  <c r="AC804" i="5"/>
  <c r="AB804" i="5"/>
  <c r="AA804" i="5"/>
  <c r="X804" i="5"/>
  <c r="W804" i="5"/>
  <c r="V804" i="5"/>
  <c r="U804" i="5"/>
  <c r="T804" i="5"/>
  <c r="S804" i="5"/>
  <c r="P804" i="5"/>
  <c r="Q804" i="5" s="1"/>
  <c r="R804" i="5" s="1"/>
  <c r="AG803" i="5"/>
  <c r="AD803" i="5"/>
  <c r="AC803" i="5"/>
  <c r="AB803" i="5"/>
  <c r="AA803" i="5"/>
  <c r="X803" i="5"/>
  <c r="W803" i="5"/>
  <c r="V803" i="5"/>
  <c r="U803" i="5"/>
  <c r="T803" i="5"/>
  <c r="S803" i="5"/>
  <c r="P803" i="5"/>
  <c r="AG802" i="5"/>
  <c r="AD802" i="5"/>
  <c r="AC802" i="5"/>
  <c r="AB802" i="5"/>
  <c r="AA802" i="5"/>
  <c r="X802" i="5"/>
  <c r="W802" i="5"/>
  <c r="V802" i="5"/>
  <c r="U802" i="5"/>
  <c r="T802" i="5"/>
  <c r="S802" i="5"/>
  <c r="P802" i="5"/>
  <c r="Q802" i="5" s="1"/>
  <c r="R802" i="5" s="1"/>
  <c r="AG801" i="5"/>
  <c r="AD801" i="5"/>
  <c r="AC801" i="5"/>
  <c r="AB801" i="5"/>
  <c r="AA801" i="5"/>
  <c r="X801" i="5"/>
  <c r="W801" i="5"/>
  <c r="V801" i="5"/>
  <c r="U801" i="5"/>
  <c r="T801" i="5"/>
  <c r="S801" i="5"/>
  <c r="P801" i="5"/>
  <c r="Q801" i="5" s="1"/>
  <c r="AG800" i="5"/>
  <c r="AD800" i="5"/>
  <c r="AC800" i="5"/>
  <c r="AB800" i="5"/>
  <c r="AA800" i="5"/>
  <c r="X800" i="5"/>
  <c r="W800" i="5"/>
  <c r="V800" i="5"/>
  <c r="U800" i="5"/>
  <c r="T800" i="5"/>
  <c r="S800" i="5"/>
  <c r="P800" i="5"/>
  <c r="AG799" i="5"/>
  <c r="AD799" i="5"/>
  <c r="AC799" i="5"/>
  <c r="AB799" i="5"/>
  <c r="AA799" i="5"/>
  <c r="X799" i="5"/>
  <c r="W799" i="5"/>
  <c r="V799" i="5"/>
  <c r="U799" i="5"/>
  <c r="T799" i="5"/>
  <c r="S799" i="5"/>
  <c r="P799" i="5"/>
  <c r="Q799" i="5" s="1"/>
  <c r="AG798" i="5"/>
  <c r="AD798" i="5"/>
  <c r="AC798" i="5"/>
  <c r="AB798" i="5"/>
  <c r="AA798" i="5"/>
  <c r="X798" i="5"/>
  <c r="W798" i="5"/>
  <c r="V798" i="5"/>
  <c r="U798" i="5"/>
  <c r="T798" i="5"/>
  <c r="S798" i="5"/>
  <c r="P798" i="5"/>
  <c r="AG797" i="5"/>
  <c r="AD797" i="5"/>
  <c r="AC797" i="5"/>
  <c r="AB797" i="5"/>
  <c r="AA797" i="5"/>
  <c r="X797" i="5"/>
  <c r="W797" i="5"/>
  <c r="V797" i="5"/>
  <c r="U797" i="5"/>
  <c r="T797" i="5"/>
  <c r="S797" i="5"/>
  <c r="P797" i="5"/>
  <c r="Q797" i="5" s="1"/>
  <c r="AG796" i="5"/>
  <c r="AD796" i="5"/>
  <c r="AC796" i="5"/>
  <c r="AB796" i="5"/>
  <c r="AA796" i="5"/>
  <c r="X796" i="5"/>
  <c r="W796" i="5"/>
  <c r="V796" i="5"/>
  <c r="U796" i="5"/>
  <c r="T796" i="5"/>
  <c r="S796" i="5"/>
  <c r="P796" i="5"/>
  <c r="AG795" i="5"/>
  <c r="AD795" i="5"/>
  <c r="AC795" i="5"/>
  <c r="AB795" i="5"/>
  <c r="AA795" i="5"/>
  <c r="X795" i="5"/>
  <c r="W795" i="5"/>
  <c r="V795" i="5"/>
  <c r="U795" i="5"/>
  <c r="T795" i="5"/>
  <c r="S795" i="5"/>
  <c r="P795" i="5"/>
  <c r="AG794" i="5"/>
  <c r="AD794" i="5"/>
  <c r="AC794" i="5"/>
  <c r="AB794" i="5"/>
  <c r="AA794" i="5"/>
  <c r="X794" i="5"/>
  <c r="W794" i="5"/>
  <c r="V794" i="5"/>
  <c r="U794" i="5"/>
  <c r="T794" i="5"/>
  <c r="S794" i="5"/>
  <c r="P794" i="5"/>
  <c r="Q794" i="5" s="1"/>
  <c r="AG793" i="5"/>
  <c r="AD793" i="5"/>
  <c r="AC793" i="5"/>
  <c r="AB793" i="5"/>
  <c r="AA793" i="5"/>
  <c r="X793" i="5"/>
  <c r="W793" i="5"/>
  <c r="V793" i="5"/>
  <c r="U793" i="5"/>
  <c r="T793" i="5"/>
  <c r="S793" i="5"/>
  <c r="R793" i="5"/>
  <c r="P793" i="5"/>
  <c r="Q793" i="5" s="1"/>
  <c r="AG792" i="5"/>
  <c r="AD792" i="5"/>
  <c r="AC792" i="5"/>
  <c r="AB792" i="5"/>
  <c r="AA792" i="5"/>
  <c r="X792" i="5"/>
  <c r="W792" i="5"/>
  <c r="V792" i="5"/>
  <c r="U792" i="5"/>
  <c r="T792" i="5"/>
  <c r="S792" i="5"/>
  <c r="P792" i="5"/>
  <c r="Q792" i="5" s="1"/>
  <c r="R792" i="5" s="1"/>
  <c r="AG791" i="5"/>
  <c r="AD791" i="5"/>
  <c r="AC791" i="5"/>
  <c r="AB791" i="5"/>
  <c r="AA791" i="5"/>
  <c r="X791" i="5"/>
  <c r="W791" i="5"/>
  <c r="V791" i="5"/>
  <c r="U791" i="5"/>
  <c r="T791" i="5"/>
  <c r="S791" i="5"/>
  <c r="P791" i="5"/>
  <c r="Q791" i="5" s="1"/>
  <c r="AG790" i="5"/>
  <c r="AD790" i="5"/>
  <c r="AC790" i="5"/>
  <c r="AB790" i="5"/>
  <c r="AA790" i="5"/>
  <c r="X790" i="5"/>
  <c r="W790" i="5"/>
  <c r="V790" i="5"/>
  <c r="U790" i="5"/>
  <c r="T790" i="5"/>
  <c r="S790" i="5"/>
  <c r="P790" i="5"/>
  <c r="Q790" i="5" s="1"/>
  <c r="R790" i="5" s="1"/>
  <c r="AG789" i="5"/>
  <c r="AD789" i="5"/>
  <c r="AC789" i="5"/>
  <c r="AB789" i="5"/>
  <c r="AA789" i="5"/>
  <c r="X789" i="5"/>
  <c r="W789" i="5"/>
  <c r="V789" i="5"/>
  <c r="U789" i="5"/>
  <c r="T789" i="5"/>
  <c r="S789" i="5"/>
  <c r="R789" i="5"/>
  <c r="P789" i="5"/>
  <c r="Q789" i="5" s="1"/>
  <c r="AG788" i="5"/>
  <c r="AD788" i="5"/>
  <c r="AC788" i="5"/>
  <c r="AB788" i="5"/>
  <c r="AA788" i="5"/>
  <c r="X788" i="5"/>
  <c r="W788" i="5"/>
  <c r="V788" i="5"/>
  <c r="U788" i="5"/>
  <c r="T788" i="5"/>
  <c r="S788" i="5"/>
  <c r="P788" i="5"/>
  <c r="Q788" i="5" s="1"/>
  <c r="R788" i="5" s="1"/>
  <c r="AG787" i="5"/>
  <c r="AD787" i="5"/>
  <c r="AC787" i="5"/>
  <c r="AB787" i="5"/>
  <c r="AA787" i="5"/>
  <c r="X787" i="5"/>
  <c r="W787" i="5"/>
  <c r="V787" i="5"/>
  <c r="U787" i="5"/>
  <c r="T787" i="5"/>
  <c r="S787" i="5"/>
  <c r="P787" i="5"/>
  <c r="AG786" i="5"/>
  <c r="AD786" i="5"/>
  <c r="AC786" i="5"/>
  <c r="AB786" i="5"/>
  <c r="AA786" i="5"/>
  <c r="X786" i="5"/>
  <c r="W786" i="5"/>
  <c r="V786" i="5"/>
  <c r="U786" i="5"/>
  <c r="T786" i="5"/>
  <c r="S786" i="5"/>
  <c r="P786" i="5"/>
  <c r="Q786" i="5" s="1"/>
  <c r="R786" i="5" s="1"/>
  <c r="AG785" i="5"/>
  <c r="AD785" i="5"/>
  <c r="AC785" i="5"/>
  <c r="AB785" i="5"/>
  <c r="AA785" i="5"/>
  <c r="X785" i="5"/>
  <c r="W785" i="5"/>
  <c r="V785" i="5"/>
  <c r="U785" i="5"/>
  <c r="T785" i="5"/>
  <c r="S785" i="5"/>
  <c r="P785" i="5"/>
  <c r="AG784" i="5"/>
  <c r="AD784" i="5"/>
  <c r="AC784" i="5"/>
  <c r="AB784" i="5"/>
  <c r="AA784" i="5"/>
  <c r="X784" i="5"/>
  <c r="W784" i="5"/>
  <c r="V784" i="5"/>
  <c r="U784" i="5"/>
  <c r="T784" i="5"/>
  <c r="S784" i="5"/>
  <c r="P784" i="5"/>
  <c r="AG783" i="5"/>
  <c r="AD783" i="5"/>
  <c r="AC783" i="5"/>
  <c r="AB783" i="5"/>
  <c r="AA783" i="5"/>
  <c r="X783" i="5"/>
  <c r="W783" i="5"/>
  <c r="V783" i="5"/>
  <c r="U783" i="5"/>
  <c r="T783" i="5"/>
  <c r="S783" i="5"/>
  <c r="P783" i="5"/>
  <c r="Q783" i="5" s="1"/>
  <c r="AG782" i="5"/>
  <c r="AD782" i="5"/>
  <c r="AC782" i="5"/>
  <c r="AB782" i="5"/>
  <c r="AA782" i="5"/>
  <c r="X782" i="5"/>
  <c r="W782" i="5"/>
  <c r="V782" i="5"/>
  <c r="U782" i="5"/>
  <c r="T782" i="5"/>
  <c r="S782" i="5"/>
  <c r="P782" i="5"/>
  <c r="Q782" i="5" s="1"/>
  <c r="R782" i="5" s="1"/>
  <c r="AG781" i="5"/>
  <c r="AD781" i="5"/>
  <c r="AC781" i="5"/>
  <c r="AB781" i="5"/>
  <c r="AA781" i="5"/>
  <c r="X781" i="5"/>
  <c r="W781" i="5"/>
  <c r="V781" i="5"/>
  <c r="U781" i="5"/>
  <c r="T781" i="5"/>
  <c r="S781" i="5"/>
  <c r="P781" i="5"/>
  <c r="AG780" i="5"/>
  <c r="AD780" i="5"/>
  <c r="AC780" i="5"/>
  <c r="AB780" i="5"/>
  <c r="AA780" i="5"/>
  <c r="X780" i="5"/>
  <c r="W780" i="5"/>
  <c r="V780" i="5"/>
  <c r="U780" i="5"/>
  <c r="T780" i="5"/>
  <c r="S780" i="5"/>
  <c r="P780" i="5"/>
  <c r="Q780" i="5" s="1"/>
  <c r="R780" i="5" s="1"/>
  <c r="AG779" i="5"/>
  <c r="AD779" i="5"/>
  <c r="AC779" i="5"/>
  <c r="AB779" i="5"/>
  <c r="AA779" i="5"/>
  <c r="X779" i="5"/>
  <c r="W779" i="5"/>
  <c r="V779" i="5"/>
  <c r="U779" i="5"/>
  <c r="T779" i="5"/>
  <c r="S779" i="5"/>
  <c r="P779" i="5"/>
  <c r="AG778" i="5"/>
  <c r="AD778" i="5"/>
  <c r="AC778" i="5"/>
  <c r="AB778" i="5"/>
  <c r="AA778" i="5"/>
  <c r="X778" i="5"/>
  <c r="W778" i="5"/>
  <c r="V778" i="5"/>
  <c r="U778" i="5"/>
  <c r="T778" i="5"/>
  <c r="S778" i="5"/>
  <c r="P778" i="5"/>
  <c r="Q778" i="5" s="1"/>
  <c r="AG777" i="5"/>
  <c r="AD777" i="5"/>
  <c r="AC777" i="5"/>
  <c r="AB777" i="5"/>
  <c r="AA777" i="5"/>
  <c r="X777" i="5"/>
  <c r="W777" i="5"/>
  <c r="V777" i="5"/>
  <c r="U777" i="5"/>
  <c r="T777" i="5"/>
  <c r="S777" i="5"/>
  <c r="P777" i="5"/>
  <c r="AG776" i="5"/>
  <c r="AD776" i="5"/>
  <c r="AC776" i="5"/>
  <c r="AB776" i="5"/>
  <c r="AA776" i="5"/>
  <c r="X776" i="5"/>
  <c r="W776" i="5"/>
  <c r="V776" i="5"/>
  <c r="U776" i="5"/>
  <c r="T776" i="5"/>
  <c r="S776" i="5"/>
  <c r="R776" i="5"/>
  <c r="P776" i="5"/>
  <c r="Q776" i="5" s="1"/>
  <c r="AG775" i="5"/>
  <c r="AD775" i="5"/>
  <c r="AC775" i="5"/>
  <c r="AB775" i="5"/>
  <c r="AA775" i="5"/>
  <c r="X775" i="5"/>
  <c r="W775" i="5"/>
  <c r="V775" i="5"/>
  <c r="U775" i="5"/>
  <c r="T775" i="5"/>
  <c r="S775" i="5"/>
  <c r="P775" i="5"/>
  <c r="Q775" i="5" s="1"/>
  <c r="AG774" i="5"/>
  <c r="AD774" i="5"/>
  <c r="AC774" i="5"/>
  <c r="AB774" i="5"/>
  <c r="AA774" i="5"/>
  <c r="X774" i="5"/>
  <c r="W774" i="5"/>
  <c r="V774" i="5"/>
  <c r="U774" i="5"/>
  <c r="T774" i="5"/>
  <c r="S774" i="5"/>
  <c r="R774" i="5"/>
  <c r="P774" i="5"/>
  <c r="Q774" i="5" s="1"/>
  <c r="AG773" i="5"/>
  <c r="AD773" i="5"/>
  <c r="AC773" i="5"/>
  <c r="AB773" i="5"/>
  <c r="AA773" i="5"/>
  <c r="X773" i="5"/>
  <c r="W773" i="5"/>
  <c r="V773" i="5"/>
  <c r="U773" i="5"/>
  <c r="T773" i="5"/>
  <c r="S773" i="5"/>
  <c r="P773" i="5"/>
  <c r="AG772" i="5"/>
  <c r="AD772" i="5"/>
  <c r="AC772" i="5"/>
  <c r="AB772" i="5"/>
  <c r="AA772" i="5"/>
  <c r="X772" i="5"/>
  <c r="W772" i="5"/>
  <c r="V772" i="5"/>
  <c r="U772" i="5"/>
  <c r="T772" i="5"/>
  <c r="S772" i="5"/>
  <c r="P772" i="5"/>
  <c r="Q772" i="5" s="1"/>
  <c r="R772" i="5" s="1"/>
  <c r="AG771" i="5"/>
  <c r="AD771" i="5"/>
  <c r="AC771" i="5"/>
  <c r="AB771" i="5"/>
  <c r="AA771" i="5"/>
  <c r="X771" i="5"/>
  <c r="W771" i="5"/>
  <c r="V771" i="5"/>
  <c r="U771" i="5"/>
  <c r="T771" i="5"/>
  <c r="S771" i="5"/>
  <c r="P771" i="5"/>
  <c r="Q771" i="5" s="1"/>
  <c r="AG770" i="5"/>
  <c r="AD770" i="5"/>
  <c r="AC770" i="5"/>
  <c r="AB770" i="5"/>
  <c r="AA770" i="5"/>
  <c r="X770" i="5"/>
  <c r="W770" i="5"/>
  <c r="V770" i="5"/>
  <c r="U770" i="5"/>
  <c r="T770" i="5"/>
  <c r="S770" i="5"/>
  <c r="P770" i="5"/>
  <c r="AG769" i="5"/>
  <c r="AD769" i="5"/>
  <c r="AC769" i="5"/>
  <c r="AB769" i="5"/>
  <c r="AA769" i="5"/>
  <c r="X769" i="5"/>
  <c r="W769" i="5"/>
  <c r="V769" i="5"/>
  <c r="U769" i="5"/>
  <c r="T769" i="5"/>
  <c r="S769" i="5"/>
  <c r="P769" i="5"/>
  <c r="AG768" i="5"/>
  <c r="AD768" i="5"/>
  <c r="AC768" i="5"/>
  <c r="AB768" i="5"/>
  <c r="AA768" i="5"/>
  <c r="X768" i="5"/>
  <c r="W768" i="5"/>
  <c r="V768" i="5"/>
  <c r="U768" i="5"/>
  <c r="T768" i="5"/>
  <c r="S768" i="5"/>
  <c r="P768" i="5"/>
  <c r="Q768" i="5" s="1"/>
  <c r="R768" i="5" s="1"/>
  <c r="AG767" i="5"/>
  <c r="AD767" i="5"/>
  <c r="AC767" i="5"/>
  <c r="AB767" i="5"/>
  <c r="AA767" i="5"/>
  <c r="X767" i="5"/>
  <c r="W767" i="5"/>
  <c r="V767" i="5"/>
  <c r="U767" i="5"/>
  <c r="T767" i="5"/>
  <c r="S767" i="5"/>
  <c r="P767" i="5"/>
  <c r="AG766" i="5"/>
  <c r="AD766" i="5"/>
  <c r="AC766" i="5"/>
  <c r="AB766" i="5"/>
  <c r="AA766" i="5"/>
  <c r="X766" i="5"/>
  <c r="W766" i="5"/>
  <c r="V766" i="5"/>
  <c r="U766" i="5"/>
  <c r="T766" i="5"/>
  <c r="S766" i="5"/>
  <c r="R766" i="5"/>
  <c r="P766" i="5"/>
  <c r="Q766" i="5" s="1"/>
  <c r="AG765" i="5"/>
  <c r="AD765" i="5"/>
  <c r="AC765" i="5"/>
  <c r="AB765" i="5"/>
  <c r="AA765" i="5"/>
  <c r="X765" i="5"/>
  <c r="W765" i="5"/>
  <c r="V765" i="5"/>
  <c r="U765" i="5"/>
  <c r="T765" i="5"/>
  <c r="S765" i="5"/>
  <c r="P765" i="5"/>
  <c r="AG764" i="5"/>
  <c r="AD764" i="5"/>
  <c r="AC764" i="5"/>
  <c r="AB764" i="5"/>
  <c r="AA764" i="5"/>
  <c r="X764" i="5"/>
  <c r="W764" i="5"/>
  <c r="V764" i="5"/>
  <c r="U764" i="5"/>
  <c r="T764" i="5"/>
  <c r="S764" i="5"/>
  <c r="R764" i="5"/>
  <c r="P764" i="5"/>
  <c r="Q764" i="5" s="1"/>
  <c r="AG763" i="5"/>
  <c r="AD763" i="5"/>
  <c r="AC763" i="5"/>
  <c r="AB763" i="5"/>
  <c r="AA763" i="5"/>
  <c r="X763" i="5"/>
  <c r="W763" i="5"/>
  <c r="V763" i="5"/>
  <c r="U763" i="5"/>
  <c r="T763" i="5"/>
  <c r="S763" i="5"/>
  <c r="P763" i="5"/>
  <c r="Q763" i="5" s="1"/>
  <c r="AG762" i="5"/>
  <c r="AD762" i="5"/>
  <c r="AC762" i="5"/>
  <c r="AB762" i="5"/>
  <c r="AA762" i="5"/>
  <c r="X762" i="5"/>
  <c r="W762" i="5"/>
  <c r="V762" i="5"/>
  <c r="U762" i="5"/>
  <c r="T762" i="5"/>
  <c r="S762" i="5"/>
  <c r="P762" i="5"/>
  <c r="Q762" i="5" s="1"/>
  <c r="R762" i="5" s="1"/>
  <c r="AG761" i="5"/>
  <c r="AD761" i="5"/>
  <c r="AC761" i="5"/>
  <c r="AB761" i="5"/>
  <c r="AA761" i="5"/>
  <c r="X761" i="5"/>
  <c r="W761" i="5"/>
  <c r="V761" i="5"/>
  <c r="U761" i="5"/>
  <c r="T761" i="5"/>
  <c r="S761" i="5"/>
  <c r="P761" i="5"/>
  <c r="AG760" i="5"/>
  <c r="AD760" i="5"/>
  <c r="AC760" i="5"/>
  <c r="AB760" i="5"/>
  <c r="AA760" i="5"/>
  <c r="X760" i="5"/>
  <c r="W760" i="5"/>
  <c r="V760" i="5"/>
  <c r="U760" i="5"/>
  <c r="T760" i="5"/>
  <c r="S760" i="5"/>
  <c r="P760" i="5"/>
  <c r="Q760" i="5" s="1"/>
  <c r="R760" i="5" s="1"/>
  <c r="AG759" i="5"/>
  <c r="AD759" i="5"/>
  <c r="AC759" i="5"/>
  <c r="AB759" i="5"/>
  <c r="AA759" i="5"/>
  <c r="X759" i="5"/>
  <c r="W759" i="5"/>
  <c r="V759" i="5"/>
  <c r="U759" i="5"/>
  <c r="T759" i="5"/>
  <c r="S759" i="5"/>
  <c r="R759" i="5"/>
  <c r="P759" i="5"/>
  <c r="Q759" i="5" s="1"/>
  <c r="AG758" i="5"/>
  <c r="AD758" i="5"/>
  <c r="AC758" i="5"/>
  <c r="AB758" i="5"/>
  <c r="AA758" i="5"/>
  <c r="X758" i="5"/>
  <c r="W758" i="5"/>
  <c r="V758" i="5"/>
  <c r="U758" i="5"/>
  <c r="T758" i="5"/>
  <c r="S758" i="5"/>
  <c r="P758" i="5"/>
  <c r="Q758" i="5" s="1"/>
  <c r="R758" i="5" s="1"/>
  <c r="AG757" i="5"/>
  <c r="AD757" i="5"/>
  <c r="AC757" i="5"/>
  <c r="AB757" i="5"/>
  <c r="AA757" i="5"/>
  <c r="X757" i="5"/>
  <c r="W757" i="5"/>
  <c r="V757" i="5"/>
  <c r="U757" i="5"/>
  <c r="T757" i="5"/>
  <c r="S757" i="5"/>
  <c r="P757" i="5"/>
  <c r="AG756" i="5"/>
  <c r="AD756" i="5"/>
  <c r="AC756" i="5"/>
  <c r="AB756" i="5"/>
  <c r="AA756" i="5"/>
  <c r="X756" i="5"/>
  <c r="W756" i="5"/>
  <c r="V756" i="5"/>
  <c r="U756" i="5"/>
  <c r="T756" i="5"/>
  <c r="S756" i="5"/>
  <c r="P756" i="5"/>
  <c r="Q756" i="5" s="1"/>
  <c r="R756" i="5" s="1"/>
  <c r="AG755" i="5"/>
  <c r="AD755" i="5"/>
  <c r="AC755" i="5"/>
  <c r="AB755" i="5"/>
  <c r="AA755" i="5"/>
  <c r="X755" i="5"/>
  <c r="W755" i="5"/>
  <c r="V755" i="5"/>
  <c r="U755" i="5"/>
  <c r="T755" i="5"/>
  <c r="S755" i="5"/>
  <c r="P755" i="5"/>
  <c r="Q755" i="5" s="1"/>
  <c r="AG754" i="5"/>
  <c r="AD754" i="5"/>
  <c r="AC754" i="5"/>
  <c r="AB754" i="5"/>
  <c r="AA754" i="5"/>
  <c r="X754" i="5"/>
  <c r="W754" i="5"/>
  <c r="V754" i="5"/>
  <c r="U754" i="5"/>
  <c r="T754" i="5"/>
  <c r="S754" i="5"/>
  <c r="P754" i="5"/>
  <c r="Q754" i="5" s="1"/>
  <c r="R754" i="5" s="1"/>
  <c r="AG753" i="5"/>
  <c r="AD753" i="5"/>
  <c r="AC753" i="5"/>
  <c r="AB753" i="5"/>
  <c r="AA753" i="5"/>
  <c r="X753" i="5"/>
  <c r="W753" i="5"/>
  <c r="V753" i="5"/>
  <c r="U753" i="5"/>
  <c r="T753" i="5"/>
  <c r="S753" i="5"/>
  <c r="P753" i="5"/>
  <c r="Q753" i="5" s="1"/>
  <c r="AG752" i="5"/>
  <c r="AD752" i="5"/>
  <c r="AC752" i="5"/>
  <c r="AB752" i="5"/>
  <c r="AA752" i="5"/>
  <c r="X752" i="5"/>
  <c r="W752" i="5"/>
  <c r="V752" i="5"/>
  <c r="U752" i="5"/>
  <c r="T752" i="5"/>
  <c r="S752" i="5"/>
  <c r="R752" i="5"/>
  <c r="P752" i="5"/>
  <c r="Q752" i="5" s="1"/>
  <c r="AG751" i="5"/>
  <c r="AD751" i="5"/>
  <c r="AC751" i="5"/>
  <c r="AB751" i="5"/>
  <c r="AA751" i="5"/>
  <c r="X751" i="5"/>
  <c r="W751" i="5"/>
  <c r="V751" i="5"/>
  <c r="U751" i="5"/>
  <c r="T751" i="5"/>
  <c r="S751" i="5"/>
  <c r="P751" i="5"/>
  <c r="AG750" i="5"/>
  <c r="AD750" i="5"/>
  <c r="AC750" i="5"/>
  <c r="AB750" i="5"/>
  <c r="AA750" i="5"/>
  <c r="X750" i="5"/>
  <c r="W750" i="5"/>
  <c r="V750" i="5"/>
  <c r="U750" i="5"/>
  <c r="T750" i="5"/>
  <c r="S750" i="5"/>
  <c r="P750" i="5"/>
  <c r="Q750" i="5" s="1"/>
  <c r="R750" i="5" s="1"/>
  <c r="AG749" i="5"/>
  <c r="AD749" i="5"/>
  <c r="AC749" i="5"/>
  <c r="AB749" i="5"/>
  <c r="AA749" i="5"/>
  <c r="X749" i="5"/>
  <c r="W749" i="5"/>
  <c r="V749" i="5"/>
  <c r="U749" i="5"/>
  <c r="T749" i="5"/>
  <c r="S749" i="5"/>
  <c r="R749" i="5"/>
  <c r="P749" i="5"/>
  <c r="Q749" i="5" s="1"/>
  <c r="AG748" i="5"/>
  <c r="AD748" i="5"/>
  <c r="AC748" i="5"/>
  <c r="AB748" i="5"/>
  <c r="AA748" i="5"/>
  <c r="X748" i="5"/>
  <c r="W748" i="5"/>
  <c r="V748" i="5"/>
  <c r="U748" i="5"/>
  <c r="T748" i="5"/>
  <c r="S748" i="5"/>
  <c r="P748" i="5"/>
  <c r="Q748" i="5" s="1"/>
  <c r="R748" i="5" s="1"/>
  <c r="AG747" i="5"/>
  <c r="AD747" i="5"/>
  <c r="AC747" i="5"/>
  <c r="AB747" i="5"/>
  <c r="AA747" i="5"/>
  <c r="X747" i="5"/>
  <c r="W747" i="5"/>
  <c r="V747" i="5"/>
  <c r="U747" i="5"/>
  <c r="T747" i="5"/>
  <c r="S747" i="5"/>
  <c r="P747" i="5"/>
  <c r="Q747" i="5" s="1"/>
  <c r="AG746" i="5"/>
  <c r="AD746" i="5"/>
  <c r="AC746" i="5"/>
  <c r="AB746" i="5"/>
  <c r="AA746" i="5"/>
  <c r="X746" i="5"/>
  <c r="W746" i="5"/>
  <c r="V746" i="5"/>
  <c r="U746" i="5"/>
  <c r="T746" i="5"/>
  <c r="S746" i="5"/>
  <c r="P746" i="5"/>
  <c r="Q746" i="5" s="1"/>
  <c r="R746" i="5" s="1"/>
  <c r="AG745" i="5"/>
  <c r="AD745" i="5"/>
  <c r="AC745" i="5"/>
  <c r="AB745" i="5"/>
  <c r="AA745" i="5"/>
  <c r="X745" i="5"/>
  <c r="W745" i="5"/>
  <c r="V745" i="5"/>
  <c r="U745" i="5"/>
  <c r="T745" i="5"/>
  <c r="S745" i="5"/>
  <c r="P745" i="5"/>
  <c r="Q745" i="5" s="1"/>
  <c r="AG744" i="5"/>
  <c r="AD744" i="5"/>
  <c r="AC744" i="5"/>
  <c r="AB744" i="5"/>
  <c r="AA744" i="5"/>
  <c r="X744" i="5"/>
  <c r="W744" i="5"/>
  <c r="V744" i="5"/>
  <c r="U744" i="5"/>
  <c r="T744" i="5"/>
  <c r="S744" i="5"/>
  <c r="P744" i="5"/>
  <c r="Q744" i="5" s="1"/>
  <c r="R744" i="5" s="1"/>
  <c r="AG743" i="5"/>
  <c r="AD743" i="5"/>
  <c r="AC743" i="5"/>
  <c r="AB743" i="5"/>
  <c r="AA743" i="5"/>
  <c r="X743" i="5"/>
  <c r="W743" i="5"/>
  <c r="V743" i="5"/>
  <c r="U743" i="5"/>
  <c r="T743" i="5"/>
  <c r="S743" i="5"/>
  <c r="P743" i="5"/>
  <c r="AG742" i="5"/>
  <c r="AD742" i="5"/>
  <c r="AC742" i="5"/>
  <c r="AB742" i="5"/>
  <c r="AA742" i="5"/>
  <c r="X742" i="5"/>
  <c r="W742" i="5"/>
  <c r="V742" i="5"/>
  <c r="U742" i="5"/>
  <c r="T742" i="5"/>
  <c r="S742" i="5"/>
  <c r="P742" i="5"/>
  <c r="Q742" i="5" s="1"/>
  <c r="R742" i="5" s="1"/>
  <c r="AG741" i="5"/>
  <c r="AD741" i="5"/>
  <c r="AC741" i="5"/>
  <c r="AB741" i="5"/>
  <c r="AA741" i="5"/>
  <c r="X741" i="5"/>
  <c r="W741" i="5"/>
  <c r="V741" i="5"/>
  <c r="U741" i="5"/>
  <c r="T741" i="5"/>
  <c r="S741" i="5"/>
  <c r="P741" i="5"/>
  <c r="Q741" i="5" s="1"/>
  <c r="AG740" i="5"/>
  <c r="AD740" i="5"/>
  <c r="AC740" i="5"/>
  <c r="AB740" i="5"/>
  <c r="AA740" i="5"/>
  <c r="X740" i="5"/>
  <c r="W740" i="5"/>
  <c r="V740" i="5"/>
  <c r="U740" i="5"/>
  <c r="T740" i="5"/>
  <c r="S740" i="5"/>
  <c r="P740" i="5"/>
  <c r="AG739" i="5"/>
  <c r="AD739" i="5"/>
  <c r="AC739" i="5"/>
  <c r="AB739" i="5"/>
  <c r="AA739" i="5"/>
  <c r="X739" i="5"/>
  <c r="W739" i="5"/>
  <c r="V739" i="5"/>
  <c r="U739" i="5"/>
  <c r="T739" i="5"/>
  <c r="S739" i="5"/>
  <c r="P739" i="5"/>
  <c r="AG738" i="5"/>
  <c r="AD738" i="5"/>
  <c r="AC738" i="5"/>
  <c r="AB738" i="5"/>
  <c r="AA738" i="5"/>
  <c r="X738" i="5"/>
  <c r="W738" i="5"/>
  <c r="V738" i="5"/>
  <c r="U738" i="5"/>
  <c r="T738" i="5"/>
  <c r="S738" i="5"/>
  <c r="P738" i="5"/>
  <c r="Q738" i="5" s="1"/>
  <c r="R738" i="5" s="1"/>
  <c r="AG737" i="5"/>
  <c r="AD737" i="5"/>
  <c r="AC737" i="5"/>
  <c r="AB737" i="5"/>
  <c r="AA737" i="5"/>
  <c r="X737" i="5"/>
  <c r="W737" i="5"/>
  <c r="V737" i="5"/>
  <c r="U737" i="5"/>
  <c r="T737" i="5"/>
  <c r="S737" i="5"/>
  <c r="P737" i="5"/>
  <c r="Q737" i="5" s="1"/>
  <c r="AG736" i="5"/>
  <c r="AD736" i="5"/>
  <c r="AC736" i="5"/>
  <c r="AB736" i="5"/>
  <c r="AA736" i="5"/>
  <c r="X736" i="5"/>
  <c r="W736" i="5"/>
  <c r="V736" i="5"/>
  <c r="U736" i="5"/>
  <c r="T736" i="5"/>
  <c r="S736" i="5"/>
  <c r="P736" i="5"/>
  <c r="Q736" i="5" s="1"/>
  <c r="R736" i="5" s="1"/>
  <c r="AG735" i="5"/>
  <c r="AD735" i="5"/>
  <c r="AC735" i="5"/>
  <c r="AB735" i="5"/>
  <c r="AA735" i="5"/>
  <c r="X735" i="5"/>
  <c r="W735" i="5"/>
  <c r="V735" i="5"/>
  <c r="U735" i="5"/>
  <c r="T735" i="5"/>
  <c r="S735" i="5"/>
  <c r="R735" i="5"/>
  <c r="P735" i="5"/>
  <c r="Q735" i="5" s="1"/>
  <c r="AG734" i="5"/>
  <c r="AD734" i="5"/>
  <c r="AC734" i="5"/>
  <c r="AB734" i="5"/>
  <c r="AA734" i="5"/>
  <c r="X734" i="5"/>
  <c r="W734" i="5"/>
  <c r="V734" i="5"/>
  <c r="U734" i="5"/>
  <c r="T734" i="5"/>
  <c r="S734" i="5"/>
  <c r="R734" i="5"/>
  <c r="P734" i="5"/>
  <c r="Q734" i="5" s="1"/>
  <c r="AG733" i="5"/>
  <c r="AD733" i="5"/>
  <c r="AC733" i="5"/>
  <c r="AB733" i="5"/>
  <c r="AA733" i="5"/>
  <c r="X733" i="5"/>
  <c r="W733" i="5"/>
  <c r="V733" i="5"/>
  <c r="U733" i="5"/>
  <c r="T733" i="5"/>
  <c r="S733" i="5"/>
  <c r="P733" i="5"/>
  <c r="AG732" i="5"/>
  <c r="AD732" i="5"/>
  <c r="AC732" i="5"/>
  <c r="AB732" i="5"/>
  <c r="AA732" i="5"/>
  <c r="X732" i="5"/>
  <c r="W732" i="5"/>
  <c r="V732" i="5"/>
  <c r="U732" i="5"/>
  <c r="T732" i="5"/>
  <c r="S732" i="5"/>
  <c r="P732" i="5"/>
  <c r="Q732" i="5" s="1"/>
  <c r="R732" i="5" s="1"/>
  <c r="AG731" i="5"/>
  <c r="AD731" i="5"/>
  <c r="AC731" i="5"/>
  <c r="AB731" i="5"/>
  <c r="AA731" i="5"/>
  <c r="X731" i="5"/>
  <c r="W731" i="5"/>
  <c r="V731" i="5"/>
  <c r="U731" i="5"/>
  <c r="T731" i="5"/>
  <c r="S731" i="5"/>
  <c r="P731" i="5"/>
  <c r="Q731" i="5" s="1"/>
  <c r="AG730" i="5"/>
  <c r="AD730" i="5"/>
  <c r="AC730" i="5"/>
  <c r="AB730" i="5"/>
  <c r="AA730" i="5"/>
  <c r="X730" i="5"/>
  <c r="W730" i="5"/>
  <c r="V730" i="5"/>
  <c r="U730" i="5"/>
  <c r="T730" i="5"/>
  <c r="S730" i="5"/>
  <c r="P730" i="5"/>
  <c r="AG729" i="5"/>
  <c r="AD729" i="5"/>
  <c r="AC729" i="5"/>
  <c r="AB729" i="5"/>
  <c r="AA729" i="5"/>
  <c r="X729" i="5"/>
  <c r="W729" i="5"/>
  <c r="V729" i="5"/>
  <c r="U729" i="5"/>
  <c r="T729" i="5"/>
  <c r="S729" i="5"/>
  <c r="P729" i="5"/>
  <c r="Q729" i="5" s="1"/>
  <c r="R729" i="5" s="1"/>
  <c r="AG728" i="5"/>
  <c r="AD728" i="5"/>
  <c r="AC728" i="5"/>
  <c r="AB728" i="5"/>
  <c r="AA728" i="5"/>
  <c r="X728" i="5"/>
  <c r="W728" i="5"/>
  <c r="V728" i="5"/>
  <c r="U728" i="5"/>
  <c r="T728" i="5"/>
  <c r="S728" i="5"/>
  <c r="P728" i="5"/>
  <c r="Q728" i="5" s="1"/>
  <c r="R728" i="5" s="1"/>
  <c r="AG727" i="5"/>
  <c r="AD727" i="5"/>
  <c r="AC727" i="5"/>
  <c r="AB727" i="5"/>
  <c r="AA727" i="5"/>
  <c r="X727" i="5"/>
  <c r="W727" i="5"/>
  <c r="V727" i="5"/>
  <c r="U727" i="5"/>
  <c r="T727" i="5"/>
  <c r="S727" i="5"/>
  <c r="P727" i="5"/>
  <c r="AG726" i="5"/>
  <c r="AD726" i="5"/>
  <c r="AC726" i="5"/>
  <c r="AB726" i="5"/>
  <c r="AA726" i="5"/>
  <c r="X726" i="5"/>
  <c r="W726" i="5"/>
  <c r="V726" i="5"/>
  <c r="U726" i="5"/>
  <c r="T726" i="5"/>
  <c r="S726" i="5"/>
  <c r="P726" i="5"/>
  <c r="Q726" i="5" s="1"/>
  <c r="R726" i="5" s="1"/>
  <c r="AG725" i="5"/>
  <c r="AD725" i="5"/>
  <c r="AC725" i="5"/>
  <c r="AB725" i="5"/>
  <c r="AA725" i="5"/>
  <c r="X725" i="5"/>
  <c r="W725" i="5"/>
  <c r="V725" i="5"/>
  <c r="U725" i="5"/>
  <c r="T725" i="5"/>
  <c r="S725" i="5"/>
  <c r="P725" i="5"/>
  <c r="AG724" i="5"/>
  <c r="AD724" i="5"/>
  <c r="AC724" i="5"/>
  <c r="AB724" i="5"/>
  <c r="AA724" i="5"/>
  <c r="X724" i="5"/>
  <c r="W724" i="5"/>
  <c r="V724" i="5"/>
  <c r="U724" i="5"/>
  <c r="T724" i="5"/>
  <c r="S724" i="5"/>
  <c r="P724" i="5"/>
  <c r="Q724" i="5" s="1"/>
  <c r="R724" i="5" s="1"/>
  <c r="AG723" i="5"/>
  <c r="AD723" i="5"/>
  <c r="AC723" i="5"/>
  <c r="AB723" i="5"/>
  <c r="AA723" i="5"/>
  <c r="X723" i="5"/>
  <c r="W723" i="5"/>
  <c r="V723" i="5"/>
  <c r="U723" i="5"/>
  <c r="T723" i="5"/>
  <c r="S723" i="5"/>
  <c r="P723" i="5"/>
  <c r="AG722" i="5"/>
  <c r="AD722" i="5"/>
  <c r="AC722" i="5"/>
  <c r="AB722" i="5"/>
  <c r="AA722" i="5"/>
  <c r="X722" i="5"/>
  <c r="W722" i="5"/>
  <c r="V722" i="5"/>
  <c r="U722" i="5"/>
  <c r="T722" i="5"/>
  <c r="S722" i="5"/>
  <c r="P722" i="5"/>
  <c r="Q722" i="5" s="1"/>
  <c r="R722" i="5" s="1"/>
  <c r="AG721" i="5"/>
  <c r="AD721" i="5"/>
  <c r="AC721" i="5"/>
  <c r="AB721" i="5"/>
  <c r="AA721" i="5"/>
  <c r="X721" i="5"/>
  <c r="W721" i="5"/>
  <c r="V721" i="5"/>
  <c r="U721" i="5"/>
  <c r="T721" i="5"/>
  <c r="S721" i="5"/>
  <c r="P721" i="5"/>
  <c r="AG720" i="5"/>
  <c r="AD720" i="5"/>
  <c r="AC720" i="5"/>
  <c r="AB720" i="5"/>
  <c r="AA720" i="5"/>
  <c r="X720" i="5"/>
  <c r="W720" i="5"/>
  <c r="V720" i="5"/>
  <c r="U720" i="5"/>
  <c r="T720" i="5"/>
  <c r="S720" i="5"/>
  <c r="P720" i="5"/>
  <c r="Q720" i="5" s="1"/>
  <c r="AG719" i="5"/>
  <c r="AD719" i="5"/>
  <c r="AC719" i="5"/>
  <c r="AB719" i="5"/>
  <c r="AA719" i="5"/>
  <c r="X719" i="5"/>
  <c r="W719" i="5"/>
  <c r="V719" i="5"/>
  <c r="U719" i="5"/>
  <c r="T719" i="5"/>
  <c r="S719" i="5"/>
  <c r="P719" i="5"/>
  <c r="AG718" i="5"/>
  <c r="AD718" i="5"/>
  <c r="AC718" i="5"/>
  <c r="AB718" i="5"/>
  <c r="AA718" i="5"/>
  <c r="X718" i="5"/>
  <c r="W718" i="5"/>
  <c r="V718" i="5"/>
  <c r="U718" i="5"/>
  <c r="T718" i="5"/>
  <c r="S718" i="5"/>
  <c r="P718" i="5"/>
  <c r="Q718" i="5" s="1"/>
  <c r="R718" i="5" s="1"/>
  <c r="AG717" i="5"/>
  <c r="AD717" i="5"/>
  <c r="AC717" i="5"/>
  <c r="AB717" i="5"/>
  <c r="AA717" i="5"/>
  <c r="X717" i="5"/>
  <c r="W717" i="5"/>
  <c r="V717" i="5"/>
  <c r="U717" i="5"/>
  <c r="T717" i="5"/>
  <c r="S717" i="5"/>
  <c r="P717" i="5"/>
  <c r="AG716" i="5"/>
  <c r="AD716" i="5"/>
  <c r="AC716" i="5"/>
  <c r="AB716" i="5"/>
  <c r="AA716" i="5"/>
  <c r="X716" i="5"/>
  <c r="W716" i="5"/>
  <c r="V716" i="5"/>
  <c r="U716" i="5"/>
  <c r="T716" i="5"/>
  <c r="S716" i="5"/>
  <c r="P716" i="5"/>
  <c r="Q716" i="5" s="1"/>
  <c r="AG715" i="5"/>
  <c r="AD715" i="5"/>
  <c r="AC715" i="5"/>
  <c r="AB715" i="5"/>
  <c r="AA715" i="5"/>
  <c r="X715" i="5"/>
  <c r="W715" i="5"/>
  <c r="V715" i="5"/>
  <c r="U715" i="5"/>
  <c r="T715" i="5"/>
  <c r="S715" i="5"/>
  <c r="P715" i="5"/>
  <c r="AG714" i="5"/>
  <c r="AD714" i="5"/>
  <c r="AC714" i="5"/>
  <c r="AB714" i="5"/>
  <c r="AA714" i="5"/>
  <c r="X714" i="5"/>
  <c r="W714" i="5"/>
  <c r="V714" i="5"/>
  <c r="U714" i="5"/>
  <c r="T714" i="5"/>
  <c r="S714" i="5"/>
  <c r="P714" i="5"/>
  <c r="Q714" i="5" s="1"/>
  <c r="R714" i="5" s="1"/>
  <c r="AG713" i="5"/>
  <c r="AD713" i="5"/>
  <c r="AC713" i="5"/>
  <c r="AB713" i="5"/>
  <c r="AA713" i="5"/>
  <c r="X713" i="5"/>
  <c r="W713" i="5"/>
  <c r="V713" i="5"/>
  <c r="U713" i="5"/>
  <c r="T713" i="5"/>
  <c r="S713" i="5"/>
  <c r="P713" i="5"/>
  <c r="AG712" i="5"/>
  <c r="AD712" i="5"/>
  <c r="AC712" i="5"/>
  <c r="AB712" i="5"/>
  <c r="AA712" i="5"/>
  <c r="X712" i="5"/>
  <c r="W712" i="5"/>
  <c r="V712" i="5"/>
  <c r="U712" i="5"/>
  <c r="T712" i="5"/>
  <c r="S712" i="5"/>
  <c r="P712" i="5"/>
  <c r="Q712" i="5" s="1"/>
  <c r="AG711" i="5"/>
  <c r="AD711" i="5"/>
  <c r="AC711" i="5"/>
  <c r="AB711" i="5"/>
  <c r="AA711" i="5"/>
  <c r="X711" i="5"/>
  <c r="W711" i="5"/>
  <c r="V711" i="5"/>
  <c r="U711" i="5"/>
  <c r="T711" i="5"/>
  <c r="S711" i="5"/>
  <c r="P711" i="5"/>
  <c r="AG710" i="5"/>
  <c r="AD710" i="5"/>
  <c r="AC710" i="5"/>
  <c r="AB710" i="5"/>
  <c r="AA710" i="5"/>
  <c r="X710" i="5"/>
  <c r="W710" i="5"/>
  <c r="V710" i="5"/>
  <c r="U710" i="5"/>
  <c r="T710" i="5"/>
  <c r="S710" i="5"/>
  <c r="P710" i="5"/>
  <c r="Q710" i="5" s="1"/>
  <c r="R710" i="5" s="1"/>
  <c r="AG709" i="5"/>
  <c r="AD709" i="5"/>
  <c r="AC709" i="5"/>
  <c r="AB709" i="5"/>
  <c r="AA709" i="5"/>
  <c r="X709" i="5"/>
  <c r="W709" i="5"/>
  <c r="V709" i="5"/>
  <c r="U709" i="5"/>
  <c r="T709" i="5"/>
  <c r="S709" i="5"/>
  <c r="R709" i="5"/>
  <c r="P709" i="5"/>
  <c r="Q709" i="5" s="1"/>
  <c r="AG708" i="5"/>
  <c r="AD708" i="5"/>
  <c r="AC708" i="5"/>
  <c r="AB708" i="5"/>
  <c r="AA708" i="5"/>
  <c r="X708" i="5"/>
  <c r="W708" i="5"/>
  <c r="V708" i="5"/>
  <c r="U708" i="5"/>
  <c r="T708" i="5"/>
  <c r="S708" i="5"/>
  <c r="P708" i="5"/>
  <c r="Q708" i="5" s="1"/>
  <c r="R708" i="5" s="1"/>
  <c r="AG707" i="5"/>
  <c r="AD707" i="5"/>
  <c r="AC707" i="5"/>
  <c r="AB707" i="5"/>
  <c r="AA707" i="5"/>
  <c r="X707" i="5"/>
  <c r="W707" i="5"/>
  <c r="V707" i="5"/>
  <c r="U707" i="5"/>
  <c r="T707" i="5"/>
  <c r="S707" i="5"/>
  <c r="P707" i="5"/>
  <c r="AG706" i="5"/>
  <c r="AD706" i="5"/>
  <c r="AC706" i="5"/>
  <c r="AB706" i="5"/>
  <c r="AA706" i="5"/>
  <c r="X706" i="5"/>
  <c r="W706" i="5"/>
  <c r="V706" i="5"/>
  <c r="U706" i="5"/>
  <c r="T706" i="5"/>
  <c r="S706" i="5"/>
  <c r="P706" i="5"/>
  <c r="Q706" i="5" s="1"/>
  <c r="R706" i="5" s="1"/>
  <c r="AG705" i="5"/>
  <c r="AD705" i="5"/>
  <c r="AC705" i="5"/>
  <c r="AB705" i="5"/>
  <c r="AA705" i="5"/>
  <c r="X705" i="5"/>
  <c r="W705" i="5"/>
  <c r="V705" i="5"/>
  <c r="U705" i="5"/>
  <c r="T705" i="5"/>
  <c r="S705" i="5"/>
  <c r="P705" i="5"/>
  <c r="AG704" i="5"/>
  <c r="AD704" i="5"/>
  <c r="AC704" i="5"/>
  <c r="AB704" i="5"/>
  <c r="AA704" i="5"/>
  <c r="X704" i="5"/>
  <c r="W704" i="5"/>
  <c r="V704" i="5"/>
  <c r="U704" i="5"/>
  <c r="T704" i="5"/>
  <c r="S704" i="5"/>
  <c r="P704" i="5"/>
  <c r="Q704" i="5" s="1"/>
  <c r="R704" i="5" s="1"/>
  <c r="AG703" i="5"/>
  <c r="AD703" i="5"/>
  <c r="AC703" i="5"/>
  <c r="AB703" i="5"/>
  <c r="AA703" i="5"/>
  <c r="X703" i="5"/>
  <c r="W703" i="5"/>
  <c r="V703" i="5"/>
  <c r="U703" i="5"/>
  <c r="T703" i="5"/>
  <c r="S703" i="5"/>
  <c r="R703" i="5"/>
  <c r="P703" i="5"/>
  <c r="Q703" i="5" s="1"/>
  <c r="AG702" i="5"/>
  <c r="AD702" i="5"/>
  <c r="AC702" i="5"/>
  <c r="AB702" i="5"/>
  <c r="AA702" i="5"/>
  <c r="X702" i="5"/>
  <c r="W702" i="5"/>
  <c r="V702" i="5"/>
  <c r="U702" i="5"/>
  <c r="T702" i="5"/>
  <c r="S702" i="5"/>
  <c r="P702" i="5"/>
  <c r="Q702" i="5" s="1"/>
  <c r="R702" i="5" s="1"/>
  <c r="AG701" i="5"/>
  <c r="AD701" i="5"/>
  <c r="AC701" i="5"/>
  <c r="AB701" i="5"/>
  <c r="AA701" i="5"/>
  <c r="X701" i="5"/>
  <c r="W701" i="5"/>
  <c r="V701" i="5"/>
  <c r="U701" i="5"/>
  <c r="T701" i="5"/>
  <c r="S701" i="5"/>
  <c r="P701" i="5"/>
  <c r="AG700" i="5"/>
  <c r="AD700" i="5"/>
  <c r="AC700" i="5"/>
  <c r="AB700" i="5"/>
  <c r="AA700" i="5"/>
  <c r="X700" i="5"/>
  <c r="W700" i="5"/>
  <c r="V700" i="5"/>
  <c r="U700" i="5"/>
  <c r="T700" i="5"/>
  <c r="S700" i="5"/>
  <c r="P700" i="5"/>
  <c r="Q700" i="5" s="1"/>
  <c r="R700" i="5" s="1"/>
  <c r="AG699" i="5"/>
  <c r="AD699" i="5"/>
  <c r="AC699" i="5"/>
  <c r="AB699" i="5"/>
  <c r="AA699" i="5"/>
  <c r="X699" i="5"/>
  <c r="W699" i="5"/>
  <c r="V699" i="5"/>
  <c r="U699" i="5"/>
  <c r="T699" i="5"/>
  <c r="S699" i="5"/>
  <c r="P699" i="5"/>
  <c r="AG698" i="5"/>
  <c r="AD698" i="5"/>
  <c r="AC698" i="5"/>
  <c r="AB698" i="5"/>
  <c r="AA698" i="5"/>
  <c r="X698" i="5"/>
  <c r="W698" i="5"/>
  <c r="V698" i="5"/>
  <c r="U698" i="5"/>
  <c r="T698" i="5"/>
  <c r="S698" i="5"/>
  <c r="P698" i="5"/>
  <c r="Q698" i="5" s="1"/>
  <c r="R698" i="5" s="1"/>
  <c r="AG697" i="5"/>
  <c r="AD697" i="5"/>
  <c r="AC697" i="5"/>
  <c r="AB697" i="5"/>
  <c r="AA697" i="5"/>
  <c r="X697" i="5"/>
  <c r="W697" i="5"/>
  <c r="V697" i="5"/>
  <c r="U697" i="5"/>
  <c r="T697" i="5"/>
  <c r="S697" i="5"/>
  <c r="P697" i="5"/>
  <c r="AG696" i="5"/>
  <c r="AD696" i="5"/>
  <c r="AC696" i="5"/>
  <c r="AB696" i="5"/>
  <c r="AA696" i="5"/>
  <c r="X696" i="5"/>
  <c r="W696" i="5"/>
  <c r="V696" i="5"/>
  <c r="U696" i="5"/>
  <c r="T696" i="5"/>
  <c r="S696" i="5"/>
  <c r="P696" i="5"/>
  <c r="Q696" i="5" s="1"/>
  <c r="R696" i="5" s="1"/>
  <c r="AG695" i="5"/>
  <c r="AD695" i="5"/>
  <c r="AC695" i="5"/>
  <c r="AB695" i="5"/>
  <c r="AA695" i="5"/>
  <c r="X695" i="5"/>
  <c r="W695" i="5"/>
  <c r="V695" i="5"/>
  <c r="U695" i="5"/>
  <c r="T695" i="5"/>
  <c r="S695" i="5"/>
  <c r="P695" i="5"/>
  <c r="AG694" i="5"/>
  <c r="AD694" i="5"/>
  <c r="AC694" i="5"/>
  <c r="AB694" i="5"/>
  <c r="AA694" i="5"/>
  <c r="X694" i="5"/>
  <c r="W694" i="5"/>
  <c r="V694" i="5"/>
  <c r="U694" i="5"/>
  <c r="T694" i="5"/>
  <c r="S694" i="5"/>
  <c r="P694" i="5"/>
  <c r="Q694" i="5" s="1"/>
  <c r="R694" i="5" s="1"/>
  <c r="AG693" i="5"/>
  <c r="AD693" i="5"/>
  <c r="AC693" i="5"/>
  <c r="AB693" i="5"/>
  <c r="AA693" i="5"/>
  <c r="X693" i="5"/>
  <c r="W693" i="5"/>
  <c r="V693" i="5"/>
  <c r="U693" i="5"/>
  <c r="T693" i="5"/>
  <c r="S693" i="5"/>
  <c r="P693" i="5"/>
  <c r="AG692" i="5"/>
  <c r="AD692" i="5"/>
  <c r="AC692" i="5"/>
  <c r="AB692" i="5"/>
  <c r="AA692" i="5"/>
  <c r="X692" i="5"/>
  <c r="W692" i="5"/>
  <c r="V692" i="5"/>
  <c r="U692" i="5"/>
  <c r="T692" i="5"/>
  <c r="S692" i="5"/>
  <c r="P692" i="5"/>
  <c r="AG691" i="5"/>
  <c r="AD691" i="5"/>
  <c r="AC691" i="5"/>
  <c r="AB691" i="5"/>
  <c r="AA691" i="5"/>
  <c r="X691" i="5"/>
  <c r="W691" i="5"/>
  <c r="V691" i="5"/>
  <c r="U691" i="5"/>
  <c r="T691" i="5"/>
  <c r="S691" i="5"/>
  <c r="P691" i="5"/>
  <c r="AG690" i="5"/>
  <c r="AD690" i="5"/>
  <c r="AC690" i="5"/>
  <c r="AB690" i="5"/>
  <c r="AA690" i="5"/>
  <c r="X690" i="5"/>
  <c r="W690" i="5"/>
  <c r="V690" i="5"/>
  <c r="U690" i="5"/>
  <c r="T690" i="5"/>
  <c r="S690" i="5"/>
  <c r="P690" i="5"/>
  <c r="Q690" i="5" s="1"/>
  <c r="R690" i="5" s="1"/>
  <c r="AG689" i="5"/>
  <c r="AD689" i="5"/>
  <c r="AC689" i="5"/>
  <c r="AB689" i="5"/>
  <c r="AA689" i="5"/>
  <c r="X689" i="5"/>
  <c r="W689" i="5"/>
  <c r="V689" i="5"/>
  <c r="U689" i="5"/>
  <c r="T689" i="5"/>
  <c r="S689" i="5"/>
  <c r="P689" i="5"/>
  <c r="AG688" i="5"/>
  <c r="AD688" i="5"/>
  <c r="AC688" i="5"/>
  <c r="AB688" i="5"/>
  <c r="AA688" i="5"/>
  <c r="X688" i="5"/>
  <c r="W688" i="5"/>
  <c r="V688" i="5"/>
  <c r="U688" i="5"/>
  <c r="T688" i="5"/>
  <c r="S688" i="5"/>
  <c r="P688" i="5"/>
  <c r="AG687" i="5"/>
  <c r="AD687" i="5"/>
  <c r="AC687" i="5"/>
  <c r="AB687" i="5"/>
  <c r="AA687" i="5"/>
  <c r="X687" i="5"/>
  <c r="W687" i="5"/>
  <c r="V687" i="5"/>
  <c r="U687" i="5"/>
  <c r="T687" i="5"/>
  <c r="S687" i="5"/>
  <c r="P687" i="5"/>
  <c r="AG686" i="5"/>
  <c r="AD686" i="5"/>
  <c r="AC686" i="5"/>
  <c r="AB686" i="5"/>
  <c r="AA686" i="5"/>
  <c r="X686" i="5"/>
  <c r="W686" i="5"/>
  <c r="V686" i="5"/>
  <c r="U686" i="5"/>
  <c r="T686" i="5"/>
  <c r="S686" i="5"/>
  <c r="P686" i="5"/>
  <c r="Q686" i="5" s="1"/>
  <c r="R686" i="5" s="1"/>
  <c r="AG685" i="5"/>
  <c r="AD685" i="5"/>
  <c r="AC685" i="5"/>
  <c r="AB685" i="5"/>
  <c r="AA685" i="5"/>
  <c r="X685" i="5"/>
  <c r="W685" i="5"/>
  <c r="V685" i="5"/>
  <c r="U685" i="5"/>
  <c r="T685" i="5"/>
  <c r="S685" i="5"/>
  <c r="P685" i="5"/>
  <c r="AG684" i="5"/>
  <c r="AD684" i="5"/>
  <c r="AC684" i="5"/>
  <c r="AB684" i="5"/>
  <c r="AA684" i="5"/>
  <c r="X684" i="5"/>
  <c r="W684" i="5"/>
  <c r="V684" i="5"/>
  <c r="U684" i="5"/>
  <c r="T684" i="5"/>
  <c r="S684" i="5"/>
  <c r="P684" i="5"/>
  <c r="Q684" i="5" s="1"/>
  <c r="R684" i="5" s="1"/>
  <c r="AG683" i="5"/>
  <c r="AD683" i="5"/>
  <c r="AC683" i="5"/>
  <c r="AB683" i="5"/>
  <c r="AA683" i="5"/>
  <c r="X683" i="5"/>
  <c r="W683" i="5"/>
  <c r="V683" i="5"/>
  <c r="U683" i="5"/>
  <c r="T683" i="5"/>
  <c r="S683" i="5"/>
  <c r="P683" i="5"/>
  <c r="AG682" i="5"/>
  <c r="AD682" i="5"/>
  <c r="AC682" i="5"/>
  <c r="AB682" i="5"/>
  <c r="AA682" i="5"/>
  <c r="X682" i="5"/>
  <c r="W682" i="5"/>
  <c r="V682" i="5"/>
  <c r="U682" i="5"/>
  <c r="T682" i="5"/>
  <c r="S682" i="5"/>
  <c r="P682" i="5"/>
  <c r="Q682" i="5" s="1"/>
  <c r="R682" i="5" s="1"/>
  <c r="AG681" i="5"/>
  <c r="AD681" i="5"/>
  <c r="AC681" i="5"/>
  <c r="AB681" i="5"/>
  <c r="AA681" i="5"/>
  <c r="X681" i="5"/>
  <c r="W681" i="5"/>
  <c r="V681" i="5"/>
  <c r="U681" i="5"/>
  <c r="T681" i="5"/>
  <c r="S681" i="5"/>
  <c r="P681" i="5"/>
  <c r="AG680" i="5"/>
  <c r="AD680" i="5"/>
  <c r="AC680" i="5"/>
  <c r="AB680" i="5"/>
  <c r="AA680" i="5"/>
  <c r="X680" i="5"/>
  <c r="W680" i="5"/>
  <c r="V680" i="5"/>
  <c r="U680" i="5"/>
  <c r="T680" i="5"/>
  <c r="S680" i="5"/>
  <c r="P680" i="5"/>
  <c r="Q680" i="5" s="1"/>
  <c r="R680" i="5" s="1"/>
  <c r="AG679" i="5"/>
  <c r="AD679" i="5"/>
  <c r="AC679" i="5"/>
  <c r="AB679" i="5"/>
  <c r="AA679" i="5"/>
  <c r="X679" i="5"/>
  <c r="W679" i="5"/>
  <c r="V679" i="5"/>
  <c r="U679" i="5"/>
  <c r="T679" i="5"/>
  <c r="S679" i="5"/>
  <c r="R679" i="5"/>
  <c r="P679" i="5"/>
  <c r="Q679" i="5" s="1"/>
  <c r="AG678" i="5"/>
  <c r="AD678" i="5"/>
  <c r="AC678" i="5"/>
  <c r="AB678" i="5"/>
  <c r="AA678" i="5"/>
  <c r="X678" i="5"/>
  <c r="W678" i="5"/>
  <c r="V678" i="5"/>
  <c r="U678" i="5"/>
  <c r="T678" i="5"/>
  <c r="S678" i="5"/>
  <c r="P678" i="5"/>
  <c r="Q678" i="5" s="1"/>
  <c r="R678" i="5" s="1"/>
  <c r="AG677" i="5"/>
  <c r="AD677" i="5"/>
  <c r="AC677" i="5"/>
  <c r="AB677" i="5"/>
  <c r="AA677" i="5"/>
  <c r="X677" i="5"/>
  <c r="W677" i="5"/>
  <c r="V677" i="5"/>
  <c r="U677" i="5"/>
  <c r="T677" i="5"/>
  <c r="S677" i="5"/>
  <c r="P677" i="5"/>
  <c r="AG676" i="5"/>
  <c r="AD676" i="5"/>
  <c r="AC676" i="5"/>
  <c r="AB676" i="5"/>
  <c r="AA676" i="5"/>
  <c r="X676" i="5"/>
  <c r="W676" i="5"/>
  <c r="V676" i="5"/>
  <c r="U676" i="5"/>
  <c r="T676" i="5"/>
  <c r="S676" i="5"/>
  <c r="P676" i="5"/>
  <c r="AG675" i="5"/>
  <c r="AD675" i="5"/>
  <c r="AC675" i="5"/>
  <c r="AB675" i="5"/>
  <c r="AA675" i="5"/>
  <c r="X675" i="5"/>
  <c r="W675" i="5"/>
  <c r="V675" i="5"/>
  <c r="U675" i="5"/>
  <c r="T675" i="5"/>
  <c r="S675" i="5"/>
  <c r="R675" i="5"/>
  <c r="P675" i="5"/>
  <c r="Q675" i="5" s="1"/>
  <c r="AG674" i="5"/>
  <c r="AD674" i="5"/>
  <c r="AC674" i="5"/>
  <c r="AB674" i="5"/>
  <c r="AA674" i="5"/>
  <c r="X674" i="5"/>
  <c r="W674" i="5"/>
  <c r="V674" i="5"/>
  <c r="U674" i="5"/>
  <c r="T674" i="5"/>
  <c r="S674" i="5"/>
  <c r="P674" i="5"/>
  <c r="Q674" i="5" s="1"/>
  <c r="R674" i="5" s="1"/>
  <c r="AG673" i="5"/>
  <c r="AD673" i="5"/>
  <c r="AC673" i="5"/>
  <c r="AB673" i="5"/>
  <c r="AA673" i="5"/>
  <c r="X673" i="5"/>
  <c r="W673" i="5"/>
  <c r="V673" i="5"/>
  <c r="U673" i="5"/>
  <c r="T673" i="5"/>
  <c r="S673" i="5"/>
  <c r="P673" i="5"/>
  <c r="AG672" i="5"/>
  <c r="AD672" i="5"/>
  <c r="AC672" i="5"/>
  <c r="AB672" i="5"/>
  <c r="AA672" i="5"/>
  <c r="X672" i="5"/>
  <c r="W672" i="5"/>
  <c r="V672" i="5"/>
  <c r="U672" i="5"/>
  <c r="T672" i="5"/>
  <c r="S672" i="5"/>
  <c r="P672" i="5"/>
  <c r="AG671" i="5"/>
  <c r="AD671" i="5"/>
  <c r="AC671" i="5"/>
  <c r="AB671" i="5"/>
  <c r="AA671" i="5"/>
  <c r="X671" i="5"/>
  <c r="W671" i="5"/>
  <c r="V671" i="5"/>
  <c r="U671" i="5"/>
  <c r="T671" i="5"/>
  <c r="S671" i="5"/>
  <c r="P671" i="5"/>
  <c r="AG670" i="5"/>
  <c r="AD670" i="5"/>
  <c r="AC670" i="5"/>
  <c r="AB670" i="5"/>
  <c r="AA670" i="5"/>
  <c r="X670" i="5"/>
  <c r="W670" i="5"/>
  <c r="V670" i="5"/>
  <c r="U670" i="5"/>
  <c r="T670" i="5"/>
  <c r="S670" i="5"/>
  <c r="P670" i="5"/>
  <c r="AG669" i="5"/>
  <c r="AD669" i="5"/>
  <c r="AC669" i="5"/>
  <c r="AB669" i="5"/>
  <c r="AA669" i="5"/>
  <c r="X669" i="5"/>
  <c r="W669" i="5"/>
  <c r="V669" i="5"/>
  <c r="U669" i="5"/>
  <c r="T669" i="5"/>
  <c r="S669" i="5"/>
  <c r="P669" i="5"/>
  <c r="AG668" i="5"/>
  <c r="AD668" i="5"/>
  <c r="AC668" i="5"/>
  <c r="AB668" i="5"/>
  <c r="AA668" i="5"/>
  <c r="X668" i="5"/>
  <c r="W668" i="5"/>
  <c r="V668" i="5"/>
  <c r="U668" i="5"/>
  <c r="T668" i="5"/>
  <c r="S668" i="5"/>
  <c r="P668" i="5"/>
  <c r="Q668" i="5" s="1"/>
  <c r="R668" i="5" s="1"/>
  <c r="AG667" i="5"/>
  <c r="AD667" i="5"/>
  <c r="AC667" i="5"/>
  <c r="AB667" i="5"/>
  <c r="AA667" i="5"/>
  <c r="X667" i="5"/>
  <c r="W667" i="5"/>
  <c r="V667" i="5"/>
  <c r="U667" i="5"/>
  <c r="T667" i="5"/>
  <c r="S667" i="5"/>
  <c r="P667" i="5"/>
  <c r="AG666" i="5"/>
  <c r="AD666" i="5"/>
  <c r="AC666" i="5"/>
  <c r="AB666" i="5"/>
  <c r="AA666" i="5"/>
  <c r="X666" i="5"/>
  <c r="W666" i="5"/>
  <c r="V666" i="5"/>
  <c r="U666" i="5"/>
  <c r="T666" i="5"/>
  <c r="S666" i="5"/>
  <c r="P666" i="5"/>
  <c r="Q666" i="5" s="1"/>
  <c r="R666" i="5" s="1"/>
  <c r="AG665" i="5"/>
  <c r="AD665" i="5"/>
  <c r="AC665" i="5"/>
  <c r="AB665" i="5"/>
  <c r="AA665" i="5"/>
  <c r="X665" i="5"/>
  <c r="W665" i="5"/>
  <c r="V665" i="5"/>
  <c r="U665" i="5"/>
  <c r="T665" i="5"/>
  <c r="S665" i="5"/>
  <c r="P665" i="5"/>
  <c r="AG664" i="5"/>
  <c r="AD664" i="5"/>
  <c r="AC664" i="5"/>
  <c r="AB664" i="5"/>
  <c r="AA664" i="5"/>
  <c r="X664" i="5"/>
  <c r="W664" i="5"/>
  <c r="V664" i="5"/>
  <c r="U664" i="5"/>
  <c r="T664" i="5"/>
  <c r="S664" i="5"/>
  <c r="P664" i="5"/>
  <c r="Q664" i="5" s="1"/>
  <c r="R664" i="5" s="1"/>
  <c r="AG663" i="5"/>
  <c r="AD663" i="5"/>
  <c r="AC663" i="5"/>
  <c r="AB663" i="5"/>
  <c r="AA663" i="5"/>
  <c r="X663" i="5"/>
  <c r="W663" i="5"/>
  <c r="V663" i="5"/>
  <c r="U663" i="5"/>
  <c r="T663" i="5"/>
  <c r="S663" i="5"/>
  <c r="P663" i="5"/>
  <c r="AG662" i="5"/>
  <c r="AD662" i="5"/>
  <c r="AC662" i="5"/>
  <c r="AB662" i="5"/>
  <c r="AA662" i="5"/>
  <c r="X662" i="5"/>
  <c r="W662" i="5"/>
  <c r="V662" i="5"/>
  <c r="U662" i="5"/>
  <c r="T662" i="5"/>
  <c r="S662" i="5"/>
  <c r="P662" i="5"/>
  <c r="Q662" i="5" s="1"/>
  <c r="R662" i="5" s="1"/>
  <c r="AG661" i="5"/>
  <c r="AD661" i="5"/>
  <c r="AC661" i="5"/>
  <c r="AB661" i="5"/>
  <c r="AA661" i="5"/>
  <c r="X661" i="5"/>
  <c r="W661" i="5"/>
  <c r="V661" i="5"/>
  <c r="U661" i="5"/>
  <c r="T661" i="5"/>
  <c r="S661" i="5"/>
  <c r="P661" i="5"/>
  <c r="AG660" i="5"/>
  <c r="AD660" i="5"/>
  <c r="AC660" i="5"/>
  <c r="AB660" i="5"/>
  <c r="AA660" i="5"/>
  <c r="X660" i="5"/>
  <c r="W660" i="5"/>
  <c r="V660" i="5"/>
  <c r="U660" i="5"/>
  <c r="T660" i="5"/>
  <c r="S660" i="5"/>
  <c r="P660" i="5"/>
  <c r="Q660" i="5" s="1"/>
  <c r="R660" i="5" s="1"/>
  <c r="AG659" i="5"/>
  <c r="AD659" i="5"/>
  <c r="AC659" i="5"/>
  <c r="AB659" i="5"/>
  <c r="AA659" i="5"/>
  <c r="X659" i="5"/>
  <c r="W659" i="5"/>
  <c r="V659" i="5"/>
  <c r="U659" i="5"/>
  <c r="T659" i="5"/>
  <c r="S659" i="5"/>
  <c r="P659" i="5"/>
  <c r="AG658" i="5"/>
  <c r="AD658" i="5"/>
  <c r="AC658" i="5"/>
  <c r="AB658" i="5"/>
  <c r="AA658" i="5"/>
  <c r="X658" i="5"/>
  <c r="W658" i="5"/>
  <c r="V658" i="5"/>
  <c r="U658" i="5"/>
  <c r="T658" i="5"/>
  <c r="S658" i="5"/>
  <c r="P658" i="5"/>
  <c r="Q658" i="5" s="1"/>
  <c r="R658" i="5" s="1"/>
  <c r="AG657" i="5"/>
  <c r="AD657" i="5"/>
  <c r="AC657" i="5"/>
  <c r="AB657" i="5"/>
  <c r="AA657" i="5"/>
  <c r="X657" i="5"/>
  <c r="W657" i="5"/>
  <c r="V657" i="5"/>
  <c r="U657" i="5"/>
  <c r="T657" i="5"/>
  <c r="S657" i="5"/>
  <c r="P657" i="5"/>
  <c r="Q657" i="5" s="1"/>
  <c r="AG656" i="5"/>
  <c r="AD656" i="5"/>
  <c r="AC656" i="5"/>
  <c r="AB656" i="5"/>
  <c r="AA656" i="5"/>
  <c r="X656" i="5"/>
  <c r="W656" i="5"/>
  <c r="V656" i="5"/>
  <c r="U656" i="5"/>
  <c r="T656" i="5"/>
  <c r="S656" i="5"/>
  <c r="P656" i="5"/>
  <c r="Q656" i="5" s="1"/>
  <c r="R656" i="5" s="1"/>
  <c r="AG655" i="5"/>
  <c r="AD655" i="5"/>
  <c r="AC655" i="5"/>
  <c r="AB655" i="5"/>
  <c r="AA655" i="5"/>
  <c r="X655" i="5"/>
  <c r="W655" i="5"/>
  <c r="V655" i="5"/>
  <c r="U655" i="5"/>
  <c r="T655" i="5"/>
  <c r="S655" i="5"/>
  <c r="P655" i="5"/>
  <c r="AG654" i="5"/>
  <c r="AD654" i="5"/>
  <c r="AC654" i="5"/>
  <c r="AB654" i="5"/>
  <c r="AA654" i="5"/>
  <c r="X654" i="5"/>
  <c r="W654" i="5"/>
  <c r="V654" i="5"/>
  <c r="U654" i="5"/>
  <c r="T654" i="5"/>
  <c r="S654" i="5"/>
  <c r="R654" i="5"/>
  <c r="P654" i="5"/>
  <c r="Q654" i="5" s="1"/>
  <c r="AG653" i="5"/>
  <c r="AD653" i="5"/>
  <c r="AC653" i="5"/>
  <c r="AB653" i="5"/>
  <c r="AA653" i="5"/>
  <c r="X653" i="5"/>
  <c r="W653" i="5"/>
  <c r="V653" i="5"/>
  <c r="U653" i="5"/>
  <c r="T653" i="5"/>
  <c r="S653" i="5"/>
  <c r="P653" i="5"/>
  <c r="Q653" i="5" s="1"/>
  <c r="AG652" i="5"/>
  <c r="AD652" i="5"/>
  <c r="AC652" i="5"/>
  <c r="AB652" i="5"/>
  <c r="AA652" i="5"/>
  <c r="X652" i="5"/>
  <c r="W652" i="5"/>
  <c r="V652" i="5"/>
  <c r="U652" i="5"/>
  <c r="T652" i="5"/>
  <c r="S652" i="5"/>
  <c r="P652" i="5"/>
  <c r="AG651" i="5"/>
  <c r="AD651" i="5"/>
  <c r="AC651" i="5"/>
  <c r="AB651" i="5"/>
  <c r="AA651" i="5"/>
  <c r="X651" i="5"/>
  <c r="W651" i="5"/>
  <c r="V651" i="5"/>
  <c r="U651" i="5"/>
  <c r="T651" i="5"/>
  <c r="S651" i="5"/>
  <c r="P651" i="5"/>
  <c r="Q651" i="5" s="1"/>
  <c r="AG650" i="5"/>
  <c r="AD650" i="5"/>
  <c r="AC650" i="5"/>
  <c r="AB650" i="5"/>
  <c r="AA650" i="5"/>
  <c r="X650" i="5"/>
  <c r="W650" i="5"/>
  <c r="V650" i="5"/>
  <c r="U650" i="5"/>
  <c r="T650" i="5"/>
  <c r="S650" i="5"/>
  <c r="P650" i="5"/>
  <c r="Q650" i="5" s="1"/>
  <c r="R650" i="5" s="1"/>
  <c r="AG649" i="5"/>
  <c r="AD649" i="5"/>
  <c r="AC649" i="5"/>
  <c r="AB649" i="5"/>
  <c r="AA649" i="5"/>
  <c r="X649" i="5"/>
  <c r="W649" i="5"/>
  <c r="V649" i="5"/>
  <c r="U649" i="5"/>
  <c r="T649" i="5"/>
  <c r="S649" i="5"/>
  <c r="P649" i="5"/>
  <c r="AG648" i="5"/>
  <c r="AD648" i="5"/>
  <c r="AC648" i="5"/>
  <c r="AB648" i="5"/>
  <c r="AA648" i="5"/>
  <c r="X648" i="5"/>
  <c r="W648" i="5"/>
  <c r="V648" i="5"/>
  <c r="U648" i="5"/>
  <c r="T648" i="5"/>
  <c r="S648" i="5"/>
  <c r="P648" i="5"/>
  <c r="AG647" i="5"/>
  <c r="AD647" i="5"/>
  <c r="AC647" i="5"/>
  <c r="AB647" i="5"/>
  <c r="AA647" i="5"/>
  <c r="X647" i="5"/>
  <c r="W647" i="5"/>
  <c r="V647" i="5"/>
  <c r="U647" i="5"/>
  <c r="T647" i="5"/>
  <c r="S647" i="5"/>
  <c r="P647" i="5"/>
  <c r="Q647" i="5" s="1"/>
  <c r="R647" i="5" s="1"/>
  <c r="AG646" i="5"/>
  <c r="AD646" i="5"/>
  <c r="AC646" i="5"/>
  <c r="AB646" i="5"/>
  <c r="AA646" i="5"/>
  <c r="X646" i="5"/>
  <c r="W646" i="5"/>
  <c r="V646" i="5"/>
  <c r="U646" i="5"/>
  <c r="T646" i="5"/>
  <c r="S646" i="5"/>
  <c r="P646" i="5"/>
  <c r="Q646" i="5" s="1"/>
  <c r="R646" i="5" s="1"/>
  <c r="AG645" i="5"/>
  <c r="AD645" i="5"/>
  <c r="AC645" i="5"/>
  <c r="AB645" i="5"/>
  <c r="AA645" i="5"/>
  <c r="X645" i="5"/>
  <c r="W645" i="5"/>
  <c r="V645" i="5"/>
  <c r="U645" i="5"/>
  <c r="T645" i="5"/>
  <c r="S645" i="5"/>
  <c r="P645" i="5"/>
  <c r="AG644" i="5"/>
  <c r="AD644" i="5"/>
  <c r="AC644" i="5"/>
  <c r="AB644" i="5"/>
  <c r="AA644" i="5"/>
  <c r="X644" i="5"/>
  <c r="W644" i="5"/>
  <c r="V644" i="5"/>
  <c r="U644" i="5"/>
  <c r="T644" i="5"/>
  <c r="S644" i="5"/>
  <c r="R644" i="5"/>
  <c r="P644" i="5"/>
  <c r="Q644" i="5" s="1"/>
  <c r="AG643" i="5"/>
  <c r="AD643" i="5"/>
  <c r="AC643" i="5"/>
  <c r="AB643" i="5"/>
  <c r="AA643" i="5"/>
  <c r="X643" i="5"/>
  <c r="W643" i="5"/>
  <c r="V643" i="5"/>
  <c r="U643" i="5"/>
  <c r="T643" i="5"/>
  <c r="S643" i="5"/>
  <c r="P643" i="5"/>
  <c r="Q643" i="5" s="1"/>
  <c r="AG642" i="5"/>
  <c r="AD642" i="5"/>
  <c r="AC642" i="5"/>
  <c r="AB642" i="5"/>
  <c r="AA642" i="5"/>
  <c r="X642" i="5"/>
  <c r="W642" i="5"/>
  <c r="V642" i="5"/>
  <c r="U642" i="5"/>
  <c r="T642" i="5"/>
  <c r="S642" i="5"/>
  <c r="P642" i="5"/>
  <c r="Q642" i="5" s="1"/>
  <c r="R642" i="5" s="1"/>
  <c r="AG641" i="5"/>
  <c r="AD641" i="5"/>
  <c r="AC641" i="5"/>
  <c r="AB641" i="5"/>
  <c r="AA641" i="5"/>
  <c r="X641" i="5"/>
  <c r="W641" i="5"/>
  <c r="V641" i="5"/>
  <c r="U641" i="5"/>
  <c r="T641" i="5"/>
  <c r="S641" i="5"/>
  <c r="P641" i="5"/>
  <c r="AG640" i="5"/>
  <c r="AD640" i="5"/>
  <c r="AC640" i="5"/>
  <c r="AB640" i="5"/>
  <c r="AA640" i="5"/>
  <c r="X640" i="5"/>
  <c r="W640" i="5"/>
  <c r="V640" i="5"/>
  <c r="U640" i="5"/>
  <c r="T640" i="5"/>
  <c r="S640" i="5"/>
  <c r="P640" i="5"/>
  <c r="AG639" i="5"/>
  <c r="AD639" i="5"/>
  <c r="AC639" i="5"/>
  <c r="AB639" i="5"/>
  <c r="AA639" i="5"/>
  <c r="X639" i="5"/>
  <c r="W639" i="5"/>
  <c r="V639" i="5"/>
  <c r="U639" i="5"/>
  <c r="T639" i="5"/>
  <c r="S639" i="5"/>
  <c r="P639" i="5"/>
  <c r="Q639" i="5" s="1"/>
  <c r="AG638" i="5"/>
  <c r="AD638" i="5"/>
  <c r="AC638" i="5"/>
  <c r="AB638" i="5"/>
  <c r="AA638" i="5"/>
  <c r="X638" i="5"/>
  <c r="W638" i="5"/>
  <c r="V638" i="5"/>
  <c r="U638" i="5"/>
  <c r="T638" i="5"/>
  <c r="S638" i="5"/>
  <c r="P638" i="5"/>
  <c r="Q638" i="5" s="1"/>
  <c r="R638" i="5" s="1"/>
  <c r="AG637" i="5"/>
  <c r="AD637" i="5"/>
  <c r="AC637" i="5"/>
  <c r="AB637" i="5"/>
  <c r="AA637" i="5"/>
  <c r="X637" i="5"/>
  <c r="W637" i="5"/>
  <c r="V637" i="5"/>
  <c r="U637" i="5"/>
  <c r="T637" i="5"/>
  <c r="S637" i="5"/>
  <c r="P637" i="5"/>
  <c r="AG636" i="5"/>
  <c r="AD636" i="5"/>
  <c r="AC636" i="5"/>
  <c r="AB636" i="5"/>
  <c r="AA636" i="5"/>
  <c r="X636" i="5"/>
  <c r="W636" i="5"/>
  <c r="V636" i="5"/>
  <c r="U636" i="5"/>
  <c r="T636" i="5"/>
  <c r="S636" i="5"/>
  <c r="P636" i="5"/>
  <c r="AG635" i="5"/>
  <c r="AD635" i="5"/>
  <c r="AC635" i="5"/>
  <c r="AB635" i="5"/>
  <c r="AA635" i="5"/>
  <c r="X635" i="5"/>
  <c r="W635" i="5"/>
  <c r="V635" i="5"/>
  <c r="U635" i="5"/>
  <c r="T635" i="5"/>
  <c r="S635" i="5"/>
  <c r="P635" i="5"/>
  <c r="AG634" i="5"/>
  <c r="AD634" i="5"/>
  <c r="AC634" i="5"/>
  <c r="AB634" i="5"/>
  <c r="AA634" i="5"/>
  <c r="X634" i="5"/>
  <c r="W634" i="5"/>
  <c r="V634" i="5"/>
  <c r="U634" i="5"/>
  <c r="T634" i="5"/>
  <c r="S634" i="5"/>
  <c r="P634" i="5"/>
  <c r="Q634" i="5" s="1"/>
  <c r="R634" i="5" s="1"/>
  <c r="AG633" i="5"/>
  <c r="AD633" i="5"/>
  <c r="AC633" i="5"/>
  <c r="AB633" i="5"/>
  <c r="AA633" i="5"/>
  <c r="X633" i="5"/>
  <c r="W633" i="5"/>
  <c r="V633" i="5"/>
  <c r="U633" i="5"/>
  <c r="T633" i="5"/>
  <c r="S633" i="5"/>
  <c r="R633" i="5"/>
  <c r="P633" i="5"/>
  <c r="Q633" i="5" s="1"/>
  <c r="AG632" i="5"/>
  <c r="AD632" i="5"/>
  <c r="AC632" i="5"/>
  <c r="AB632" i="5"/>
  <c r="AA632" i="5"/>
  <c r="X632" i="5"/>
  <c r="W632" i="5"/>
  <c r="V632" i="5"/>
  <c r="U632" i="5"/>
  <c r="T632" i="5"/>
  <c r="S632" i="5"/>
  <c r="P632" i="5"/>
  <c r="AG631" i="5"/>
  <c r="AD631" i="5"/>
  <c r="AC631" i="5"/>
  <c r="AB631" i="5"/>
  <c r="AA631" i="5"/>
  <c r="X631" i="5"/>
  <c r="W631" i="5"/>
  <c r="V631" i="5"/>
  <c r="U631" i="5"/>
  <c r="T631" i="5"/>
  <c r="S631" i="5"/>
  <c r="P631" i="5"/>
  <c r="AG630" i="5"/>
  <c r="AD630" i="5"/>
  <c r="AC630" i="5"/>
  <c r="AB630" i="5"/>
  <c r="AA630" i="5"/>
  <c r="X630" i="5"/>
  <c r="W630" i="5"/>
  <c r="V630" i="5"/>
  <c r="U630" i="5"/>
  <c r="T630" i="5"/>
  <c r="S630" i="5"/>
  <c r="P630" i="5"/>
  <c r="Q630" i="5" s="1"/>
  <c r="R630" i="5" s="1"/>
  <c r="AG629" i="5"/>
  <c r="AD629" i="5"/>
  <c r="AC629" i="5"/>
  <c r="AB629" i="5"/>
  <c r="AA629" i="5"/>
  <c r="X629" i="5"/>
  <c r="W629" i="5"/>
  <c r="V629" i="5"/>
  <c r="U629" i="5"/>
  <c r="T629" i="5"/>
  <c r="S629" i="5"/>
  <c r="P629" i="5"/>
  <c r="AG628" i="5"/>
  <c r="AD628" i="5"/>
  <c r="AC628" i="5"/>
  <c r="AB628" i="5"/>
  <c r="AA628" i="5"/>
  <c r="X628" i="5"/>
  <c r="W628" i="5"/>
  <c r="V628" i="5"/>
  <c r="U628" i="5"/>
  <c r="T628" i="5"/>
  <c r="S628" i="5"/>
  <c r="P628" i="5"/>
  <c r="AG627" i="5"/>
  <c r="AD627" i="5"/>
  <c r="AC627" i="5"/>
  <c r="AB627" i="5"/>
  <c r="AA627" i="5"/>
  <c r="X627" i="5"/>
  <c r="W627" i="5"/>
  <c r="V627" i="5"/>
  <c r="U627" i="5"/>
  <c r="T627" i="5"/>
  <c r="S627" i="5"/>
  <c r="P627" i="5"/>
  <c r="AG626" i="5"/>
  <c r="AD626" i="5"/>
  <c r="AC626" i="5"/>
  <c r="AB626" i="5"/>
  <c r="AA626" i="5"/>
  <c r="X626" i="5"/>
  <c r="W626" i="5"/>
  <c r="V626" i="5"/>
  <c r="U626" i="5"/>
  <c r="T626" i="5"/>
  <c r="S626" i="5"/>
  <c r="P626" i="5"/>
  <c r="Q626" i="5" s="1"/>
  <c r="R626" i="5" s="1"/>
  <c r="AG625" i="5"/>
  <c r="AD625" i="5"/>
  <c r="AC625" i="5"/>
  <c r="AB625" i="5"/>
  <c r="AA625" i="5"/>
  <c r="X625" i="5"/>
  <c r="W625" i="5"/>
  <c r="V625" i="5"/>
  <c r="U625" i="5"/>
  <c r="T625" i="5"/>
  <c r="S625" i="5"/>
  <c r="P625" i="5"/>
  <c r="AG624" i="5"/>
  <c r="AD624" i="5"/>
  <c r="AC624" i="5"/>
  <c r="AB624" i="5"/>
  <c r="AA624" i="5"/>
  <c r="X624" i="5"/>
  <c r="W624" i="5"/>
  <c r="V624" i="5"/>
  <c r="U624" i="5"/>
  <c r="T624" i="5"/>
  <c r="S624" i="5"/>
  <c r="P624" i="5"/>
  <c r="AG623" i="5"/>
  <c r="AD623" i="5"/>
  <c r="AC623" i="5"/>
  <c r="AB623" i="5"/>
  <c r="AA623" i="5"/>
  <c r="X623" i="5"/>
  <c r="W623" i="5"/>
  <c r="V623" i="5"/>
  <c r="U623" i="5"/>
  <c r="T623" i="5"/>
  <c r="S623" i="5"/>
  <c r="P623" i="5"/>
  <c r="AG622" i="5"/>
  <c r="AD622" i="5"/>
  <c r="AC622" i="5"/>
  <c r="AB622" i="5"/>
  <c r="AA622" i="5"/>
  <c r="X622" i="5"/>
  <c r="W622" i="5"/>
  <c r="V622" i="5"/>
  <c r="U622" i="5"/>
  <c r="T622" i="5"/>
  <c r="S622" i="5"/>
  <c r="P622" i="5"/>
  <c r="Q622" i="5" s="1"/>
  <c r="R622" i="5" s="1"/>
  <c r="AG621" i="5"/>
  <c r="AD621" i="5"/>
  <c r="AC621" i="5"/>
  <c r="AB621" i="5"/>
  <c r="AA621" i="5"/>
  <c r="X621" i="5"/>
  <c r="W621" i="5"/>
  <c r="V621" i="5"/>
  <c r="U621" i="5"/>
  <c r="T621" i="5"/>
  <c r="S621" i="5"/>
  <c r="P621" i="5"/>
  <c r="AG620" i="5"/>
  <c r="AD620" i="5"/>
  <c r="AC620" i="5"/>
  <c r="AB620" i="5"/>
  <c r="AA620" i="5"/>
  <c r="X620" i="5"/>
  <c r="W620" i="5"/>
  <c r="V620" i="5"/>
  <c r="U620" i="5"/>
  <c r="T620" i="5"/>
  <c r="S620" i="5"/>
  <c r="P620" i="5"/>
  <c r="AG619" i="5"/>
  <c r="AD619" i="5"/>
  <c r="AC619" i="5"/>
  <c r="AB619" i="5"/>
  <c r="AA619" i="5"/>
  <c r="X619" i="5"/>
  <c r="W619" i="5"/>
  <c r="V619" i="5"/>
  <c r="U619" i="5"/>
  <c r="T619" i="5"/>
  <c r="S619" i="5"/>
  <c r="P619" i="5"/>
  <c r="Q619" i="5" s="1"/>
  <c r="R619" i="5" s="1"/>
  <c r="AG618" i="5"/>
  <c r="AD618" i="5"/>
  <c r="AC618" i="5"/>
  <c r="AB618" i="5"/>
  <c r="AA618" i="5"/>
  <c r="X618" i="5"/>
  <c r="W618" i="5"/>
  <c r="V618" i="5"/>
  <c r="U618" i="5"/>
  <c r="T618" i="5"/>
  <c r="S618" i="5"/>
  <c r="P618" i="5"/>
  <c r="Q618" i="5" s="1"/>
  <c r="R618" i="5" s="1"/>
  <c r="AG617" i="5"/>
  <c r="AD617" i="5"/>
  <c r="AC617" i="5"/>
  <c r="AB617" i="5"/>
  <c r="AA617" i="5"/>
  <c r="X617" i="5"/>
  <c r="W617" i="5"/>
  <c r="V617" i="5"/>
  <c r="U617" i="5"/>
  <c r="T617" i="5"/>
  <c r="S617" i="5"/>
  <c r="P617" i="5"/>
  <c r="AG616" i="5"/>
  <c r="AD616" i="5"/>
  <c r="AC616" i="5"/>
  <c r="AB616" i="5"/>
  <c r="AA616" i="5"/>
  <c r="X616" i="5"/>
  <c r="W616" i="5"/>
  <c r="V616" i="5"/>
  <c r="U616" i="5"/>
  <c r="T616" i="5"/>
  <c r="S616" i="5"/>
  <c r="P616" i="5"/>
  <c r="AG615" i="5"/>
  <c r="AD615" i="5"/>
  <c r="AC615" i="5"/>
  <c r="AB615" i="5"/>
  <c r="AA615" i="5"/>
  <c r="X615" i="5"/>
  <c r="W615" i="5"/>
  <c r="V615" i="5"/>
  <c r="U615" i="5"/>
  <c r="T615" i="5"/>
  <c r="S615" i="5"/>
  <c r="P615" i="5"/>
  <c r="Q615" i="5" s="1"/>
  <c r="AG614" i="5"/>
  <c r="AD614" i="5"/>
  <c r="AC614" i="5"/>
  <c r="AB614" i="5"/>
  <c r="AA614" i="5"/>
  <c r="X614" i="5"/>
  <c r="W614" i="5"/>
  <c r="V614" i="5"/>
  <c r="U614" i="5"/>
  <c r="T614" i="5"/>
  <c r="S614" i="5"/>
  <c r="P614" i="5"/>
  <c r="Q614" i="5" s="1"/>
  <c r="R614" i="5" s="1"/>
  <c r="AG613" i="5"/>
  <c r="AD613" i="5"/>
  <c r="AC613" i="5"/>
  <c r="AB613" i="5"/>
  <c r="AA613" i="5"/>
  <c r="X613" i="5"/>
  <c r="W613" i="5"/>
  <c r="V613" i="5"/>
  <c r="U613" i="5"/>
  <c r="T613" i="5"/>
  <c r="S613" i="5"/>
  <c r="P613" i="5"/>
  <c r="AG612" i="5"/>
  <c r="AD612" i="5"/>
  <c r="AC612" i="5"/>
  <c r="AB612" i="5"/>
  <c r="AA612" i="5"/>
  <c r="X612" i="5"/>
  <c r="W612" i="5"/>
  <c r="V612" i="5"/>
  <c r="U612" i="5"/>
  <c r="T612" i="5"/>
  <c r="S612" i="5"/>
  <c r="P612" i="5"/>
  <c r="Q612" i="5" s="1"/>
  <c r="AG611" i="5"/>
  <c r="AD611" i="5"/>
  <c r="AC611" i="5"/>
  <c r="AB611" i="5"/>
  <c r="AA611" i="5"/>
  <c r="X611" i="5"/>
  <c r="W611" i="5"/>
  <c r="V611" i="5"/>
  <c r="U611" i="5"/>
  <c r="T611" i="5"/>
  <c r="S611" i="5"/>
  <c r="R611" i="5"/>
  <c r="P611" i="5"/>
  <c r="Q611" i="5" s="1"/>
  <c r="AG610" i="5"/>
  <c r="AD610" i="5"/>
  <c r="AC610" i="5"/>
  <c r="AB610" i="5"/>
  <c r="AA610" i="5"/>
  <c r="X610" i="5"/>
  <c r="W610" i="5"/>
  <c r="V610" i="5"/>
  <c r="U610" i="5"/>
  <c r="T610" i="5"/>
  <c r="S610" i="5"/>
  <c r="P610" i="5"/>
  <c r="Q610" i="5" s="1"/>
  <c r="R610" i="5" s="1"/>
  <c r="AG609" i="5"/>
  <c r="AD609" i="5"/>
  <c r="AC609" i="5"/>
  <c r="AB609" i="5"/>
  <c r="AA609" i="5"/>
  <c r="X609" i="5"/>
  <c r="W609" i="5"/>
  <c r="V609" i="5"/>
  <c r="U609" i="5"/>
  <c r="T609" i="5"/>
  <c r="S609" i="5"/>
  <c r="P609" i="5"/>
  <c r="AG608" i="5"/>
  <c r="AD608" i="5"/>
  <c r="AC608" i="5"/>
  <c r="AB608" i="5"/>
  <c r="AA608" i="5"/>
  <c r="X608" i="5"/>
  <c r="W608" i="5"/>
  <c r="V608" i="5"/>
  <c r="U608" i="5"/>
  <c r="T608" i="5"/>
  <c r="S608" i="5"/>
  <c r="P608" i="5"/>
  <c r="AG607" i="5"/>
  <c r="AD607" i="5"/>
  <c r="AC607" i="5"/>
  <c r="AB607" i="5"/>
  <c r="AA607" i="5"/>
  <c r="X607" i="5"/>
  <c r="W607" i="5"/>
  <c r="V607" i="5"/>
  <c r="U607" i="5"/>
  <c r="T607" i="5"/>
  <c r="S607" i="5"/>
  <c r="P607" i="5"/>
  <c r="Q607" i="5" s="1"/>
  <c r="R607" i="5" s="1"/>
  <c r="AG606" i="5"/>
  <c r="AD606" i="5"/>
  <c r="AC606" i="5"/>
  <c r="AB606" i="5"/>
  <c r="AA606" i="5"/>
  <c r="X606" i="5"/>
  <c r="W606" i="5"/>
  <c r="V606" i="5"/>
  <c r="U606" i="5"/>
  <c r="T606" i="5"/>
  <c r="S606" i="5"/>
  <c r="P606" i="5"/>
  <c r="Q606" i="5" s="1"/>
  <c r="R606" i="5" s="1"/>
  <c r="AG605" i="5"/>
  <c r="AD605" i="5"/>
  <c r="AC605" i="5"/>
  <c r="AB605" i="5"/>
  <c r="AA605" i="5"/>
  <c r="X605" i="5"/>
  <c r="W605" i="5"/>
  <c r="V605" i="5"/>
  <c r="U605" i="5"/>
  <c r="T605" i="5"/>
  <c r="S605" i="5"/>
  <c r="R605" i="5"/>
  <c r="P605" i="5"/>
  <c r="Q605" i="5" s="1"/>
  <c r="AG604" i="5"/>
  <c r="AD604" i="5"/>
  <c r="AC604" i="5"/>
  <c r="AB604" i="5"/>
  <c r="AA604" i="5"/>
  <c r="X604" i="5"/>
  <c r="W604" i="5"/>
  <c r="V604" i="5"/>
  <c r="U604" i="5"/>
  <c r="T604" i="5"/>
  <c r="S604" i="5"/>
  <c r="P604" i="5"/>
  <c r="AG603" i="5"/>
  <c r="AD603" i="5"/>
  <c r="AC603" i="5"/>
  <c r="AB603" i="5"/>
  <c r="AA603" i="5"/>
  <c r="X603" i="5"/>
  <c r="W603" i="5"/>
  <c r="V603" i="5"/>
  <c r="U603" i="5"/>
  <c r="T603" i="5"/>
  <c r="S603" i="5"/>
  <c r="P603" i="5"/>
  <c r="Q603" i="5" s="1"/>
  <c r="R603" i="5" s="1"/>
  <c r="AG602" i="5"/>
  <c r="AD602" i="5"/>
  <c r="AC602" i="5"/>
  <c r="AB602" i="5"/>
  <c r="AA602" i="5"/>
  <c r="X602" i="5"/>
  <c r="W602" i="5"/>
  <c r="V602" i="5"/>
  <c r="U602" i="5"/>
  <c r="T602" i="5"/>
  <c r="S602" i="5"/>
  <c r="R602" i="5"/>
  <c r="P602" i="5"/>
  <c r="Q602" i="5" s="1"/>
  <c r="AG601" i="5"/>
  <c r="AD601" i="5"/>
  <c r="AC601" i="5"/>
  <c r="AB601" i="5"/>
  <c r="AA601" i="5"/>
  <c r="X601" i="5"/>
  <c r="W601" i="5"/>
  <c r="V601" i="5"/>
  <c r="U601" i="5"/>
  <c r="T601" i="5"/>
  <c r="S601" i="5"/>
  <c r="R601" i="5"/>
  <c r="P601" i="5"/>
  <c r="Q601" i="5" s="1"/>
  <c r="AG600" i="5"/>
  <c r="AD600" i="5"/>
  <c r="AC600" i="5"/>
  <c r="AB600" i="5"/>
  <c r="AA600" i="5"/>
  <c r="X600" i="5"/>
  <c r="W600" i="5"/>
  <c r="V600" i="5"/>
  <c r="U600" i="5"/>
  <c r="T600" i="5"/>
  <c r="S600" i="5"/>
  <c r="P600" i="5"/>
  <c r="Q600" i="5" s="1"/>
  <c r="AG599" i="5"/>
  <c r="AD599" i="5"/>
  <c r="AC599" i="5"/>
  <c r="AB599" i="5"/>
  <c r="AA599" i="5"/>
  <c r="X599" i="5"/>
  <c r="W599" i="5"/>
  <c r="V599" i="5"/>
  <c r="U599" i="5"/>
  <c r="T599" i="5"/>
  <c r="S599" i="5"/>
  <c r="P599" i="5"/>
  <c r="AG598" i="5"/>
  <c r="AD598" i="5"/>
  <c r="AC598" i="5"/>
  <c r="AB598" i="5"/>
  <c r="AA598" i="5"/>
  <c r="X598" i="5"/>
  <c r="W598" i="5"/>
  <c r="V598" i="5"/>
  <c r="U598" i="5"/>
  <c r="T598" i="5"/>
  <c r="S598" i="5"/>
  <c r="P598" i="5"/>
  <c r="Q598" i="5" s="1"/>
  <c r="R598" i="5" s="1"/>
  <c r="AG597" i="5"/>
  <c r="AD597" i="5"/>
  <c r="AC597" i="5"/>
  <c r="AB597" i="5"/>
  <c r="AA597" i="5"/>
  <c r="X597" i="5"/>
  <c r="W597" i="5"/>
  <c r="V597" i="5"/>
  <c r="U597" i="5"/>
  <c r="T597" i="5"/>
  <c r="S597" i="5"/>
  <c r="P597" i="5"/>
  <c r="Q597" i="5" s="1"/>
  <c r="AG596" i="5"/>
  <c r="AD596" i="5"/>
  <c r="AC596" i="5"/>
  <c r="AB596" i="5"/>
  <c r="AA596" i="5"/>
  <c r="X596" i="5"/>
  <c r="W596" i="5"/>
  <c r="V596" i="5"/>
  <c r="U596" i="5"/>
  <c r="T596" i="5"/>
  <c r="S596" i="5"/>
  <c r="P596" i="5"/>
  <c r="Q596" i="5" s="1"/>
  <c r="R596" i="5" s="1"/>
  <c r="AG595" i="5"/>
  <c r="AD595" i="5"/>
  <c r="AC595" i="5"/>
  <c r="AB595" i="5"/>
  <c r="AA595" i="5"/>
  <c r="X595" i="5"/>
  <c r="W595" i="5"/>
  <c r="V595" i="5"/>
  <c r="U595" i="5"/>
  <c r="T595" i="5"/>
  <c r="S595" i="5"/>
  <c r="P595" i="5"/>
  <c r="AG594" i="5"/>
  <c r="AD594" i="5"/>
  <c r="AC594" i="5"/>
  <c r="AB594" i="5"/>
  <c r="AA594" i="5"/>
  <c r="X594" i="5"/>
  <c r="W594" i="5"/>
  <c r="V594" i="5"/>
  <c r="U594" i="5"/>
  <c r="T594" i="5"/>
  <c r="S594" i="5"/>
  <c r="P594" i="5"/>
  <c r="Q594" i="5" s="1"/>
  <c r="R594" i="5" s="1"/>
  <c r="AG593" i="5"/>
  <c r="AD593" i="5"/>
  <c r="AC593" i="5"/>
  <c r="AB593" i="5"/>
  <c r="AA593" i="5"/>
  <c r="X593" i="5"/>
  <c r="W593" i="5"/>
  <c r="V593" i="5"/>
  <c r="U593" i="5"/>
  <c r="T593" i="5"/>
  <c r="S593" i="5"/>
  <c r="P593" i="5"/>
  <c r="Q593" i="5" s="1"/>
  <c r="AG592" i="5"/>
  <c r="AD592" i="5"/>
  <c r="AC592" i="5"/>
  <c r="AB592" i="5"/>
  <c r="AA592" i="5"/>
  <c r="X592" i="5"/>
  <c r="W592" i="5"/>
  <c r="V592" i="5"/>
  <c r="U592" i="5"/>
  <c r="T592" i="5"/>
  <c r="S592" i="5"/>
  <c r="P592" i="5"/>
  <c r="AG591" i="5"/>
  <c r="AD591" i="5"/>
  <c r="AC591" i="5"/>
  <c r="AB591" i="5"/>
  <c r="AA591" i="5"/>
  <c r="X591" i="5"/>
  <c r="W591" i="5"/>
  <c r="V591" i="5"/>
  <c r="U591" i="5"/>
  <c r="T591" i="5"/>
  <c r="S591" i="5"/>
  <c r="P591" i="5"/>
  <c r="AG590" i="5"/>
  <c r="AD590" i="5"/>
  <c r="AC590" i="5"/>
  <c r="AB590" i="5"/>
  <c r="AA590" i="5"/>
  <c r="X590" i="5"/>
  <c r="W590" i="5"/>
  <c r="V590" i="5"/>
  <c r="U590" i="5"/>
  <c r="T590" i="5"/>
  <c r="S590" i="5"/>
  <c r="P590" i="5"/>
  <c r="AG589" i="5"/>
  <c r="AD589" i="5"/>
  <c r="AC589" i="5"/>
  <c r="AB589" i="5"/>
  <c r="AA589" i="5"/>
  <c r="X589" i="5"/>
  <c r="W589" i="5"/>
  <c r="V589" i="5"/>
  <c r="U589" i="5"/>
  <c r="T589" i="5"/>
  <c r="S589" i="5"/>
  <c r="P589" i="5"/>
  <c r="AG588" i="5"/>
  <c r="AD588" i="5"/>
  <c r="AC588" i="5"/>
  <c r="AB588" i="5"/>
  <c r="AA588" i="5"/>
  <c r="X588" i="5"/>
  <c r="W588" i="5"/>
  <c r="V588" i="5"/>
  <c r="U588" i="5"/>
  <c r="T588" i="5"/>
  <c r="S588" i="5"/>
  <c r="P588" i="5"/>
  <c r="Q588" i="5" s="1"/>
  <c r="R588" i="5" s="1"/>
  <c r="AG587" i="5"/>
  <c r="AD587" i="5"/>
  <c r="AC587" i="5"/>
  <c r="AB587" i="5"/>
  <c r="AA587" i="5"/>
  <c r="X587" i="5"/>
  <c r="W587" i="5"/>
  <c r="V587" i="5"/>
  <c r="U587" i="5"/>
  <c r="T587" i="5"/>
  <c r="S587" i="5"/>
  <c r="P587" i="5"/>
  <c r="Q587" i="5" s="1"/>
  <c r="R587" i="5" s="1"/>
  <c r="AG586" i="5"/>
  <c r="AD586" i="5"/>
  <c r="AC586" i="5"/>
  <c r="AB586" i="5"/>
  <c r="AA586" i="5"/>
  <c r="X586" i="5"/>
  <c r="W586" i="5"/>
  <c r="V586" i="5"/>
  <c r="U586" i="5"/>
  <c r="T586" i="5"/>
  <c r="S586" i="5"/>
  <c r="P586" i="5"/>
  <c r="Q586" i="5" s="1"/>
  <c r="R586" i="5" s="1"/>
  <c r="AG585" i="5"/>
  <c r="AD585" i="5"/>
  <c r="AC585" i="5"/>
  <c r="AB585" i="5"/>
  <c r="AA585" i="5"/>
  <c r="X585" i="5"/>
  <c r="W585" i="5"/>
  <c r="V585" i="5"/>
  <c r="U585" i="5"/>
  <c r="T585" i="5"/>
  <c r="S585" i="5"/>
  <c r="P585" i="5"/>
  <c r="Q585" i="5" s="1"/>
  <c r="AG584" i="5"/>
  <c r="AD584" i="5"/>
  <c r="AC584" i="5"/>
  <c r="AB584" i="5"/>
  <c r="AA584" i="5"/>
  <c r="X584" i="5"/>
  <c r="W584" i="5"/>
  <c r="V584" i="5"/>
  <c r="U584" i="5"/>
  <c r="T584" i="5"/>
  <c r="S584" i="5"/>
  <c r="P584" i="5"/>
  <c r="Q584" i="5" s="1"/>
  <c r="AG583" i="5"/>
  <c r="AD583" i="5"/>
  <c r="AC583" i="5"/>
  <c r="AB583" i="5"/>
  <c r="AA583" i="5"/>
  <c r="X583" i="5"/>
  <c r="W583" i="5"/>
  <c r="V583" i="5"/>
  <c r="U583" i="5"/>
  <c r="T583" i="5"/>
  <c r="S583" i="5"/>
  <c r="P583" i="5"/>
  <c r="Q583" i="5" s="1"/>
  <c r="R583" i="5" s="1"/>
  <c r="AG582" i="5"/>
  <c r="AD582" i="5"/>
  <c r="AC582" i="5"/>
  <c r="AB582" i="5"/>
  <c r="AA582" i="5"/>
  <c r="X582" i="5"/>
  <c r="W582" i="5"/>
  <c r="V582" i="5"/>
  <c r="U582" i="5"/>
  <c r="T582" i="5"/>
  <c r="S582" i="5"/>
  <c r="P582" i="5"/>
  <c r="AG581" i="5"/>
  <c r="AD581" i="5"/>
  <c r="AC581" i="5"/>
  <c r="AB581" i="5"/>
  <c r="AA581" i="5"/>
  <c r="X581" i="5"/>
  <c r="W581" i="5"/>
  <c r="V581" i="5"/>
  <c r="U581" i="5"/>
  <c r="T581" i="5"/>
  <c r="S581" i="5"/>
  <c r="P581" i="5"/>
  <c r="AG580" i="5"/>
  <c r="AD580" i="5"/>
  <c r="AC580" i="5"/>
  <c r="AB580" i="5"/>
  <c r="AA580" i="5"/>
  <c r="X580" i="5"/>
  <c r="W580" i="5"/>
  <c r="V580" i="5"/>
  <c r="U580" i="5"/>
  <c r="T580" i="5"/>
  <c r="S580" i="5"/>
  <c r="P580" i="5"/>
  <c r="Q580" i="5" s="1"/>
  <c r="R580" i="5" s="1"/>
  <c r="AG579" i="5"/>
  <c r="AD579" i="5"/>
  <c r="AC579" i="5"/>
  <c r="AB579" i="5"/>
  <c r="AA579" i="5"/>
  <c r="X579" i="5"/>
  <c r="W579" i="5"/>
  <c r="V579" i="5"/>
  <c r="U579" i="5"/>
  <c r="T579" i="5"/>
  <c r="S579" i="5"/>
  <c r="P579" i="5"/>
  <c r="AG578" i="5"/>
  <c r="AD578" i="5"/>
  <c r="AC578" i="5"/>
  <c r="AB578" i="5"/>
  <c r="AA578" i="5"/>
  <c r="X578" i="5"/>
  <c r="W578" i="5"/>
  <c r="V578" i="5"/>
  <c r="U578" i="5"/>
  <c r="T578" i="5"/>
  <c r="S578" i="5"/>
  <c r="P578" i="5"/>
  <c r="Q578" i="5" s="1"/>
  <c r="R578" i="5" s="1"/>
  <c r="AG577" i="5"/>
  <c r="AD577" i="5"/>
  <c r="AC577" i="5"/>
  <c r="AB577" i="5"/>
  <c r="AA577" i="5"/>
  <c r="X577" i="5"/>
  <c r="W577" i="5"/>
  <c r="V577" i="5"/>
  <c r="U577" i="5"/>
  <c r="T577" i="5"/>
  <c r="S577" i="5"/>
  <c r="P577" i="5"/>
  <c r="Q577" i="5" s="1"/>
  <c r="R577" i="5" s="1"/>
  <c r="AG576" i="5"/>
  <c r="AD576" i="5"/>
  <c r="AC576" i="5"/>
  <c r="AB576" i="5"/>
  <c r="AA576" i="5"/>
  <c r="X576" i="5"/>
  <c r="W576" i="5"/>
  <c r="V576" i="5"/>
  <c r="U576" i="5"/>
  <c r="T576" i="5"/>
  <c r="S576" i="5"/>
  <c r="P576" i="5"/>
  <c r="Q576" i="5" s="1"/>
  <c r="R576" i="5" s="1"/>
  <c r="AG575" i="5"/>
  <c r="AD575" i="5"/>
  <c r="AC575" i="5"/>
  <c r="AB575" i="5"/>
  <c r="AA575" i="5"/>
  <c r="X575" i="5"/>
  <c r="W575" i="5"/>
  <c r="V575" i="5"/>
  <c r="U575" i="5"/>
  <c r="T575" i="5"/>
  <c r="S575" i="5"/>
  <c r="P575" i="5"/>
  <c r="AG574" i="5"/>
  <c r="AD574" i="5"/>
  <c r="AC574" i="5"/>
  <c r="AB574" i="5"/>
  <c r="AA574" i="5"/>
  <c r="X574" i="5"/>
  <c r="W574" i="5"/>
  <c r="V574" i="5"/>
  <c r="U574" i="5"/>
  <c r="T574" i="5"/>
  <c r="S574" i="5"/>
  <c r="R574" i="5"/>
  <c r="P574" i="5"/>
  <c r="Q574" i="5" s="1"/>
  <c r="AG573" i="5"/>
  <c r="AD573" i="5"/>
  <c r="AC573" i="5"/>
  <c r="AB573" i="5"/>
  <c r="AA573" i="5"/>
  <c r="X573" i="5"/>
  <c r="W573" i="5"/>
  <c r="V573" i="5"/>
  <c r="U573" i="5"/>
  <c r="T573" i="5"/>
  <c r="S573" i="5"/>
  <c r="P573" i="5"/>
  <c r="Q573" i="5" s="1"/>
  <c r="R573" i="5" s="1"/>
  <c r="AG572" i="5"/>
  <c r="AD572" i="5"/>
  <c r="AC572" i="5"/>
  <c r="AB572" i="5"/>
  <c r="AA572" i="5"/>
  <c r="X572" i="5"/>
  <c r="W572" i="5"/>
  <c r="V572" i="5"/>
  <c r="U572" i="5"/>
  <c r="T572" i="5"/>
  <c r="S572" i="5"/>
  <c r="P572" i="5"/>
  <c r="Q572" i="5" s="1"/>
  <c r="R572" i="5" s="1"/>
  <c r="AG571" i="5"/>
  <c r="AD571" i="5"/>
  <c r="AC571" i="5"/>
  <c r="AB571" i="5"/>
  <c r="AA571" i="5"/>
  <c r="X571" i="5"/>
  <c r="W571" i="5"/>
  <c r="V571" i="5"/>
  <c r="U571" i="5"/>
  <c r="T571" i="5"/>
  <c r="S571" i="5"/>
  <c r="P571" i="5"/>
  <c r="AG570" i="5"/>
  <c r="AD570" i="5"/>
  <c r="AC570" i="5"/>
  <c r="AB570" i="5"/>
  <c r="AA570" i="5"/>
  <c r="X570" i="5"/>
  <c r="W570" i="5"/>
  <c r="V570" i="5"/>
  <c r="U570" i="5"/>
  <c r="T570" i="5"/>
  <c r="S570" i="5"/>
  <c r="P570" i="5"/>
  <c r="Q570" i="5" s="1"/>
  <c r="R570" i="5" s="1"/>
  <c r="AG569" i="5"/>
  <c r="AD569" i="5"/>
  <c r="AC569" i="5"/>
  <c r="AB569" i="5"/>
  <c r="AA569" i="5"/>
  <c r="X569" i="5"/>
  <c r="W569" i="5"/>
  <c r="V569" i="5"/>
  <c r="U569" i="5"/>
  <c r="T569" i="5"/>
  <c r="S569" i="5"/>
  <c r="P569" i="5"/>
  <c r="Q569" i="5" s="1"/>
  <c r="R569" i="5" s="1"/>
  <c r="AG568" i="5"/>
  <c r="AD568" i="5"/>
  <c r="AC568" i="5"/>
  <c r="AB568" i="5"/>
  <c r="AA568" i="5"/>
  <c r="X568" i="5"/>
  <c r="W568" i="5"/>
  <c r="V568" i="5"/>
  <c r="U568" i="5"/>
  <c r="T568" i="5"/>
  <c r="S568" i="5"/>
  <c r="P568" i="5"/>
  <c r="Q568" i="5" s="1"/>
  <c r="R568" i="5" s="1"/>
  <c r="AG567" i="5"/>
  <c r="AD567" i="5"/>
  <c r="AC567" i="5"/>
  <c r="AB567" i="5"/>
  <c r="AA567" i="5"/>
  <c r="X567" i="5"/>
  <c r="W567" i="5"/>
  <c r="V567" i="5"/>
  <c r="U567" i="5"/>
  <c r="T567" i="5"/>
  <c r="S567" i="5"/>
  <c r="P567" i="5"/>
  <c r="AG566" i="5"/>
  <c r="AD566" i="5"/>
  <c r="AC566" i="5"/>
  <c r="AB566" i="5"/>
  <c r="AA566" i="5"/>
  <c r="X566" i="5"/>
  <c r="W566" i="5"/>
  <c r="V566" i="5"/>
  <c r="U566" i="5"/>
  <c r="T566" i="5"/>
  <c r="S566" i="5"/>
  <c r="P566" i="5"/>
  <c r="Q566" i="5" s="1"/>
  <c r="AG565" i="5"/>
  <c r="AD565" i="5"/>
  <c r="AC565" i="5"/>
  <c r="AB565" i="5"/>
  <c r="AA565" i="5"/>
  <c r="X565" i="5"/>
  <c r="W565" i="5"/>
  <c r="V565" i="5"/>
  <c r="U565" i="5"/>
  <c r="T565" i="5"/>
  <c r="S565" i="5"/>
  <c r="P565" i="5"/>
  <c r="Q565" i="5" s="1"/>
  <c r="R565" i="5" s="1"/>
  <c r="AG564" i="5"/>
  <c r="AD564" i="5"/>
  <c r="AC564" i="5"/>
  <c r="AB564" i="5"/>
  <c r="AA564" i="5"/>
  <c r="X564" i="5"/>
  <c r="W564" i="5"/>
  <c r="V564" i="5"/>
  <c r="U564" i="5"/>
  <c r="T564" i="5"/>
  <c r="S564" i="5"/>
  <c r="P564" i="5"/>
  <c r="Q564" i="5" s="1"/>
  <c r="R564" i="5" s="1"/>
  <c r="AG563" i="5"/>
  <c r="AD563" i="5"/>
  <c r="AC563" i="5"/>
  <c r="AB563" i="5"/>
  <c r="AA563" i="5"/>
  <c r="X563" i="5"/>
  <c r="W563" i="5"/>
  <c r="V563" i="5"/>
  <c r="U563" i="5"/>
  <c r="T563" i="5"/>
  <c r="S563" i="5"/>
  <c r="P563" i="5"/>
  <c r="AG562" i="5"/>
  <c r="AD562" i="5"/>
  <c r="AC562" i="5"/>
  <c r="AB562" i="5"/>
  <c r="AA562" i="5"/>
  <c r="X562" i="5"/>
  <c r="W562" i="5"/>
  <c r="V562" i="5"/>
  <c r="U562" i="5"/>
  <c r="T562" i="5"/>
  <c r="S562" i="5"/>
  <c r="P562" i="5"/>
  <c r="Q562" i="5" s="1"/>
  <c r="AG561" i="5"/>
  <c r="AD561" i="5"/>
  <c r="AC561" i="5"/>
  <c r="AB561" i="5"/>
  <c r="AA561" i="5"/>
  <c r="X561" i="5"/>
  <c r="W561" i="5"/>
  <c r="V561" i="5"/>
  <c r="U561" i="5"/>
  <c r="T561" i="5"/>
  <c r="S561" i="5"/>
  <c r="P561" i="5"/>
  <c r="Q561" i="5" s="1"/>
  <c r="R561" i="5" s="1"/>
  <c r="AG560" i="5"/>
  <c r="AD560" i="5"/>
  <c r="AC560" i="5"/>
  <c r="AB560" i="5"/>
  <c r="AA560" i="5"/>
  <c r="X560" i="5"/>
  <c r="W560" i="5"/>
  <c r="V560" i="5"/>
  <c r="U560" i="5"/>
  <c r="T560" i="5"/>
  <c r="S560" i="5"/>
  <c r="P560" i="5"/>
  <c r="Q560" i="5" s="1"/>
  <c r="R560" i="5" s="1"/>
  <c r="AG559" i="5"/>
  <c r="AD559" i="5"/>
  <c r="AC559" i="5"/>
  <c r="AB559" i="5"/>
  <c r="AA559" i="5"/>
  <c r="X559" i="5"/>
  <c r="W559" i="5"/>
  <c r="V559" i="5"/>
  <c r="U559" i="5"/>
  <c r="T559" i="5"/>
  <c r="S559" i="5"/>
  <c r="P559" i="5"/>
  <c r="AG558" i="5"/>
  <c r="AD558" i="5"/>
  <c r="AC558" i="5"/>
  <c r="AB558" i="5"/>
  <c r="AA558" i="5"/>
  <c r="X558" i="5"/>
  <c r="W558" i="5"/>
  <c r="V558" i="5"/>
  <c r="U558" i="5"/>
  <c r="T558" i="5"/>
  <c r="S558" i="5"/>
  <c r="P558" i="5"/>
  <c r="Q558" i="5" s="1"/>
  <c r="R558" i="5" s="1"/>
  <c r="AG557" i="5"/>
  <c r="AD557" i="5"/>
  <c r="AC557" i="5"/>
  <c r="AB557" i="5"/>
  <c r="AA557" i="5"/>
  <c r="X557" i="5"/>
  <c r="W557" i="5"/>
  <c r="V557" i="5"/>
  <c r="U557" i="5"/>
  <c r="T557" i="5"/>
  <c r="S557" i="5"/>
  <c r="P557" i="5"/>
  <c r="Q557" i="5" s="1"/>
  <c r="R557" i="5" s="1"/>
  <c r="AG556" i="5"/>
  <c r="AD556" i="5"/>
  <c r="AC556" i="5"/>
  <c r="AB556" i="5"/>
  <c r="AA556" i="5"/>
  <c r="X556" i="5"/>
  <c r="W556" i="5"/>
  <c r="V556" i="5"/>
  <c r="U556" i="5"/>
  <c r="T556" i="5"/>
  <c r="S556" i="5"/>
  <c r="P556" i="5"/>
  <c r="Q556" i="5" s="1"/>
  <c r="R556" i="5" s="1"/>
  <c r="AG555" i="5"/>
  <c r="AD555" i="5"/>
  <c r="AC555" i="5"/>
  <c r="AB555" i="5"/>
  <c r="AA555" i="5"/>
  <c r="X555" i="5"/>
  <c r="W555" i="5"/>
  <c r="V555" i="5"/>
  <c r="U555" i="5"/>
  <c r="T555" i="5"/>
  <c r="S555" i="5"/>
  <c r="P555" i="5"/>
  <c r="AG554" i="5"/>
  <c r="AD554" i="5"/>
  <c r="AC554" i="5"/>
  <c r="AB554" i="5"/>
  <c r="AA554" i="5"/>
  <c r="X554" i="5"/>
  <c r="W554" i="5"/>
  <c r="V554" i="5"/>
  <c r="U554" i="5"/>
  <c r="T554" i="5"/>
  <c r="S554" i="5"/>
  <c r="P554" i="5"/>
  <c r="Q554" i="5" s="1"/>
  <c r="AG553" i="5"/>
  <c r="AD553" i="5"/>
  <c r="AC553" i="5"/>
  <c r="AB553" i="5"/>
  <c r="AA553" i="5"/>
  <c r="X553" i="5"/>
  <c r="W553" i="5"/>
  <c r="V553" i="5"/>
  <c r="U553" i="5"/>
  <c r="T553" i="5"/>
  <c r="S553" i="5"/>
  <c r="P553" i="5"/>
  <c r="Q553" i="5" s="1"/>
  <c r="R553" i="5" s="1"/>
  <c r="AG552" i="5"/>
  <c r="AD552" i="5"/>
  <c r="AC552" i="5"/>
  <c r="AB552" i="5"/>
  <c r="AA552" i="5"/>
  <c r="X552" i="5"/>
  <c r="W552" i="5"/>
  <c r="V552" i="5"/>
  <c r="U552" i="5"/>
  <c r="T552" i="5"/>
  <c r="S552" i="5"/>
  <c r="P552" i="5"/>
  <c r="Q552" i="5" s="1"/>
  <c r="R552" i="5" s="1"/>
  <c r="AG551" i="5"/>
  <c r="AD551" i="5"/>
  <c r="AC551" i="5"/>
  <c r="AB551" i="5"/>
  <c r="AA551" i="5"/>
  <c r="X551" i="5"/>
  <c r="W551" i="5"/>
  <c r="V551" i="5"/>
  <c r="U551" i="5"/>
  <c r="T551" i="5"/>
  <c r="S551" i="5"/>
  <c r="P551" i="5"/>
  <c r="AG550" i="5"/>
  <c r="AD550" i="5"/>
  <c r="AC550" i="5"/>
  <c r="AB550" i="5"/>
  <c r="AA550" i="5"/>
  <c r="X550" i="5"/>
  <c r="W550" i="5"/>
  <c r="V550" i="5"/>
  <c r="U550" i="5"/>
  <c r="T550" i="5"/>
  <c r="S550" i="5"/>
  <c r="P550" i="5"/>
  <c r="Q550" i="5" s="1"/>
  <c r="AG549" i="5"/>
  <c r="AD549" i="5"/>
  <c r="AC549" i="5"/>
  <c r="AB549" i="5"/>
  <c r="AA549" i="5"/>
  <c r="X549" i="5"/>
  <c r="W549" i="5"/>
  <c r="V549" i="5"/>
  <c r="U549" i="5"/>
  <c r="T549" i="5"/>
  <c r="S549" i="5"/>
  <c r="P549" i="5"/>
  <c r="Q549" i="5" s="1"/>
  <c r="R549" i="5" s="1"/>
  <c r="AG548" i="5"/>
  <c r="AD548" i="5"/>
  <c r="AC548" i="5"/>
  <c r="AB548" i="5"/>
  <c r="AA548" i="5"/>
  <c r="X548" i="5"/>
  <c r="W548" i="5"/>
  <c r="V548" i="5"/>
  <c r="U548" i="5"/>
  <c r="T548" i="5"/>
  <c r="S548" i="5"/>
  <c r="P548" i="5"/>
  <c r="AG547" i="5"/>
  <c r="AD547" i="5"/>
  <c r="AC547" i="5"/>
  <c r="AB547" i="5"/>
  <c r="AA547" i="5"/>
  <c r="X547" i="5"/>
  <c r="W547" i="5"/>
  <c r="V547" i="5"/>
  <c r="U547" i="5"/>
  <c r="T547" i="5"/>
  <c r="S547" i="5"/>
  <c r="P547" i="5"/>
  <c r="AG546" i="5"/>
  <c r="AD546" i="5"/>
  <c r="AC546" i="5"/>
  <c r="AB546" i="5"/>
  <c r="AA546" i="5"/>
  <c r="X546" i="5"/>
  <c r="W546" i="5"/>
  <c r="V546" i="5"/>
  <c r="U546" i="5"/>
  <c r="T546" i="5"/>
  <c r="S546" i="5"/>
  <c r="P546" i="5"/>
  <c r="Q546" i="5" s="1"/>
  <c r="AG545" i="5"/>
  <c r="AD545" i="5"/>
  <c r="AC545" i="5"/>
  <c r="AB545" i="5"/>
  <c r="AA545" i="5"/>
  <c r="X545" i="5"/>
  <c r="W545" i="5"/>
  <c r="V545" i="5"/>
  <c r="U545" i="5"/>
  <c r="T545" i="5"/>
  <c r="S545" i="5"/>
  <c r="P545" i="5"/>
  <c r="Q545" i="5" s="1"/>
  <c r="R545" i="5" s="1"/>
  <c r="AG544" i="5"/>
  <c r="AD544" i="5"/>
  <c r="AC544" i="5"/>
  <c r="AB544" i="5"/>
  <c r="AA544" i="5"/>
  <c r="X544" i="5"/>
  <c r="W544" i="5"/>
  <c r="V544" i="5"/>
  <c r="U544" i="5"/>
  <c r="T544" i="5"/>
  <c r="S544" i="5"/>
  <c r="P544" i="5"/>
  <c r="Q544" i="5" s="1"/>
  <c r="R544" i="5" s="1"/>
  <c r="AG543" i="5"/>
  <c r="AD543" i="5"/>
  <c r="AC543" i="5"/>
  <c r="AB543" i="5"/>
  <c r="AA543" i="5"/>
  <c r="X543" i="5"/>
  <c r="W543" i="5"/>
  <c r="V543" i="5"/>
  <c r="U543" i="5"/>
  <c r="T543" i="5"/>
  <c r="S543" i="5"/>
  <c r="P543" i="5"/>
  <c r="AG542" i="5"/>
  <c r="AD542" i="5"/>
  <c r="AC542" i="5"/>
  <c r="AB542" i="5"/>
  <c r="AA542" i="5"/>
  <c r="X542" i="5"/>
  <c r="W542" i="5"/>
  <c r="V542" i="5"/>
  <c r="U542" i="5"/>
  <c r="T542" i="5"/>
  <c r="S542" i="5"/>
  <c r="P542" i="5"/>
  <c r="Q542" i="5" s="1"/>
  <c r="AG541" i="5"/>
  <c r="AD541" i="5"/>
  <c r="AC541" i="5"/>
  <c r="AB541" i="5"/>
  <c r="AA541" i="5"/>
  <c r="X541" i="5"/>
  <c r="W541" i="5"/>
  <c r="V541" i="5"/>
  <c r="U541" i="5"/>
  <c r="T541" i="5"/>
  <c r="S541" i="5"/>
  <c r="P541" i="5"/>
  <c r="Q541" i="5" s="1"/>
  <c r="R541" i="5" s="1"/>
  <c r="AG540" i="5"/>
  <c r="AD540" i="5"/>
  <c r="AC540" i="5"/>
  <c r="AB540" i="5"/>
  <c r="AA540" i="5"/>
  <c r="X540" i="5"/>
  <c r="W540" i="5"/>
  <c r="V540" i="5"/>
  <c r="U540" i="5"/>
  <c r="T540" i="5"/>
  <c r="S540" i="5"/>
  <c r="P540" i="5"/>
  <c r="Q540" i="5" s="1"/>
  <c r="R540" i="5" s="1"/>
  <c r="AG539" i="5"/>
  <c r="AD539" i="5"/>
  <c r="AC539" i="5"/>
  <c r="AB539" i="5"/>
  <c r="AA539" i="5"/>
  <c r="X539" i="5"/>
  <c r="W539" i="5"/>
  <c r="V539" i="5"/>
  <c r="U539" i="5"/>
  <c r="T539" i="5"/>
  <c r="S539" i="5"/>
  <c r="P539" i="5"/>
  <c r="AG538" i="5"/>
  <c r="AD538" i="5"/>
  <c r="AC538" i="5"/>
  <c r="AB538" i="5"/>
  <c r="AA538" i="5"/>
  <c r="X538" i="5"/>
  <c r="W538" i="5"/>
  <c r="V538" i="5"/>
  <c r="U538" i="5"/>
  <c r="T538" i="5"/>
  <c r="S538" i="5"/>
  <c r="P538" i="5"/>
  <c r="Q538" i="5" s="1"/>
  <c r="R538" i="5" s="1"/>
  <c r="AG537" i="5"/>
  <c r="AD537" i="5"/>
  <c r="AC537" i="5"/>
  <c r="AB537" i="5"/>
  <c r="AA537" i="5"/>
  <c r="X537" i="5"/>
  <c r="W537" i="5"/>
  <c r="V537" i="5"/>
  <c r="U537" i="5"/>
  <c r="T537" i="5"/>
  <c r="S537" i="5"/>
  <c r="P537" i="5"/>
  <c r="Q537" i="5" s="1"/>
  <c r="R537" i="5" s="1"/>
  <c r="AG536" i="5"/>
  <c r="AD536" i="5"/>
  <c r="AC536" i="5"/>
  <c r="AB536" i="5"/>
  <c r="AA536" i="5"/>
  <c r="X536" i="5"/>
  <c r="W536" i="5"/>
  <c r="V536" i="5"/>
  <c r="U536" i="5"/>
  <c r="T536" i="5"/>
  <c r="S536" i="5"/>
  <c r="P536" i="5"/>
  <c r="AG535" i="5"/>
  <c r="AD535" i="5"/>
  <c r="AC535" i="5"/>
  <c r="AB535" i="5"/>
  <c r="AA535" i="5"/>
  <c r="X535" i="5"/>
  <c r="W535" i="5"/>
  <c r="V535" i="5"/>
  <c r="U535" i="5"/>
  <c r="T535" i="5"/>
  <c r="S535" i="5"/>
  <c r="P535" i="5"/>
  <c r="AG534" i="5"/>
  <c r="AD534" i="5"/>
  <c r="AC534" i="5"/>
  <c r="AB534" i="5"/>
  <c r="AA534" i="5"/>
  <c r="X534" i="5"/>
  <c r="W534" i="5"/>
  <c r="V534" i="5"/>
  <c r="U534" i="5"/>
  <c r="T534" i="5"/>
  <c r="S534" i="5"/>
  <c r="P534" i="5"/>
  <c r="Q534" i="5" s="1"/>
  <c r="AG533" i="5"/>
  <c r="AD533" i="5"/>
  <c r="AC533" i="5"/>
  <c r="AB533" i="5"/>
  <c r="AA533" i="5"/>
  <c r="X533" i="5"/>
  <c r="W533" i="5"/>
  <c r="V533" i="5"/>
  <c r="U533" i="5"/>
  <c r="T533" i="5"/>
  <c r="S533" i="5"/>
  <c r="P533" i="5"/>
  <c r="Q533" i="5" s="1"/>
  <c r="R533" i="5" s="1"/>
  <c r="AG532" i="5"/>
  <c r="AD532" i="5"/>
  <c r="AC532" i="5"/>
  <c r="AB532" i="5"/>
  <c r="AA532" i="5"/>
  <c r="X532" i="5"/>
  <c r="W532" i="5"/>
  <c r="V532" i="5"/>
  <c r="U532" i="5"/>
  <c r="T532" i="5"/>
  <c r="S532" i="5"/>
  <c r="P532" i="5"/>
  <c r="Q532" i="5" s="1"/>
  <c r="R532" i="5" s="1"/>
  <c r="AG531" i="5"/>
  <c r="AD531" i="5"/>
  <c r="AC531" i="5"/>
  <c r="AB531" i="5"/>
  <c r="AA531" i="5"/>
  <c r="X531" i="5"/>
  <c r="W531" i="5"/>
  <c r="V531" i="5"/>
  <c r="U531" i="5"/>
  <c r="T531" i="5"/>
  <c r="S531" i="5"/>
  <c r="P531" i="5"/>
  <c r="Q531" i="5" s="1"/>
  <c r="AG530" i="5"/>
  <c r="AD530" i="5"/>
  <c r="AC530" i="5"/>
  <c r="AB530" i="5"/>
  <c r="AA530" i="5"/>
  <c r="X530" i="5"/>
  <c r="W530" i="5"/>
  <c r="V530" i="5"/>
  <c r="U530" i="5"/>
  <c r="T530" i="5"/>
  <c r="S530" i="5"/>
  <c r="P530" i="5"/>
  <c r="Q530" i="5" s="1"/>
  <c r="AG529" i="5"/>
  <c r="AD529" i="5"/>
  <c r="AC529" i="5"/>
  <c r="AB529" i="5"/>
  <c r="AA529" i="5"/>
  <c r="X529" i="5"/>
  <c r="W529" i="5"/>
  <c r="V529" i="5"/>
  <c r="U529" i="5"/>
  <c r="T529" i="5"/>
  <c r="S529" i="5"/>
  <c r="P529" i="5"/>
  <c r="Q529" i="5" s="1"/>
  <c r="R529" i="5" s="1"/>
  <c r="AG528" i="5"/>
  <c r="AD528" i="5"/>
  <c r="AC528" i="5"/>
  <c r="AB528" i="5"/>
  <c r="AA528" i="5"/>
  <c r="X528" i="5"/>
  <c r="W528" i="5"/>
  <c r="V528" i="5"/>
  <c r="U528" i="5"/>
  <c r="T528" i="5"/>
  <c r="S528" i="5"/>
  <c r="R528" i="5"/>
  <c r="P528" i="5"/>
  <c r="Q528" i="5" s="1"/>
  <c r="AG527" i="5"/>
  <c r="AD527" i="5"/>
  <c r="AC527" i="5"/>
  <c r="AB527" i="5"/>
  <c r="AA527" i="5"/>
  <c r="X527" i="5"/>
  <c r="W527" i="5"/>
  <c r="V527" i="5"/>
  <c r="U527" i="5"/>
  <c r="T527" i="5"/>
  <c r="S527" i="5"/>
  <c r="P527" i="5"/>
  <c r="Q527" i="5" s="1"/>
  <c r="AG526" i="5"/>
  <c r="AD526" i="5"/>
  <c r="AC526" i="5"/>
  <c r="AB526" i="5"/>
  <c r="AA526" i="5"/>
  <c r="X526" i="5"/>
  <c r="W526" i="5"/>
  <c r="V526" i="5"/>
  <c r="U526" i="5"/>
  <c r="T526" i="5"/>
  <c r="S526" i="5"/>
  <c r="R526" i="5"/>
  <c r="P526" i="5"/>
  <c r="Q526" i="5" s="1"/>
  <c r="AG525" i="5"/>
  <c r="AD525" i="5"/>
  <c r="AC525" i="5"/>
  <c r="AB525" i="5"/>
  <c r="AA525" i="5"/>
  <c r="X525" i="5"/>
  <c r="W525" i="5"/>
  <c r="V525" i="5"/>
  <c r="U525" i="5"/>
  <c r="T525" i="5"/>
  <c r="S525" i="5"/>
  <c r="P525" i="5"/>
  <c r="Q525" i="5" s="1"/>
  <c r="AG524" i="5"/>
  <c r="AD524" i="5"/>
  <c r="AC524" i="5"/>
  <c r="AB524" i="5"/>
  <c r="AA524" i="5"/>
  <c r="X524" i="5"/>
  <c r="W524" i="5"/>
  <c r="V524" i="5"/>
  <c r="U524" i="5"/>
  <c r="T524" i="5"/>
  <c r="S524" i="5"/>
  <c r="P524" i="5"/>
  <c r="Q524" i="5" s="1"/>
  <c r="R524" i="5" s="1"/>
  <c r="AG523" i="5"/>
  <c r="AD523" i="5"/>
  <c r="AC523" i="5"/>
  <c r="AB523" i="5"/>
  <c r="AA523" i="5"/>
  <c r="X523" i="5"/>
  <c r="W523" i="5"/>
  <c r="V523" i="5"/>
  <c r="U523" i="5"/>
  <c r="T523" i="5"/>
  <c r="S523" i="5"/>
  <c r="P523" i="5"/>
  <c r="Q523" i="5" s="1"/>
  <c r="AG522" i="5"/>
  <c r="AD522" i="5"/>
  <c r="AC522" i="5"/>
  <c r="AB522" i="5"/>
  <c r="AA522" i="5"/>
  <c r="X522" i="5"/>
  <c r="W522" i="5"/>
  <c r="V522" i="5"/>
  <c r="U522" i="5"/>
  <c r="T522" i="5"/>
  <c r="S522" i="5"/>
  <c r="R522" i="5"/>
  <c r="P522" i="5"/>
  <c r="Q522" i="5" s="1"/>
  <c r="AG521" i="5"/>
  <c r="AD521" i="5"/>
  <c r="AC521" i="5"/>
  <c r="AB521" i="5"/>
  <c r="AA521" i="5"/>
  <c r="X521" i="5"/>
  <c r="W521" i="5"/>
  <c r="V521" i="5"/>
  <c r="U521" i="5"/>
  <c r="T521" i="5"/>
  <c r="S521" i="5"/>
  <c r="P521" i="5"/>
  <c r="AG520" i="5"/>
  <c r="AD520" i="5"/>
  <c r="AC520" i="5"/>
  <c r="AB520" i="5"/>
  <c r="AA520" i="5"/>
  <c r="X520" i="5"/>
  <c r="W520" i="5"/>
  <c r="V520" i="5"/>
  <c r="U520" i="5"/>
  <c r="T520" i="5"/>
  <c r="S520" i="5"/>
  <c r="P520" i="5"/>
  <c r="Q520" i="5" s="1"/>
  <c r="R520" i="5" s="1"/>
  <c r="AG519" i="5"/>
  <c r="AD519" i="5"/>
  <c r="AC519" i="5"/>
  <c r="AB519" i="5"/>
  <c r="AA519" i="5"/>
  <c r="X519" i="5"/>
  <c r="W519" i="5"/>
  <c r="V519" i="5"/>
  <c r="U519" i="5"/>
  <c r="T519" i="5"/>
  <c r="S519" i="5"/>
  <c r="P519" i="5"/>
  <c r="AG518" i="5"/>
  <c r="AD518" i="5"/>
  <c r="AC518" i="5"/>
  <c r="AB518" i="5"/>
  <c r="AA518" i="5"/>
  <c r="X518" i="5"/>
  <c r="W518" i="5"/>
  <c r="V518" i="5"/>
  <c r="U518" i="5"/>
  <c r="T518" i="5"/>
  <c r="S518" i="5"/>
  <c r="P518" i="5"/>
  <c r="Q518" i="5" s="1"/>
  <c r="AG517" i="5"/>
  <c r="AD517" i="5"/>
  <c r="AC517" i="5"/>
  <c r="AB517" i="5"/>
  <c r="AA517" i="5"/>
  <c r="X517" i="5"/>
  <c r="W517" i="5"/>
  <c r="V517" i="5"/>
  <c r="U517" i="5"/>
  <c r="T517" i="5"/>
  <c r="S517" i="5"/>
  <c r="P517" i="5"/>
  <c r="Q517" i="5" s="1"/>
  <c r="AG516" i="5"/>
  <c r="AD516" i="5"/>
  <c r="AC516" i="5"/>
  <c r="AB516" i="5"/>
  <c r="AA516" i="5"/>
  <c r="X516" i="5"/>
  <c r="W516" i="5"/>
  <c r="V516" i="5"/>
  <c r="U516" i="5"/>
  <c r="T516" i="5"/>
  <c r="S516" i="5"/>
  <c r="P516" i="5"/>
  <c r="AG515" i="5"/>
  <c r="AD515" i="5"/>
  <c r="AC515" i="5"/>
  <c r="AB515" i="5"/>
  <c r="AA515" i="5"/>
  <c r="X515" i="5"/>
  <c r="W515" i="5"/>
  <c r="V515" i="5"/>
  <c r="U515" i="5"/>
  <c r="T515" i="5"/>
  <c r="S515" i="5"/>
  <c r="P515" i="5"/>
  <c r="AG514" i="5"/>
  <c r="AD514" i="5"/>
  <c r="AC514" i="5"/>
  <c r="AB514" i="5"/>
  <c r="AA514" i="5"/>
  <c r="X514" i="5"/>
  <c r="W514" i="5"/>
  <c r="V514" i="5"/>
  <c r="U514" i="5"/>
  <c r="T514" i="5"/>
  <c r="S514" i="5"/>
  <c r="P514" i="5"/>
  <c r="Q514" i="5" s="1"/>
  <c r="AG513" i="5"/>
  <c r="AD513" i="5"/>
  <c r="AC513" i="5"/>
  <c r="AB513" i="5"/>
  <c r="AA513" i="5"/>
  <c r="X513" i="5"/>
  <c r="W513" i="5"/>
  <c r="V513" i="5"/>
  <c r="U513" i="5"/>
  <c r="T513" i="5"/>
  <c r="S513" i="5"/>
  <c r="P513" i="5"/>
  <c r="Q513" i="5" s="1"/>
  <c r="AG512" i="5"/>
  <c r="AD512" i="5"/>
  <c r="AC512" i="5"/>
  <c r="AB512" i="5"/>
  <c r="AA512" i="5"/>
  <c r="X512" i="5"/>
  <c r="W512" i="5"/>
  <c r="V512" i="5"/>
  <c r="U512" i="5"/>
  <c r="T512" i="5"/>
  <c r="S512" i="5"/>
  <c r="P512" i="5"/>
  <c r="AG511" i="5"/>
  <c r="AD511" i="5"/>
  <c r="AC511" i="5"/>
  <c r="AB511" i="5"/>
  <c r="AA511" i="5"/>
  <c r="X511" i="5"/>
  <c r="W511" i="5"/>
  <c r="V511" i="5"/>
  <c r="U511" i="5"/>
  <c r="T511" i="5"/>
  <c r="S511" i="5"/>
  <c r="P511" i="5"/>
  <c r="Q511" i="5" s="1"/>
  <c r="AG510" i="5"/>
  <c r="AD510" i="5"/>
  <c r="AC510" i="5"/>
  <c r="AB510" i="5"/>
  <c r="AA510" i="5"/>
  <c r="X510" i="5"/>
  <c r="W510" i="5"/>
  <c r="V510" i="5"/>
  <c r="U510" i="5"/>
  <c r="T510" i="5"/>
  <c r="S510" i="5"/>
  <c r="P510" i="5"/>
  <c r="AG509" i="5"/>
  <c r="AD509" i="5"/>
  <c r="AC509" i="5"/>
  <c r="AB509" i="5"/>
  <c r="AA509" i="5"/>
  <c r="X509" i="5"/>
  <c r="W509" i="5"/>
  <c r="V509" i="5"/>
  <c r="U509" i="5"/>
  <c r="T509" i="5"/>
  <c r="S509" i="5"/>
  <c r="R509" i="5"/>
  <c r="P509" i="5"/>
  <c r="Q509" i="5" s="1"/>
  <c r="AG508" i="5"/>
  <c r="AD508" i="5"/>
  <c r="AC508" i="5"/>
  <c r="AB508" i="5"/>
  <c r="AA508" i="5"/>
  <c r="X508" i="5"/>
  <c r="W508" i="5"/>
  <c r="V508" i="5"/>
  <c r="U508" i="5"/>
  <c r="T508" i="5"/>
  <c r="S508" i="5"/>
  <c r="P508" i="5"/>
  <c r="AG507" i="5"/>
  <c r="AD507" i="5"/>
  <c r="AC507" i="5"/>
  <c r="AB507" i="5"/>
  <c r="AA507" i="5"/>
  <c r="X507" i="5"/>
  <c r="W507" i="5"/>
  <c r="V507" i="5"/>
  <c r="U507" i="5"/>
  <c r="T507" i="5"/>
  <c r="S507" i="5"/>
  <c r="P507" i="5"/>
  <c r="AG506" i="5"/>
  <c r="AD506" i="5"/>
  <c r="AC506" i="5"/>
  <c r="AB506" i="5"/>
  <c r="AA506" i="5"/>
  <c r="X506" i="5"/>
  <c r="W506" i="5"/>
  <c r="V506" i="5"/>
  <c r="U506" i="5"/>
  <c r="T506" i="5"/>
  <c r="S506" i="5"/>
  <c r="P506" i="5"/>
  <c r="Q506" i="5" s="1"/>
  <c r="R506" i="5" s="1"/>
  <c r="AG505" i="5"/>
  <c r="AD505" i="5"/>
  <c r="AC505" i="5"/>
  <c r="AB505" i="5"/>
  <c r="AA505" i="5"/>
  <c r="X505" i="5"/>
  <c r="W505" i="5"/>
  <c r="V505" i="5"/>
  <c r="U505" i="5"/>
  <c r="T505" i="5"/>
  <c r="S505" i="5"/>
  <c r="P505" i="5"/>
  <c r="Q505" i="5" s="1"/>
  <c r="R505" i="5" s="1"/>
  <c r="AG504" i="5"/>
  <c r="AD504" i="5"/>
  <c r="AC504" i="5"/>
  <c r="AB504" i="5"/>
  <c r="AA504" i="5"/>
  <c r="X504" i="5"/>
  <c r="W504" i="5"/>
  <c r="V504" i="5"/>
  <c r="U504" i="5"/>
  <c r="T504" i="5"/>
  <c r="S504" i="5"/>
  <c r="P504" i="5"/>
  <c r="Q504" i="5" s="1"/>
  <c r="AG503" i="5"/>
  <c r="AD503" i="5"/>
  <c r="AC503" i="5"/>
  <c r="AB503" i="5"/>
  <c r="AA503" i="5"/>
  <c r="X503" i="5"/>
  <c r="W503" i="5"/>
  <c r="V503" i="5"/>
  <c r="U503" i="5"/>
  <c r="T503" i="5"/>
  <c r="S503" i="5"/>
  <c r="P503" i="5"/>
  <c r="Q503" i="5" s="1"/>
  <c r="AG502" i="5"/>
  <c r="AD502" i="5"/>
  <c r="AC502" i="5"/>
  <c r="AB502" i="5"/>
  <c r="AA502" i="5"/>
  <c r="X502" i="5"/>
  <c r="W502" i="5"/>
  <c r="V502" i="5"/>
  <c r="U502" i="5"/>
  <c r="T502" i="5"/>
  <c r="S502" i="5"/>
  <c r="P502" i="5"/>
  <c r="Q502" i="5" s="1"/>
  <c r="R502" i="5" s="1"/>
  <c r="AG501" i="5"/>
  <c r="AD501" i="5"/>
  <c r="AC501" i="5"/>
  <c r="AB501" i="5"/>
  <c r="AA501" i="5"/>
  <c r="X501" i="5"/>
  <c r="W501" i="5"/>
  <c r="V501" i="5"/>
  <c r="U501" i="5"/>
  <c r="T501" i="5"/>
  <c r="S501" i="5"/>
  <c r="P501" i="5"/>
  <c r="AG500" i="5"/>
  <c r="AD500" i="5"/>
  <c r="AC500" i="5"/>
  <c r="AB500" i="5"/>
  <c r="AA500" i="5"/>
  <c r="X500" i="5"/>
  <c r="W500" i="5"/>
  <c r="V500" i="5"/>
  <c r="U500" i="5"/>
  <c r="T500" i="5"/>
  <c r="S500" i="5"/>
  <c r="P500" i="5"/>
  <c r="Q500" i="5" s="1"/>
  <c r="AG499" i="5"/>
  <c r="AD499" i="5"/>
  <c r="AC499" i="5"/>
  <c r="AB499" i="5"/>
  <c r="AA499" i="5"/>
  <c r="X499" i="5"/>
  <c r="W499" i="5"/>
  <c r="V499" i="5"/>
  <c r="U499" i="5"/>
  <c r="T499" i="5"/>
  <c r="S499" i="5"/>
  <c r="P499" i="5"/>
  <c r="AG498" i="5"/>
  <c r="AD498" i="5"/>
  <c r="AC498" i="5"/>
  <c r="AB498" i="5"/>
  <c r="AA498" i="5"/>
  <c r="X498" i="5"/>
  <c r="W498" i="5"/>
  <c r="V498" i="5"/>
  <c r="U498" i="5"/>
  <c r="T498" i="5"/>
  <c r="S498" i="5"/>
  <c r="P498" i="5"/>
  <c r="Q498" i="5" s="1"/>
  <c r="R498" i="5" s="1"/>
  <c r="AG497" i="5"/>
  <c r="AD497" i="5"/>
  <c r="AC497" i="5"/>
  <c r="AB497" i="5"/>
  <c r="AA497" i="5"/>
  <c r="X497" i="5"/>
  <c r="W497" i="5"/>
  <c r="V497" i="5"/>
  <c r="U497" i="5"/>
  <c r="T497" i="5"/>
  <c r="S497" i="5"/>
  <c r="R497" i="5"/>
  <c r="P497" i="5"/>
  <c r="Q497" i="5" s="1"/>
  <c r="AG496" i="5"/>
  <c r="AD496" i="5"/>
  <c r="AC496" i="5"/>
  <c r="AB496" i="5"/>
  <c r="AA496" i="5"/>
  <c r="X496" i="5"/>
  <c r="W496" i="5"/>
  <c r="V496" i="5"/>
  <c r="U496" i="5"/>
  <c r="T496" i="5"/>
  <c r="S496" i="5"/>
  <c r="R496" i="5"/>
  <c r="P496" i="5"/>
  <c r="Q496" i="5" s="1"/>
  <c r="AG495" i="5"/>
  <c r="AD495" i="5"/>
  <c r="AC495" i="5"/>
  <c r="AB495" i="5"/>
  <c r="AA495" i="5"/>
  <c r="X495" i="5"/>
  <c r="W495" i="5"/>
  <c r="V495" i="5"/>
  <c r="U495" i="5"/>
  <c r="T495" i="5"/>
  <c r="S495" i="5"/>
  <c r="P495" i="5"/>
  <c r="Q495" i="5" s="1"/>
  <c r="AG494" i="5"/>
  <c r="AD494" i="5"/>
  <c r="AC494" i="5"/>
  <c r="AB494" i="5"/>
  <c r="AA494" i="5"/>
  <c r="X494" i="5"/>
  <c r="W494" i="5"/>
  <c r="V494" i="5"/>
  <c r="U494" i="5"/>
  <c r="T494" i="5"/>
  <c r="S494" i="5"/>
  <c r="P494" i="5"/>
  <c r="Q494" i="5" s="1"/>
  <c r="AG493" i="5"/>
  <c r="AD493" i="5"/>
  <c r="AC493" i="5"/>
  <c r="AB493" i="5"/>
  <c r="AA493" i="5"/>
  <c r="X493" i="5"/>
  <c r="W493" i="5"/>
  <c r="V493" i="5"/>
  <c r="U493" i="5"/>
  <c r="T493" i="5"/>
  <c r="S493" i="5"/>
  <c r="P493" i="5"/>
  <c r="AG492" i="5"/>
  <c r="AD492" i="5"/>
  <c r="AC492" i="5"/>
  <c r="AB492" i="5"/>
  <c r="AA492" i="5"/>
  <c r="X492" i="5"/>
  <c r="W492" i="5"/>
  <c r="V492" i="5"/>
  <c r="U492" i="5"/>
  <c r="T492" i="5"/>
  <c r="S492" i="5"/>
  <c r="P492" i="5"/>
  <c r="Q492" i="5" s="1"/>
  <c r="R492" i="5" s="1"/>
  <c r="AG491" i="5"/>
  <c r="AD491" i="5"/>
  <c r="AC491" i="5"/>
  <c r="AB491" i="5"/>
  <c r="AA491" i="5"/>
  <c r="X491" i="5"/>
  <c r="W491" i="5"/>
  <c r="V491" i="5"/>
  <c r="U491" i="5"/>
  <c r="T491" i="5"/>
  <c r="S491" i="5"/>
  <c r="P491" i="5"/>
  <c r="Q491" i="5" s="1"/>
  <c r="AG490" i="5"/>
  <c r="AD490" i="5"/>
  <c r="AC490" i="5"/>
  <c r="AB490" i="5"/>
  <c r="AA490" i="5"/>
  <c r="X490" i="5"/>
  <c r="W490" i="5"/>
  <c r="V490" i="5"/>
  <c r="U490" i="5"/>
  <c r="T490" i="5"/>
  <c r="S490" i="5"/>
  <c r="P490" i="5"/>
  <c r="AG489" i="5"/>
  <c r="AD489" i="5"/>
  <c r="AC489" i="5"/>
  <c r="AB489" i="5"/>
  <c r="AA489" i="5"/>
  <c r="X489" i="5"/>
  <c r="W489" i="5"/>
  <c r="V489" i="5"/>
  <c r="U489" i="5"/>
  <c r="T489" i="5"/>
  <c r="S489" i="5"/>
  <c r="P489" i="5"/>
  <c r="AG488" i="5"/>
  <c r="AD488" i="5"/>
  <c r="AC488" i="5"/>
  <c r="AB488" i="5"/>
  <c r="AA488" i="5"/>
  <c r="X488" i="5"/>
  <c r="W488" i="5"/>
  <c r="V488" i="5"/>
  <c r="U488" i="5"/>
  <c r="T488" i="5"/>
  <c r="S488" i="5"/>
  <c r="P488" i="5"/>
  <c r="Q488" i="5" s="1"/>
  <c r="R488" i="5" s="1"/>
  <c r="AG487" i="5"/>
  <c r="AD487" i="5"/>
  <c r="AC487" i="5"/>
  <c r="AB487" i="5"/>
  <c r="AA487" i="5"/>
  <c r="X487" i="5"/>
  <c r="W487" i="5"/>
  <c r="V487" i="5"/>
  <c r="U487" i="5"/>
  <c r="T487" i="5"/>
  <c r="S487" i="5"/>
  <c r="R487" i="5"/>
  <c r="P487" i="5"/>
  <c r="Q487" i="5" s="1"/>
  <c r="AG486" i="5"/>
  <c r="AD486" i="5"/>
  <c r="AC486" i="5"/>
  <c r="AB486" i="5"/>
  <c r="AA486" i="5"/>
  <c r="X486" i="5"/>
  <c r="W486" i="5"/>
  <c r="V486" i="5"/>
  <c r="U486" i="5"/>
  <c r="T486" i="5"/>
  <c r="S486" i="5"/>
  <c r="P486" i="5"/>
  <c r="AG485" i="5"/>
  <c r="AD485" i="5"/>
  <c r="AC485" i="5"/>
  <c r="AB485" i="5"/>
  <c r="AA485" i="5"/>
  <c r="X485" i="5"/>
  <c r="W485" i="5"/>
  <c r="V485" i="5"/>
  <c r="U485" i="5"/>
  <c r="T485" i="5"/>
  <c r="S485" i="5"/>
  <c r="P485" i="5"/>
  <c r="AG484" i="5"/>
  <c r="AD484" i="5"/>
  <c r="AC484" i="5"/>
  <c r="AB484" i="5"/>
  <c r="AA484" i="5"/>
  <c r="X484" i="5"/>
  <c r="W484" i="5"/>
  <c r="V484" i="5"/>
  <c r="U484" i="5"/>
  <c r="T484" i="5"/>
  <c r="S484" i="5"/>
  <c r="P484" i="5"/>
  <c r="Q484" i="5" s="1"/>
  <c r="R484" i="5" s="1"/>
  <c r="AG483" i="5"/>
  <c r="AD483" i="5"/>
  <c r="AC483" i="5"/>
  <c r="AB483" i="5"/>
  <c r="AA483" i="5"/>
  <c r="X483" i="5"/>
  <c r="W483" i="5"/>
  <c r="V483" i="5"/>
  <c r="U483" i="5"/>
  <c r="T483" i="5"/>
  <c r="S483" i="5"/>
  <c r="P483" i="5"/>
  <c r="Q483" i="5" s="1"/>
  <c r="AG482" i="5"/>
  <c r="AD482" i="5"/>
  <c r="AC482" i="5"/>
  <c r="AB482" i="5"/>
  <c r="AA482" i="5"/>
  <c r="X482" i="5"/>
  <c r="W482" i="5"/>
  <c r="V482" i="5"/>
  <c r="U482" i="5"/>
  <c r="T482" i="5"/>
  <c r="S482" i="5"/>
  <c r="P482" i="5"/>
  <c r="AG481" i="5"/>
  <c r="AD481" i="5"/>
  <c r="AC481" i="5"/>
  <c r="AB481" i="5"/>
  <c r="AA481" i="5"/>
  <c r="X481" i="5"/>
  <c r="W481" i="5"/>
  <c r="V481" i="5"/>
  <c r="U481" i="5"/>
  <c r="T481" i="5"/>
  <c r="S481" i="5"/>
  <c r="P481" i="5"/>
  <c r="AG480" i="5"/>
  <c r="AD480" i="5"/>
  <c r="AC480" i="5"/>
  <c r="AB480" i="5"/>
  <c r="AA480" i="5"/>
  <c r="X480" i="5"/>
  <c r="W480" i="5"/>
  <c r="V480" i="5"/>
  <c r="U480" i="5"/>
  <c r="T480" i="5"/>
  <c r="S480" i="5"/>
  <c r="P480" i="5"/>
  <c r="Q480" i="5" s="1"/>
  <c r="R480" i="5" s="1"/>
  <c r="AG479" i="5"/>
  <c r="AD479" i="5"/>
  <c r="AC479" i="5"/>
  <c r="AB479" i="5"/>
  <c r="AA479" i="5"/>
  <c r="X479" i="5"/>
  <c r="W479" i="5"/>
  <c r="V479" i="5"/>
  <c r="U479" i="5"/>
  <c r="T479" i="5"/>
  <c r="S479" i="5"/>
  <c r="P479" i="5"/>
  <c r="Q479" i="5" s="1"/>
  <c r="AG478" i="5"/>
  <c r="AD478" i="5"/>
  <c r="AC478" i="5"/>
  <c r="AB478" i="5"/>
  <c r="AA478" i="5"/>
  <c r="X478" i="5"/>
  <c r="W478" i="5"/>
  <c r="V478" i="5"/>
  <c r="U478" i="5"/>
  <c r="T478" i="5"/>
  <c r="S478" i="5"/>
  <c r="P478" i="5"/>
  <c r="AG477" i="5"/>
  <c r="AD477" i="5"/>
  <c r="AC477" i="5"/>
  <c r="AB477" i="5"/>
  <c r="AA477" i="5"/>
  <c r="X477" i="5"/>
  <c r="W477" i="5"/>
  <c r="V477" i="5"/>
  <c r="U477" i="5"/>
  <c r="T477" i="5"/>
  <c r="S477" i="5"/>
  <c r="P477" i="5"/>
  <c r="Q477" i="5" s="1"/>
  <c r="AG476" i="5"/>
  <c r="AD476" i="5"/>
  <c r="AC476" i="5"/>
  <c r="AB476" i="5"/>
  <c r="AA476" i="5"/>
  <c r="X476" i="5"/>
  <c r="W476" i="5"/>
  <c r="V476" i="5"/>
  <c r="U476" i="5"/>
  <c r="T476" i="5"/>
  <c r="S476" i="5"/>
  <c r="P476" i="5"/>
  <c r="Q476" i="5" s="1"/>
  <c r="R476" i="5" s="1"/>
  <c r="AG475" i="5"/>
  <c r="AD475" i="5"/>
  <c r="AC475" i="5"/>
  <c r="AB475" i="5"/>
  <c r="AA475" i="5"/>
  <c r="X475" i="5"/>
  <c r="W475" i="5"/>
  <c r="V475" i="5"/>
  <c r="U475" i="5"/>
  <c r="T475" i="5"/>
  <c r="S475" i="5"/>
  <c r="R475" i="5"/>
  <c r="P475" i="5"/>
  <c r="Q475" i="5" s="1"/>
  <c r="AG474" i="5"/>
  <c r="AD474" i="5"/>
  <c r="AC474" i="5"/>
  <c r="AB474" i="5"/>
  <c r="AA474" i="5"/>
  <c r="X474" i="5"/>
  <c r="W474" i="5"/>
  <c r="V474" i="5"/>
  <c r="U474" i="5"/>
  <c r="T474" i="5"/>
  <c r="S474" i="5"/>
  <c r="P474" i="5"/>
  <c r="Q474" i="5" s="1"/>
  <c r="AG473" i="5"/>
  <c r="AD473" i="5"/>
  <c r="AC473" i="5"/>
  <c r="AB473" i="5"/>
  <c r="AA473" i="5"/>
  <c r="X473" i="5"/>
  <c r="W473" i="5"/>
  <c r="V473" i="5"/>
  <c r="U473" i="5"/>
  <c r="T473" i="5"/>
  <c r="S473" i="5"/>
  <c r="P473" i="5"/>
  <c r="AG472" i="5"/>
  <c r="AD472" i="5"/>
  <c r="AC472" i="5"/>
  <c r="AB472" i="5"/>
  <c r="AA472" i="5"/>
  <c r="X472" i="5"/>
  <c r="W472" i="5"/>
  <c r="V472" i="5"/>
  <c r="U472" i="5"/>
  <c r="T472" i="5"/>
  <c r="S472" i="5"/>
  <c r="P472" i="5"/>
  <c r="Q472" i="5" s="1"/>
  <c r="R472" i="5" s="1"/>
  <c r="AG471" i="5"/>
  <c r="AD471" i="5"/>
  <c r="AC471" i="5"/>
  <c r="AB471" i="5"/>
  <c r="AA471" i="5"/>
  <c r="X471" i="5"/>
  <c r="W471" i="5"/>
  <c r="V471" i="5"/>
  <c r="U471" i="5"/>
  <c r="T471" i="5"/>
  <c r="S471" i="5"/>
  <c r="P471" i="5"/>
  <c r="Q471" i="5" s="1"/>
  <c r="AG470" i="5"/>
  <c r="AD470" i="5"/>
  <c r="AC470" i="5"/>
  <c r="AB470" i="5"/>
  <c r="AA470" i="5"/>
  <c r="X470" i="5"/>
  <c r="W470" i="5"/>
  <c r="V470" i="5"/>
  <c r="U470" i="5"/>
  <c r="T470" i="5"/>
  <c r="S470" i="5"/>
  <c r="P470" i="5"/>
  <c r="Q470" i="5" s="1"/>
  <c r="AG469" i="5"/>
  <c r="AD469" i="5"/>
  <c r="AC469" i="5"/>
  <c r="AB469" i="5"/>
  <c r="AA469" i="5"/>
  <c r="X469" i="5"/>
  <c r="W469" i="5"/>
  <c r="V469" i="5"/>
  <c r="U469" i="5"/>
  <c r="T469" i="5"/>
  <c r="S469" i="5"/>
  <c r="P469" i="5"/>
  <c r="AG468" i="5"/>
  <c r="AD468" i="5"/>
  <c r="AC468" i="5"/>
  <c r="AB468" i="5"/>
  <c r="AA468" i="5"/>
  <c r="X468" i="5"/>
  <c r="W468" i="5"/>
  <c r="V468" i="5"/>
  <c r="U468" i="5"/>
  <c r="T468" i="5"/>
  <c r="S468" i="5"/>
  <c r="P468" i="5"/>
  <c r="Q468" i="5" s="1"/>
  <c r="R468" i="5" s="1"/>
  <c r="AG467" i="5"/>
  <c r="AD467" i="5"/>
  <c r="AC467" i="5"/>
  <c r="AB467" i="5"/>
  <c r="AA467" i="5"/>
  <c r="X467" i="5"/>
  <c r="W467" i="5"/>
  <c r="V467" i="5"/>
  <c r="U467" i="5"/>
  <c r="T467" i="5"/>
  <c r="S467" i="5"/>
  <c r="P467" i="5"/>
  <c r="Q467" i="5" s="1"/>
  <c r="AG466" i="5"/>
  <c r="AD466" i="5"/>
  <c r="AC466" i="5"/>
  <c r="AB466" i="5"/>
  <c r="AA466" i="5"/>
  <c r="X466" i="5"/>
  <c r="W466" i="5"/>
  <c r="V466" i="5"/>
  <c r="U466" i="5"/>
  <c r="T466" i="5"/>
  <c r="S466" i="5"/>
  <c r="P466" i="5"/>
  <c r="AG465" i="5"/>
  <c r="AD465" i="5"/>
  <c r="AC465" i="5"/>
  <c r="AB465" i="5"/>
  <c r="AA465" i="5"/>
  <c r="X465" i="5"/>
  <c r="W465" i="5"/>
  <c r="V465" i="5"/>
  <c r="U465" i="5"/>
  <c r="T465" i="5"/>
  <c r="S465" i="5"/>
  <c r="P465" i="5"/>
  <c r="Q465" i="5" s="1"/>
  <c r="R465" i="5" s="1"/>
  <c r="AG464" i="5"/>
  <c r="AD464" i="5"/>
  <c r="AC464" i="5"/>
  <c r="AB464" i="5"/>
  <c r="AA464" i="5"/>
  <c r="X464" i="5"/>
  <c r="W464" i="5"/>
  <c r="V464" i="5"/>
  <c r="U464" i="5"/>
  <c r="T464" i="5"/>
  <c r="S464" i="5"/>
  <c r="P464" i="5"/>
  <c r="Q464" i="5" s="1"/>
  <c r="AG463" i="5"/>
  <c r="AD463" i="5"/>
  <c r="AC463" i="5"/>
  <c r="AB463" i="5"/>
  <c r="AA463" i="5"/>
  <c r="X463" i="5"/>
  <c r="W463" i="5"/>
  <c r="V463" i="5"/>
  <c r="U463" i="5"/>
  <c r="T463" i="5"/>
  <c r="S463" i="5"/>
  <c r="P463" i="5"/>
  <c r="AG462" i="5"/>
  <c r="AD462" i="5"/>
  <c r="AC462" i="5"/>
  <c r="AB462" i="5"/>
  <c r="AA462" i="5"/>
  <c r="X462" i="5"/>
  <c r="W462" i="5"/>
  <c r="V462" i="5"/>
  <c r="U462" i="5"/>
  <c r="T462" i="5"/>
  <c r="S462" i="5"/>
  <c r="P462" i="5"/>
  <c r="AG461" i="5"/>
  <c r="AD461" i="5"/>
  <c r="AC461" i="5"/>
  <c r="AB461" i="5"/>
  <c r="AA461" i="5"/>
  <c r="X461" i="5"/>
  <c r="W461" i="5"/>
  <c r="V461" i="5"/>
  <c r="U461" i="5"/>
  <c r="T461" i="5"/>
  <c r="S461" i="5"/>
  <c r="P461" i="5"/>
  <c r="Q461" i="5" s="1"/>
  <c r="R461" i="5" s="1"/>
  <c r="AG460" i="5"/>
  <c r="AD460" i="5"/>
  <c r="AC460" i="5"/>
  <c r="AB460" i="5"/>
  <c r="AA460" i="5"/>
  <c r="X460" i="5"/>
  <c r="W460" i="5"/>
  <c r="V460" i="5"/>
  <c r="U460" i="5"/>
  <c r="T460" i="5"/>
  <c r="S460" i="5"/>
  <c r="P460" i="5"/>
  <c r="AG459" i="5"/>
  <c r="AD459" i="5"/>
  <c r="AC459" i="5"/>
  <c r="AB459" i="5"/>
  <c r="AA459" i="5"/>
  <c r="X459" i="5"/>
  <c r="W459" i="5"/>
  <c r="V459" i="5"/>
  <c r="U459" i="5"/>
  <c r="T459" i="5"/>
  <c r="S459" i="5"/>
  <c r="P459" i="5"/>
  <c r="Q459" i="5" s="1"/>
  <c r="AG458" i="5"/>
  <c r="AD458" i="5"/>
  <c r="AC458" i="5"/>
  <c r="AB458" i="5"/>
  <c r="AA458" i="5"/>
  <c r="X458" i="5"/>
  <c r="W458" i="5"/>
  <c r="V458" i="5"/>
  <c r="U458" i="5"/>
  <c r="T458" i="5"/>
  <c r="S458" i="5"/>
  <c r="P458" i="5"/>
  <c r="AG457" i="5"/>
  <c r="AD457" i="5"/>
  <c r="AC457" i="5"/>
  <c r="AB457" i="5"/>
  <c r="AA457" i="5"/>
  <c r="X457" i="5"/>
  <c r="W457" i="5"/>
  <c r="V457" i="5"/>
  <c r="U457" i="5"/>
  <c r="T457" i="5"/>
  <c r="S457" i="5"/>
  <c r="P457" i="5"/>
  <c r="Q457" i="5" s="1"/>
  <c r="R457" i="5" s="1"/>
  <c r="AG456" i="5"/>
  <c r="AD456" i="5"/>
  <c r="AC456" i="5"/>
  <c r="AB456" i="5"/>
  <c r="AA456" i="5"/>
  <c r="X456" i="5"/>
  <c r="W456" i="5"/>
  <c r="V456" i="5"/>
  <c r="U456" i="5"/>
  <c r="T456" i="5"/>
  <c r="S456" i="5"/>
  <c r="P456" i="5"/>
  <c r="Q456" i="5" s="1"/>
  <c r="AG455" i="5"/>
  <c r="AD455" i="5"/>
  <c r="AC455" i="5"/>
  <c r="AB455" i="5"/>
  <c r="AA455" i="5"/>
  <c r="X455" i="5"/>
  <c r="W455" i="5"/>
  <c r="V455" i="5"/>
  <c r="U455" i="5"/>
  <c r="T455" i="5"/>
  <c r="S455" i="5"/>
  <c r="R455" i="5"/>
  <c r="P455" i="5"/>
  <c r="Q455" i="5" s="1"/>
  <c r="AG454" i="5"/>
  <c r="AD454" i="5"/>
  <c r="AC454" i="5"/>
  <c r="AB454" i="5"/>
  <c r="AA454" i="5"/>
  <c r="X454" i="5"/>
  <c r="W454" i="5"/>
  <c r="V454" i="5"/>
  <c r="U454" i="5"/>
  <c r="T454" i="5"/>
  <c r="S454" i="5"/>
  <c r="P454" i="5"/>
  <c r="AG453" i="5"/>
  <c r="AD453" i="5"/>
  <c r="AC453" i="5"/>
  <c r="AB453" i="5"/>
  <c r="AA453" i="5"/>
  <c r="X453" i="5"/>
  <c r="W453" i="5"/>
  <c r="V453" i="5"/>
  <c r="U453" i="5"/>
  <c r="T453" i="5"/>
  <c r="S453" i="5"/>
  <c r="P453" i="5"/>
  <c r="Q453" i="5" s="1"/>
  <c r="AG452" i="5"/>
  <c r="AD452" i="5"/>
  <c r="AC452" i="5"/>
  <c r="AB452" i="5"/>
  <c r="AA452" i="5"/>
  <c r="X452" i="5"/>
  <c r="W452" i="5"/>
  <c r="V452" i="5"/>
  <c r="U452" i="5"/>
  <c r="T452" i="5"/>
  <c r="S452" i="5"/>
  <c r="P452" i="5"/>
  <c r="Q452" i="5" s="1"/>
  <c r="R452" i="5" s="1"/>
  <c r="AG451" i="5"/>
  <c r="AD451" i="5"/>
  <c r="AC451" i="5"/>
  <c r="AB451" i="5"/>
  <c r="AA451" i="5"/>
  <c r="X451" i="5"/>
  <c r="W451" i="5"/>
  <c r="V451" i="5"/>
  <c r="U451" i="5"/>
  <c r="T451" i="5"/>
  <c r="S451" i="5"/>
  <c r="P451" i="5"/>
  <c r="AG450" i="5"/>
  <c r="AD450" i="5"/>
  <c r="AC450" i="5"/>
  <c r="AB450" i="5"/>
  <c r="AA450" i="5"/>
  <c r="X450" i="5"/>
  <c r="W450" i="5"/>
  <c r="V450" i="5"/>
  <c r="U450" i="5"/>
  <c r="T450" i="5"/>
  <c r="S450" i="5"/>
  <c r="P450" i="5"/>
  <c r="AG449" i="5"/>
  <c r="AD449" i="5"/>
  <c r="AC449" i="5"/>
  <c r="AB449" i="5"/>
  <c r="AA449" i="5"/>
  <c r="X449" i="5"/>
  <c r="W449" i="5"/>
  <c r="V449" i="5"/>
  <c r="U449" i="5"/>
  <c r="T449" i="5"/>
  <c r="S449" i="5"/>
  <c r="P449" i="5"/>
  <c r="Q449" i="5" s="1"/>
  <c r="R449" i="5" s="1"/>
  <c r="AG448" i="5"/>
  <c r="AD448" i="5"/>
  <c r="AC448" i="5"/>
  <c r="AB448" i="5"/>
  <c r="AA448" i="5"/>
  <c r="X448" i="5"/>
  <c r="W448" i="5"/>
  <c r="V448" i="5"/>
  <c r="U448" i="5"/>
  <c r="T448" i="5"/>
  <c r="S448" i="5"/>
  <c r="P448" i="5"/>
  <c r="Q448" i="5" s="1"/>
  <c r="R448" i="5" s="1"/>
  <c r="AG447" i="5"/>
  <c r="AD447" i="5"/>
  <c r="AC447" i="5"/>
  <c r="AB447" i="5"/>
  <c r="AA447" i="5"/>
  <c r="X447" i="5"/>
  <c r="W447" i="5"/>
  <c r="V447" i="5"/>
  <c r="U447" i="5"/>
  <c r="T447" i="5"/>
  <c r="S447" i="5"/>
  <c r="P447" i="5"/>
  <c r="Q447" i="5" s="1"/>
  <c r="AG446" i="5"/>
  <c r="AD446" i="5"/>
  <c r="AC446" i="5"/>
  <c r="AB446" i="5"/>
  <c r="AA446" i="5"/>
  <c r="X446" i="5"/>
  <c r="W446" i="5"/>
  <c r="V446" i="5"/>
  <c r="U446" i="5"/>
  <c r="T446" i="5"/>
  <c r="S446" i="5"/>
  <c r="P446" i="5"/>
  <c r="AG445" i="5"/>
  <c r="AD445" i="5"/>
  <c r="AC445" i="5"/>
  <c r="AB445" i="5"/>
  <c r="AA445" i="5"/>
  <c r="X445" i="5"/>
  <c r="W445" i="5"/>
  <c r="V445" i="5"/>
  <c r="U445" i="5"/>
  <c r="T445" i="5"/>
  <c r="S445" i="5"/>
  <c r="P445" i="5"/>
  <c r="Q445" i="5" s="1"/>
  <c r="AG444" i="5"/>
  <c r="AD444" i="5"/>
  <c r="AC444" i="5"/>
  <c r="AB444" i="5"/>
  <c r="AA444" i="5"/>
  <c r="X444" i="5"/>
  <c r="W444" i="5"/>
  <c r="V444" i="5"/>
  <c r="U444" i="5"/>
  <c r="T444" i="5"/>
  <c r="S444" i="5"/>
  <c r="P444" i="5"/>
  <c r="Q444" i="5" s="1"/>
  <c r="R444" i="5" s="1"/>
  <c r="AG443" i="5"/>
  <c r="AD443" i="5"/>
  <c r="AC443" i="5"/>
  <c r="AB443" i="5"/>
  <c r="AA443" i="5"/>
  <c r="X443" i="5"/>
  <c r="W443" i="5"/>
  <c r="V443" i="5"/>
  <c r="U443" i="5"/>
  <c r="T443" i="5"/>
  <c r="S443" i="5"/>
  <c r="P443" i="5"/>
  <c r="Q443" i="5" s="1"/>
  <c r="AG442" i="5"/>
  <c r="AD442" i="5"/>
  <c r="AC442" i="5"/>
  <c r="AB442" i="5"/>
  <c r="AA442" i="5"/>
  <c r="X442" i="5"/>
  <c r="W442" i="5"/>
  <c r="V442" i="5"/>
  <c r="U442" i="5"/>
  <c r="T442" i="5"/>
  <c r="S442" i="5"/>
  <c r="P442" i="5"/>
  <c r="AG441" i="5"/>
  <c r="AD441" i="5"/>
  <c r="AC441" i="5"/>
  <c r="AB441" i="5"/>
  <c r="AA441" i="5"/>
  <c r="X441" i="5"/>
  <c r="W441" i="5"/>
  <c r="V441" i="5"/>
  <c r="U441" i="5"/>
  <c r="T441" i="5"/>
  <c r="S441" i="5"/>
  <c r="P441" i="5"/>
  <c r="Q441" i="5" s="1"/>
  <c r="AG440" i="5"/>
  <c r="AD440" i="5"/>
  <c r="AC440" i="5"/>
  <c r="AB440" i="5"/>
  <c r="AA440" i="5"/>
  <c r="X440" i="5"/>
  <c r="W440" i="5"/>
  <c r="V440" i="5"/>
  <c r="U440" i="5"/>
  <c r="T440" i="5"/>
  <c r="S440" i="5"/>
  <c r="P440" i="5"/>
  <c r="Q440" i="5" s="1"/>
  <c r="R440" i="5" s="1"/>
  <c r="AG439" i="5"/>
  <c r="AD439" i="5"/>
  <c r="AC439" i="5"/>
  <c r="AB439" i="5"/>
  <c r="AA439" i="5"/>
  <c r="X439" i="5"/>
  <c r="W439" i="5"/>
  <c r="V439" i="5"/>
  <c r="U439" i="5"/>
  <c r="T439" i="5"/>
  <c r="S439" i="5"/>
  <c r="P439" i="5"/>
  <c r="AG438" i="5"/>
  <c r="AD438" i="5"/>
  <c r="AC438" i="5"/>
  <c r="AB438" i="5"/>
  <c r="AA438" i="5"/>
  <c r="X438" i="5"/>
  <c r="W438" i="5"/>
  <c r="V438" i="5"/>
  <c r="U438" i="5"/>
  <c r="T438" i="5"/>
  <c r="S438" i="5"/>
  <c r="P438" i="5"/>
  <c r="AG437" i="5"/>
  <c r="AD437" i="5"/>
  <c r="AC437" i="5"/>
  <c r="AB437" i="5"/>
  <c r="AA437" i="5"/>
  <c r="X437" i="5"/>
  <c r="W437" i="5"/>
  <c r="V437" i="5"/>
  <c r="U437" i="5"/>
  <c r="T437" i="5"/>
  <c r="S437" i="5"/>
  <c r="P437" i="5"/>
  <c r="Q437" i="5" s="1"/>
  <c r="AG436" i="5"/>
  <c r="AD436" i="5"/>
  <c r="AC436" i="5"/>
  <c r="AB436" i="5"/>
  <c r="AA436" i="5"/>
  <c r="X436" i="5"/>
  <c r="W436" i="5"/>
  <c r="V436" i="5"/>
  <c r="U436" i="5"/>
  <c r="T436" i="5"/>
  <c r="S436" i="5"/>
  <c r="P436" i="5"/>
  <c r="Q436" i="5" s="1"/>
  <c r="R436" i="5" s="1"/>
  <c r="AG435" i="5"/>
  <c r="AD435" i="5"/>
  <c r="AC435" i="5"/>
  <c r="AB435" i="5"/>
  <c r="AA435" i="5"/>
  <c r="X435" i="5"/>
  <c r="W435" i="5"/>
  <c r="V435" i="5"/>
  <c r="U435" i="5"/>
  <c r="T435" i="5"/>
  <c r="S435" i="5"/>
  <c r="P435" i="5"/>
  <c r="AG434" i="5"/>
  <c r="AD434" i="5"/>
  <c r="AC434" i="5"/>
  <c r="AB434" i="5"/>
  <c r="AA434" i="5"/>
  <c r="X434" i="5"/>
  <c r="W434" i="5"/>
  <c r="V434" i="5"/>
  <c r="U434" i="5"/>
  <c r="T434" i="5"/>
  <c r="S434" i="5"/>
  <c r="P434" i="5"/>
  <c r="AG433" i="5"/>
  <c r="AD433" i="5"/>
  <c r="AC433" i="5"/>
  <c r="AB433" i="5"/>
  <c r="AA433" i="5"/>
  <c r="X433" i="5"/>
  <c r="W433" i="5"/>
  <c r="V433" i="5"/>
  <c r="U433" i="5"/>
  <c r="T433" i="5"/>
  <c r="S433" i="5"/>
  <c r="P433" i="5"/>
  <c r="Q433" i="5" s="1"/>
  <c r="R433" i="5" s="1"/>
  <c r="AG432" i="5"/>
  <c r="AD432" i="5"/>
  <c r="AC432" i="5"/>
  <c r="AB432" i="5"/>
  <c r="AA432" i="5"/>
  <c r="X432" i="5"/>
  <c r="W432" i="5"/>
  <c r="V432" i="5"/>
  <c r="U432" i="5"/>
  <c r="T432" i="5"/>
  <c r="S432" i="5"/>
  <c r="P432" i="5"/>
  <c r="Q432" i="5" s="1"/>
  <c r="R432" i="5" s="1"/>
  <c r="AG431" i="5"/>
  <c r="AD431" i="5"/>
  <c r="AC431" i="5"/>
  <c r="AB431" i="5"/>
  <c r="AA431" i="5"/>
  <c r="X431" i="5"/>
  <c r="W431" i="5"/>
  <c r="V431" i="5"/>
  <c r="U431" i="5"/>
  <c r="T431" i="5"/>
  <c r="S431" i="5"/>
  <c r="R431" i="5"/>
  <c r="P431" i="5"/>
  <c r="Q431" i="5" s="1"/>
  <c r="AG430" i="5"/>
  <c r="AD430" i="5"/>
  <c r="AC430" i="5"/>
  <c r="AB430" i="5"/>
  <c r="AA430" i="5"/>
  <c r="X430" i="5"/>
  <c r="W430" i="5"/>
  <c r="V430" i="5"/>
  <c r="U430" i="5"/>
  <c r="T430" i="5"/>
  <c r="S430" i="5"/>
  <c r="P430" i="5"/>
  <c r="AG429" i="5"/>
  <c r="AD429" i="5"/>
  <c r="AC429" i="5"/>
  <c r="AB429" i="5"/>
  <c r="AA429" i="5"/>
  <c r="X429" i="5"/>
  <c r="W429" i="5"/>
  <c r="V429" i="5"/>
  <c r="U429" i="5"/>
  <c r="T429" i="5"/>
  <c r="S429" i="5"/>
  <c r="P429" i="5"/>
  <c r="Q429" i="5" s="1"/>
  <c r="AG428" i="5"/>
  <c r="AD428" i="5"/>
  <c r="AC428" i="5"/>
  <c r="AB428" i="5"/>
  <c r="AA428" i="5"/>
  <c r="X428" i="5"/>
  <c r="W428" i="5"/>
  <c r="V428" i="5"/>
  <c r="U428" i="5"/>
  <c r="T428" i="5"/>
  <c r="S428" i="5"/>
  <c r="P428" i="5"/>
  <c r="Q428" i="5" s="1"/>
  <c r="R428" i="5" s="1"/>
  <c r="AG427" i="5"/>
  <c r="AD427" i="5"/>
  <c r="AC427" i="5"/>
  <c r="AB427" i="5"/>
  <c r="AA427" i="5"/>
  <c r="X427" i="5"/>
  <c r="W427" i="5"/>
  <c r="V427" i="5"/>
  <c r="U427" i="5"/>
  <c r="T427" i="5"/>
  <c r="S427" i="5"/>
  <c r="P427" i="5"/>
  <c r="Q427" i="5" s="1"/>
  <c r="AG426" i="5"/>
  <c r="AD426" i="5"/>
  <c r="AC426" i="5"/>
  <c r="AB426" i="5"/>
  <c r="AA426" i="5"/>
  <c r="X426" i="5"/>
  <c r="W426" i="5"/>
  <c r="V426" i="5"/>
  <c r="U426" i="5"/>
  <c r="T426" i="5"/>
  <c r="S426" i="5"/>
  <c r="P426" i="5"/>
  <c r="AG425" i="5"/>
  <c r="AD425" i="5"/>
  <c r="AC425" i="5"/>
  <c r="AB425" i="5"/>
  <c r="AA425" i="5"/>
  <c r="X425" i="5"/>
  <c r="W425" i="5"/>
  <c r="V425" i="5"/>
  <c r="U425" i="5"/>
  <c r="T425" i="5"/>
  <c r="S425" i="5"/>
  <c r="R425" i="5"/>
  <c r="P425" i="5"/>
  <c r="Q425" i="5" s="1"/>
  <c r="AG424" i="5"/>
  <c r="AD424" i="5"/>
  <c r="AC424" i="5"/>
  <c r="AB424" i="5"/>
  <c r="AA424" i="5"/>
  <c r="X424" i="5"/>
  <c r="W424" i="5"/>
  <c r="V424" i="5"/>
  <c r="U424" i="5"/>
  <c r="T424" i="5"/>
  <c r="S424" i="5"/>
  <c r="P424" i="5"/>
  <c r="Q424" i="5" s="1"/>
  <c r="R424" i="5" s="1"/>
  <c r="AG423" i="5"/>
  <c r="AD423" i="5"/>
  <c r="AC423" i="5"/>
  <c r="AB423" i="5"/>
  <c r="AA423" i="5"/>
  <c r="X423" i="5"/>
  <c r="W423" i="5"/>
  <c r="V423" i="5"/>
  <c r="U423" i="5"/>
  <c r="T423" i="5"/>
  <c r="S423" i="5"/>
  <c r="P423" i="5"/>
  <c r="Q423" i="5" s="1"/>
  <c r="AG422" i="5"/>
  <c r="AD422" i="5"/>
  <c r="AC422" i="5"/>
  <c r="AB422" i="5"/>
  <c r="AA422" i="5"/>
  <c r="X422" i="5"/>
  <c r="W422" i="5"/>
  <c r="V422" i="5"/>
  <c r="U422" i="5"/>
  <c r="T422" i="5"/>
  <c r="S422" i="5"/>
  <c r="P422" i="5"/>
  <c r="AG421" i="5"/>
  <c r="AD421" i="5"/>
  <c r="AC421" i="5"/>
  <c r="AB421" i="5"/>
  <c r="AA421" i="5"/>
  <c r="X421" i="5"/>
  <c r="W421" i="5"/>
  <c r="V421" i="5"/>
  <c r="U421" i="5"/>
  <c r="T421" i="5"/>
  <c r="S421" i="5"/>
  <c r="P421" i="5"/>
  <c r="Q421" i="5" s="1"/>
  <c r="AG420" i="5"/>
  <c r="AD420" i="5"/>
  <c r="AC420" i="5"/>
  <c r="AB420" i="5"/>
  <c r="AA420" i="5"/>
  <c r="X420" i="5"/>
  <c r="W420" i="5"/>
  <c r="V420" i="5"/>
  <c r="U420" i="5"/>
  <c r="T420" i="5"/>
  <c r="S420" i="5"/>
  <c r="P420" i="5"/>
  <c r="Q420" i="5" s="1"/>
  <c r="R420" i="5" s="1"/>
  <c r="AG419" i="5"/>
  <c r="AD419" i="5"/>
  <c r="AC419" i="5"/>
  <c r="AB419" i="5"/>
  <c r="AA419" i="5"/>
  <c r="X419" i="5"/>
  <c r="W419" i="5"/>
  <c r="V419" i="5"/>
  <c r="U419" i="5"/>
  <c r="T419" i="5"/>
  <c r="S419" i="5"/>
  <c r="P419" i="5"/>
  <c r="Q419" i="5" s="1"/>
  <c r="AG418" i="5"/>
  <c r="AD418" i="5"/>
  <c r="AC418" i="5"/>
  <c r="AB418" i="5"/>
  <c r="AA418" i="5"/>
  <c r="X418" i="5"/>
  <c r="W418" i="5"/>
  <c r="V418" i="5"/>
  <c r="U418" i="5"/>
  <c r="T418" i="5"/>
  <c r="S418" i="5"/>
  <c r="P418" i="5"/>
  <c r="AG417" i="5"/>
  <c r="AD417" i="5"/>
  <c r="AC417" i="5"/>
  <c r="AB417" i="5"/>
  <c r="AA417" i="5"/>
  <c r="X417" i="5"/>
  <c r="W417" i="5"/>
  <c r="V417" i="5"/>
  <c r="U417" i="5"/>
  <c r="T417" i="5"/>
  <c r="S417" i="5"/>
  <c r="P417" i="5"/>
  <c r="AG416" i="5"/>
  <c r="AD416" i="5"/>
  <c r="AC416" i="5"/>
  <c r="AB416" i="5"/>
  <c r="AA416" i="5"/>
  <c r="X416" i="5"/>
  <c r="W416" i="5"/>
  <c r="V416" i="5"/>
  <c r="U416" i="5"/>
  <c r="T416" i="5"/>
  <c r="S416" i="5"/>
  <c r="R416" i="5"/>
  <c r="P416" i="5"/>
  <c r="Q416" i="5" s="1"/>
  <c r="AG415" i="5"/>
  <c r="AD415" i="5"/>
  <c r="AC415" i="5"/>
  <c r="AB415" i="5"/>
  <c r="AA415" i="5"/>
  <c r="X415" i="5"/>
  <c r="W415" i="5"/>
  <c r="V415" i="5"/>
  <c r="U415" i="5"/>
  <c r="T415" i="5"/>
  <c r="S415" i="5"/>
  <c r="P415" i="5"/>
  <c r="AG414" i="5"/>
  <c r="AD414" i="5"/>
  <c r="AC414" i="5"/>
  <c r="AB414" i="5"/>
  <c r="AA414" i="5"/>
  <c r="X414" i="5"/>
  <c r="W414" i="5"/>
  <c r="V414" i="5"/>
  <c r="U414" i="5"/>
  <c r="T414" i="5"/>
  <c r="S414" i="5"/>
  <c r="P414" i="5"/>
  <c r="AG413" i="5"/>
  <c r="AD413" i="5"/>
  <c r="AC413" i="5"/>
  <c r="AB413" i="5"/>
  <c r="AA413" i="5"/>
  <c r="X413" i="5"/>
  <c r="W413" i="5"/>
  <c r="V413" i="5"/>
  <c r="U413" i="5"/>
  <c r="T413" i="5"/>
  <c r="S413" i="5"/>
  <c r="P413" i="5"/>
  <c r="AG412" i="5"/>
  <c r="AD412" i="5"/>
  <c r="AC412" i="5"/>
  <c r="AB412" i="5"/>
  <c r="AA412" i="5"/>
  <c r="X412" i="5"/>
  <c r="W412" i="5"/>
  <c r="V412" i="5"/>
  <c r="U412" i="5"/>
  <c r="T412" i="5"/>
  <c r="S412" i="5"/>
  <c r="P412" i="5"/>
  <c r="Q412" i="5" s="1"/>
  <c r="R412" i="5" s="1"/>
  <c r="AG411" i="5"/>
  <c r="AD411" i="5"/>
  <c r="AC411" i="5"/>
  <c r="AB411" i="5"/>
  <c r="AA411" i="5"/>
  <c r="X411" i="5"/>
  <c r="W411" i="5"/>
  <c r="V411" i="5"/>
  <c r="U411" i="5"/>
  <c r="T411" i="5"/>
  <c r="S411" i="5"/>
  <c r="P411" i="5"/>
  <c r="Q411" i="5" s="1"/>
  <c r="AG410" i="5"/>
  <c r="AD410" i="5"/>
  <c r="AC410" i="5"/>
  <c r="AB410" i="5"/>
  <c r="AA410" i="5"/>
  <c r="X410" i="5"/>
  <c r="W410" i="5"/>
  <c r="V410" i="5"/>
  <c r="U410" i="5"/>
  <c r="T410" i="5"/>
  <c r="S410" i="5"/>
  <c r="P410" i="5"/>
  <c r="AG409" i="5"/>
  <c r="AD409" i="5"/>
  <c r="AC409" i="5"/>
  <c r="AB409" i="5"/>
  <c r="AA409" i="5"/>
  <c r="X409" i="5"/>
  <c r="W409" i="5"/>
  <c r="V409" i="5"/>
  <c r="U409" i="5"/>
  <c r="T409" i="5"/>
  <c r="S409" i="5"/>
  <c r="P409" i="5"/>
  <c r="AG408" i="5"/>
  <c r="AD408" i="5"/>
  <c r="AC408" i="5"/>
  <c r="AB408" i="5"/>
  <c r="AA408" i="5"/>
  <c r="X408" i="5"/>
  <c r="W408" i="5"/>
  <c r="V408" i="5"/>
  <c r="U408" i="5"/>
  <c r="T408" i="5"/>
  <c r="S408" i="5"/>
  <c r="P408" i="5"/>
  <c r="Q408" i="5" s="1"/>
  <c r="R408" i="5" s="1"/>
  <c r="AG407" i="5"/>
  <c r="AD407" i="5"/>
  <c r="AC407" i="5"/>
  <c r="AB407" i="5"/>
  <c r="AA407" i="5"/>
  <c r="X407" i="5"/>
  <c r="W407" i="5"/>
  <c r="V407" i="5"/>
  <c r="U407" i="5"/>
  <c r="T407" i="5"/>
  <c r="S407" i="5"/>
  <c r="P407" i="5"/>
  <c r="Q407" i="5" s="1"/>
  <c r="R407" i="5" s="1"/>
  <c r="AG406" i="5"/>
  <c r="AD406" i="5"/>
  <c r="AC406" i="5"/>
  <c r="AB406" i="5"/>
  <c r="AA406" i="5"/>
  <c r="X406" i="5"/>
  <c r="W406" i="5"/>
  <c r="V406" i="5"/>
  <c r="U406" i="5"/>
  <c r="T406" i="5"/>
  <c r="S406" i="5"/>
  <c r="P406" i="5"/>
  <c r="AG405" i="5"/>
  <c r="AD405" i="5"/>
  <c r="AC405" i="5"/>
  <c r="AB405" i="5"/>
  <c r="AA405" i="5"/>
  <c r="X405" i="5"/>
  <c r="W405" i="5"/>
  <c r="V405" i="5"/>
  <c r="U405" i="5"/>
  <c r="T405" i="5"/>
  <c r="S405" i="5"/>
  <c r="P405" i="5"/>
  <c r="AG404" i="5"/>
  <c r="AD404" i="5"/>
  <c r="AC404" i="5"/>
  <c r="AB404" i="5"/>
  <c r="AA404" i="5"/>
  <c r="X404" i="5"/>
  <c r="W404" i="5"/>
  <c r="V404" i="5"/>
  <c r="U404" i="5"/>
  <c r="T404" i="5"/>
  <c r="S404" i="5"/>
  <c r="P404" i="5"/>
  <c r="Q404" i="5" s="1"/>
  <c r="R404" i="5" s="1"/>
  <c r="AG403" i="5"/>
  <c r="AD403" i="5"/>
  <c r="AC403" i="5"/>
  <c r="AB403" i="5"/>
  <c r="AA403" i="5"/>
  <c r="X403" i="5"/>
  <c r="W403" i="5"/>
  <c r="V403" i="5"/>
  <c r="U403" i="5"/>
  <c r="T403" i="5"/>
  <c r="S403" i="5"/>
  <c r="P403" i="5"/>
  <c r="Q403" i="5" s="1"/>
  <c r="R403" i="5" s="1"/>
  <c r="AG402" i="5"/>
  <c r="AD402" i="5"/>
  <c r="AC402" i="5"/>
  <c r="AB402" i="5"/>
  <c r="AA402" i="5"/>
  <c r="X402" i="5"/>
  <c r="W402" i="5"/>
  <c r="V402" i="5"/>
  <c r="U402" i="5"/>
  <c r="T402" i="5"/>
  <c r="S402" i="5"/>
  <c r="P402" i="5"/>
  <c r="AG401" i="5"/>
  <c r="AD401" i="5"/>
  <c r="AC401" i="5"/>
  <c r="AB401" i="5"/>
  <c r="AA401" i="5"/>
  <c r="X401" i="5"/>
  <c r="W401" i="5"/>
  <c r="V401" i="5"/>
  <c r="U401" i="5"/>
  <c r="T401" i="5"/>
  <c r="S401" i="5"/>
  <c r="P401" i="5"/>
  <c r="AG400" i="5"/>
  <c r="AD400" i="5"/>
  <c r="AC400" i="5"/>
  <c r="AB400" i="5"/>
  <c r="AA400" i="5"/>
  <c r="X400" i="5"/>
  <c r="W400" i="5"/>
  <c r="V400" i="5"/>
  <c r="U400" i="5"/>
  <c r="T400" i="5"/>
  <c r="S400" i="5"/>
  <c r="P400" i="5"/>
  <c r="Q400" i="5" s="1"/>
  <c r="R400" i="5" s="1"/>
  <c r="AG399" i="5"/>
  <c r="AD399" i="5"/>
  <c r="AC399" i="5"/>
  <c r="AB399" i="5"/>
  <c r="AA399" i="5"/>
  <c r="X399" i="5"/>
  <c r="W399" i="5"/>
  <c r="V399" i="5"/>
  <c r="U399" i="5"/>
  <c r="T399" i="5"/>
  <c r="S399" i="5"/>
  <c r="P399" i="5"/>
  <c r="Q399" i="5" s="1"/>
  <c r="R399" i="5" s="1"/>
  <c r="AG398" i="5"/>
  <c r="AD398" i="5"/>
  <c r="AC398" i="5"/>
  <c r="AB398" i="5"/>
  <c r="AA398" i="5"/>
  <c r="X398" i="5"/>
  <c r="W398" i="5"/>
  <c r="V398" i="5"/>
  <c r="U398" i="5"/>
  <c r="T398" i="5"/>
  <c r="S398" i="5"/>
  <c r="P398" i="5"/>
  <c r="AG397" i="5"/>
  <c r="AD397" i="5"/>
  <c r="AC397" i="5"/>
  <c r="AB397" i="5"/>
  <c r="AA397" i="5"/>
  <c r="X397" i="5"/>
  <c r="W397" i="5"/>
  <c r="V397" i="5"/>
  <c r="U397" i="5"/>
  <c r="T397" i="5"/>
  <c r="S397" i="5"/>
  <c r="P397" i="5"/>
  <c r="AG396" i="5"/>
  <c r="AD396" i="5"/>
  <c r="AC396" i="5"/>
  <c r="AB396" i="5"/>
  <c r="AA396" i="5"/>
  <c r="X396" i="5"/>
  <c r="W396" i="5"/>
  <c r="V396" i="5"/>
  <c r="U396" i="5"/>
  <c r="T396" i="5"/>
  <c r="S396" i="5"/>
  <c r="P396" i="5"/>
  <c r="Q396" i="5" s="1"/>
  <c r="R396" i="5" s="1"/>
  <c r="AG395" i="5"/>
  <c r="AD395" i="5"/>
  <c r="AC395" i="5"/>
  <c r="AB395" i="5"/>
  <c r="AA395" i="5"/>
  <c r="X395" i="5"/>
  <c r="W395" i="5"/>
  <c r="V395" i="5"/>
  <c r="U395" i="5"/>
  <c r="T395" i="5"/>
  <c r="S395" i="5"/>
  <c r="P395" i="5"/>
  <c r="Q395" i="5" s="1"/>
  <c r="R395" i="5" s="1"/>
  <c r="AG394" i="5"/>
  <c r="AD394" i="5"/>
  <c r="AC394" i="5"/>
  <c r="AB394" i="5"/>
  <c r="AA394" i="5"/>
  <c r="X394" i="5"/>
  <c r="W394" i="5"/>
  <c r="V394" i="5"/>
  <c r="U394" i="5"/>
  <c r="T394" i="5"/>
  <c r="S394" i="5"/>
  <c r="P394" i="5"/>
  <c r="AG393" i="5"/>
  <c r="AD393" i="5"/>
  <c r="AC393" i="5"/>
  <c r="AB393" i="5"/>
  <c r="AA393" i="5"/>
  <c r="X393" i="5"/>
  <c r="W393" i="5"/>
  <c r="V393" i="5"/>
  <c r="U393" i="5"/>
  <c r="T393" i="5"/>
  <c r="S393" i="5"/>
  <c r="P393" i="5"/>
  <c r="AG392" i="5"/>
  <c r="AD392" i="5"/>
  <c r="AC392" i="5"/>
  <c r="AB392" i="5"/>
  <c r="AA392" i="5"/>
  <c r="X392" i="5"/>
  <c r="W392" i="5"/>
  <c r="V392" i="5"/>
  <c r="U392" i="5"/>
  <c r="T392" i="5"/>
  <c r="S392" i="5"/>
  <c r="P392" i="5"/>
  <c r="Q392" i="5" s="1"/>
  <c r="R392" i="5" s="1"/>
  <c r="AG391" i="5"/>
  <c r="AD391" i="5"/>
  <c r="AC391" i="5"/>
  <c r="AB391" i="5"/>
  <c r="AA391" i="5"/>
  <c r="X391" i="5"/>
  <c r="W391" i="5"/>
  <c r="V391" i="5"/>
  <c r="U391" i="5"/>
  <c r="T391" i="5"/>
  <c r="S391" i="5"/>
  <c r="P391" i="5"/>
  <c r="Q391" i="5" s="1"/>
  <c r="R391" i="5" s="1"/>
  <c r="AG390" i="5"/>
  <c r="AD390" i="5"/>
  <c r="AC390" i="5"/>
  <c r="AB390" i="5"/>
  <c r="AA390" i="5"/>
  <c r="X390" i="5"/>
  <c r="W390" i="5"/>
  <c r="V390" i="5"/>
  <c r="U390" i="5"/>
  <c r="T390" i="5"/>
  <c r="S390" i="5"/>
  <c r="P390" i="5"/>
  <c r="AG389" i="5"/>
  <c r="AD389" i="5"/>
  <c r="AC389" i="5"/>
  <c r="AB389" i="5"/>
  <c r="AA389" i="5"/>
  <c r="X389" i="5"/>
  <c r="W389" i="5"/>
  <c r="V389" i="5"/>
  <c r="U389" i="5"/>
  <c r="T389" i="5"/>
  <c r="S389" i="5"/>
  <c r="P389" i="5"/>
  <c r="AG388" i="5"/>
  <c r="AD388" i="5"/>
  <c r="AC388" i="5"/>
  <c r="AB388" i="5"/>
  <c r="AA388" i="5"/>
  <c r="X388" i="5"/>
  <c r="W388" i="5"/>
  <c r="V388" i="5"/>
  <c r="U388" i="5"/>
  <c r="T388" i="5"/>
  <c r="S388" i="5"/>
  <c r="P388" i="5"/>
  <c r="Q388" i="5" s="1"/>
  <c r="R388" i="5" s="1"/>
  <c r="AG387" i="5"/>
  <c r="AD387" i="5"/>
  <c r="AC387" i="5"/>
  <c r="AB387" i="5"/>
  <c r="AA387" i="5"/>
  <c r="X387" i="5"/>
  <c r="W387" i="5"/>
  <c r="V387" i="5"/>
  <c r="U387" i="5"/>
  <c r="T387" i="5"/>
  <c r="S387" i="5"/>
  <c r="P387" i="5"/>
  <c r="Q387" i="5" s="1"/>
  <c r="R387" i="5" s="1"/>
  <c r="AG386" i="5"/>
  <c r="AD386" i="5"/>
  <c r="AC386" i="5"/>
  <c r="AB386" i="5"/>
  <c r="AA386" i="5"/>
  <c r="X386" i="5"/>
  <c r="W386" i="5"/>
  <c r="V386" i="5"/>
  <c r="U386" i="5"/>
  <c r="T386" i="5"/>
  <c r="S386" i="5"/>
  <c r="P386" i="5"/>
  <c r="Q386" i="5" s="1"/>
  <c r="AG385" i="5"/>
  <c r="AD385" i="5"/>
  <c r="AC385" i="5"/>
  <c r="AB385" i="5"/>
  <c r="AA385" i="5"/>
  <c r="X385" i="5"/>
  <c r="W385" i="5"/>
  <c r="V385" i="5"/>
  <c r="U385" i="5"/>
  <c r="T385" i="5"/>
  <c r="S385" i="5"/>
  <c r="P385" i="5"/>
  <c r="Q385" i="5" s="1"/>
  <c r="R385" i="5" s="1"/>
  <c r="AG384" i="5"/>
  <c r="AD384" i="5"/>
  <c r="AC384" i="5"/>
  <c r="AB384" i="5"/>
  <c r="AA384" i="5"/>
  <c r="X384" i="5"/>
  <c r="W384" i="5"/>
  <c r="V384" i="5"/>
  <c r="U384" i="5"/>
  <c r="T384" i="5"/>
  <c r="S384" i="5"/>
  <c r="P384" i="5"/>
  <c r="Q384" i="5" s="1"/>
  <c r="R384" i="5" s="1"/>
  <c r="AG383" i="5"/>
  <c r="AD383" i="5"/>
  <c r="AC383" i="5"/>
  <c r="AB383" i="5"/>
  <c r="AA383" i="5"/>
  <c r="X383" i="5"/>
  <c r="W383" i="5"/>
  <c r="V383" i="5"/>
  <c r="U383" i="5"/>
  <c r="T383" i="5"/>
  <c r="S383" i="5"/>
  <c r="P383" i="5"/>
  <c r="Q383" i="5" s="1"/>
  <c r="R383" i="5" s="1"/>
  <c r="AG382" i="5"/>
  <c r="AD382" i="5"/>
  <c r="AC382" i="5"/>
  <c r="AB382" i="5"/>
  <c r="AA382" i="5"/>
  <c r="X382" i="5"/>
  <c r="W382" i="5"/>
  <c r="V382" i="5"/>
  <c r="U382" i="5"/>
  <c r="T382" i="5"/>
  <c r="S382" i="5"/>
  <c r="P382" i="5"/>
  <c r="AG381" i="5"/>
  <c r="AD381" i="5"/>
  <c r="AC381" i="5"/>
  <c r="AB381" i="5"/>
  <c r="AA381" i="5"/>
  <c r="X381" i="5"/>
  <c r="W381" i="5"/>
  <c r="V381" i="5"/>
  <c r="U381" i="5"/>
  <c r="T381" i="5"/>
  <c r="S381" i="5"/>
  <c r="P381" i="5"/>
  <c r="Q381" i="5" s="1"/>
  <c r="R381" i="5" s="1"/>
  <c r="AG380" i="5"/>
  <c r="AD380" i="5"/>
  <c r="AC380" i="5"/>
  <c r="AB380" i="5"/>
  <c r="AA380" i="5"/>
  <c r="X380" i="5"/>
  <c r="W380" i="5"/>
  <c r="V380" i="5"/>
  <c r="U380" i="5"/>
  <c r="T380" i="5"/>
  <c r="S380" i="5"/>
  <c r="P380" i="5"/>
  <c r="Q380" i="5" s="1"/>
  <c r="R380" i="5" s="1"/>
  <c r="AG379" i="5"/>
  <c r="AD379" i="5"/>
  <c r="AC379" i="5"/>
  <c r="AB379" i="5"/>
  <c r="AA379" i="5"/>
  <c r="X379" i="5"/>
  <c r="W379" i="5"/>
  <c r="V379" i="5"/>
  <c r="U379" i="5"/>
  <c r="T379" i="5"/>
  <c r="S379" i="5"/>
  <c r="P379" i="5"/>
  <c r="Q379" i="5" s="1"/>
  <c r="R379" i="5" s="1"/>
  <c r="AG378" i="5"/>
  <c r="AD378" i="5"/>
  <c r="AC378" i="5"/>
  <c r="AB378" i="5"/>
  <c r="AA378" i="5"/>
  <c r="X378" i="5"/>
  <c r="W378" i="5"/>
  <c r="V378" i="5"/>
  <c r="U378" i="5"/>
  <c r="T378" i="5"/>
  <c r="S378" i="5"/>
  <c r="P378" i="5"/>
  <c r="Q378" i="5" s="1"/>
  <c r="AG377" i="5"/>
  <c r="AD377" i="5"/>
  <c r="AC377" i="5"/>
  <c r="AB377" i="5"/>
  <c r="AA377" i="5"/>
  <c r="X377" i="5"/>
  <c r="W377" i="5"/>
  <c r="V377" i="5"/>
  <c r="U377" i="5"/>
  <c r="T377" i="5"/>
  <c r="S377" i="5"/>
  <c r="P377" i="5"/>
  <c r="Q377" i="5" s="1"/>
  <c r="AG376" i="5"/>
  <c r="AD376" i="5"/>
  <c r="AC376" i="5"/>
  <c r="AB376" i="5"/>
  <c r="AA376" i="5"/>
  <c r="X376" i="5"/>
  <c r="W376" i="5"/>
  <c r="V376" i="5"/>
  <c r="U376" i="5"/>
  <c r="T376" i="5"/>
  <c r="S376" i="5"/>
  <c r="P376" i="5"/>
  <c r="Q376" i="5" s="1"/>
  <c r="R376" i="5" s="1"/>
  <c r="AG375" i="5"/>
  <c r="AD375" i="5"/>
  <c r="AC375" i="5"/>
  <c r="AB375" i="5"/>
  <c r="AA375" i="5"/>
  <c r="X375" i="5"/>
  <c r="W375" i="5"/>
  <c r="V375" i="5"/>
  <c r="U375" i="5"/>
  <c r="T375" i="5"/>
  <c r="S375" i="5"/>
  <c r="P375" i="5"/>
  <c r="Q375" i="5" s="1"/>
  <c r="R375" i="5" s="1"/>
  <c r="AG374" i="5"/>
  <c r="AD374" i="5"/>
  <c r="AC374" i="5"/>
  <c r="AB374" i="5"/>
  <c r="AA374" i="5"/>
  <c r="X374" i="5"/>
  <c r="W374" i="5"/>
  <c r="V374" i="5"/>
  <c r="U374" i="5"/>
  <c r="T374" i="5"/>
  <c r="S374" i="5"/>
  <c r="P374" i="5"/>
  <c r="AG373" i="5"/>
  <c r="AD373" i="5"/>
  <c r="AC373" i="5"/>
  <c r="AB373" i="5"/>
  <c r="AA373" i="5"/>
  <c r="X373" i="5"/>
  <c r="W373" i="5"/>
  <c r="V373" i="5"/>
  <c r="U373" i="5"/>
  <c r="T373" i="5"/>
  <c r="S373" i="5"/>
  <c r="P373" i="5"/>
  <c r="Q373" i="5" s="1"/>
  <c r="R373" i="5" s="1"/>
  <c r="AG372" i="5"/>
  <c r="AD372" i="5"/>
  <c r="AC372" i="5"/>
  <c r="AB372" i="5"/>
  <c r="AA372" i="5"/>
  <c r="X372" i="5"/>
  <c r="W372" i="5"/>
  <c r="V372" i="5"/>
  <c r="U372" i="5"/>
  <c r="T372" i="5"/>
  <c r="S372" i="5"/>
  <c r="R372" i="5"/>
  <c r="P372" i="5"/>
  <c r="Q372" i="5" s="1"/>
  <c r="AG371" i="5"/>
  <c r="AD371" i="5"/>
  <c r="AC371" i="5"/>
  <c r="AB371" i="5"/>
  <c r="AA371" i="5"/>
  <c r="X371" i="5"/>
  <c r="W371" i="5"/>
  <c r="V371" i="5"/>
  <c r="U371" i="5"/>
  <c r="T371" i="5"/>
  <c r="S371" i="5"/>
  <c r="P371" i="5"/>
  <c r="Q371" i="5" s="1"/>
  <c r="R371" i="5" s="1"/>
  <c r="AG370" i="5"/>
  <c r="AD370" i="5"/>
  <c r="AC370" i="5"/>
  <c r="AB370" i="5"/>
  <c r="AA370" i="5"/>
  <c r="X370" i="5"/>
  <c r="W370" i="5"/>
  <c r="V370" i="5"/>
  <c r="U370" i="5"/>
  <c r="T370" i="5"/>
  <c r="S370" i="5"/>
  <c r="P370" i="5"/>
  <c r="AG369" i="5"/>
  <c r="AD369" i="5"/>
  <c r="AC369" i="5"/>
  <c r="AB369" i="5"/>
  <c r="AA369" i="5"/>
  <c r="X369" i="5"/>
  <c r="W369" i="5"/>
  <c r="V369" i="5"/>
  <c r="U369" i="5"/>
  <c r="T369" i="5"/>
  <c r="S369" i="5"/>
  <c r="P369" i="5"/>
  <c r="Q369" i="5" s="1"/>
  <c r="R369" i="5" s="1"/>
  <c r="AG368" i="5"/>
  <c r="AD368" i="5"/>
  <c r="AC368" i="5"/>
  <c r="AB368" i="5"/>
  <c r="AA368" i="5"/>
  <c r="X368" i="5"/>
  <c r="W368" i="5"/>
  <c r="V368" i="5"/>
  <c r="U368" i="5"/>
  <c r="T368" i="5"/>
  <c r="S368" i="5"/>
  <c r="P368" i="5"/>
  <c r="Q368" i="5" s="1"/>
  <c r="R368" i="5" s="1"/>
  <c r="AG367" i="5"/>
  <c r="AD367" i="5"/>
  <c r="AC367" i="5"/>
  <c r="AB367" i="5"/>
  <c r="AA367" i="5"/>
  <c r="X367" i="5"/>
  <c r="W367" i="5"/>
  <c r="V367" i="5"/>
  <c r="U367" i="5"/>
  <c r="T367" i="5"/>
  <c r="S367" i="5"/>
  <c r="P367" i="5"/>
  <c r="Q367" i="5" s="1"/>
  <c r="R367" i="5" s="1"/>
  <c r="AG366" i="5"/>
  <c r="AD366" i="5"/>
  <c r="AC366" i="5"/>
  <c r="AB366" i="5"/>
  <c r="AA366" i="5"/>
  <c r="X366" i="5"/>
  <c r="W366" i="5"/>
  <c r="V366" i="5"/>
  <c r="U366" i="5"/>
  <c r="T366" i="5"/>
  <c r="S366" i="5"/>
  <c r="P366" i="5"/>
  <c r="Q366" i="5" s="1"/>
  <c r="AG365" i="5"/>
  <c r="AD365" i="5"/>
  <c r="AC365" i="5"/>
  <c r="AB365" i="5"/>
  <c r="AA365" i="5"/>
  <c r="X365" i="5"/>
  <c r="W365" i="5"/>
  <c r="V365" i="5"/>
  <c r="U365" i="5"/>
  <c r="T365" i="5"/>
  <c r="S365" i="5"/>
  <c r="P365" i="5"/>
  <c r="Q365" i="5" s="1"/>
  <c r="R365" i="5" s="1"/>
  <c r="AG364" i="5"/>
  <c r="AD364" i="5"/>
  <c r="AC364" i="5"/>
  <c r="AB364" i="5"/>
  <c r="AA364" i="5"/>
  <c r="X364" i="5"/>
  <c r="W364" i="5"/>
  <c r="V364" i="5"/>
  <c r="U364" i="5"/>
  <c r="T364" i="5"/>
  <c r="S364" i="5"/>
  <c r="P364" i="5"/>
  <c r="Q364" i="5" s="1"/>
  <c r="R364" i="5" s="1"/>
  <c r="AG363" i="5"/>
  <c r="AD363" i="5"/>
  <c r="AC363" i="5"/>
  <c r="AB363" i="5"/>
  <c r="AA363" i="5"/>
  <c r="X363" i="5"/>
  <c r="W363" i="5"/>
  <c r="V363" i="5"/>
  <c r="U363" i="5"/>
  <c r="T363" i="5"/>
  <c r="S363" i="5"/>
  <c r="P363" i="5"/>
  <c r="Q363" i="5" s="1"/>
  <c r="R363" i="5" s="1"/>
  <c r="AG362" i="5"/>
  <c r="AD362" i="5"/>
  <c r="AC362" i="5"/>
  <c r="AB362" i="5"/>
  <c r="AA362" i="5"/>
  <c r="X362" i="5"/>
  <c r="W362" i="5"/>
  <c r="V362" i="5"/>
  <c r="U362" i="5"/>
  <c r="T362" i="5"/>
  <c r="S362" i="5"/>
  <c r="P362" i="5"/>
  <c r="AG361" i="5"/>
  <c r="AD361" i="5"/>
  <c r="AC361" i="5"/>
  <c r="AB361" i="5"/>
  <c r="AA361" i="5"/>
  <c r="X361" i="5"/>
  <c r="W361" i="5"/>
  <c r="V361" i="5"/>
  <c r="U361" i="5"/>
  <c r="T361" i="5"/>
  <c r="S361" i="5"/>
  <c r="P361" i="5"/>
  <c r="Q361" i="5" s="1"/>
  <c r="R361" i="5" s="1"/>
  <c r="AG360" i="5"/>
  <c r="AD360" i="5"/>
  <c r="AC360" i="5"/>
  <c r="AB360" i="5"/>
  <c r="AA360" i="5"/>
  <c r="X360" i="5"/>
  <c r="W360" i="5"/>
  <c r="V360" i="5"/>
  <c r="U360" i="5"/>
  <c r="T360" i="5"/>
  <c r="S360" i="5"/>
  <c r="P360" i="5"/>
  <c r="AG359" i="5"/>
  <c r="AD359" i="5"/>
  <c r="AC359" i="5"/>
  <c r="AB359" i="5"/>
  <c r="AA359" i="5"/>
  <c r="X359" i="5"/>
  <c r="W359" i="5"/>
  <c r="V359" i="5"/>
  <c r="U359" i="5"/>
  <c r="T359" i="5"/>
  <c r="S359" i="5"/>
  <c r="P359" i="5"/>
  <c r="Q359" i="5" s="1"/>
  <c r="R359" i="5" s="1"/>
  <c r="AG358" i="5"/>
  <c r="AD358" i="5"/>
  <c r="AC358" i="5"/>
  <c r="AB358" i="5"/>
  <c r="AA358" i="5"/>
  <c r="X358" i="5"/>
  <c r="W358" i="5"/>
  <c r="V358" i="5"/>
  <c r="U358" i="5"/>
  <c r="T358" i="5"/>
  <c r="S358" i="5"/>
  <c r="P358" i="5"/>
  <c r="Q358" i="5" s="1"/>
  <c r="AG357" i="5"/>
  <c r="AD357" i="5"/>
  <c r="AC357" i="5"/>
  <c r="AB357" i="5"/>
  <c r="AA357" i="5"/>
  <c r="X357" i="5"/>
  <c r="W357" i="5"/>
  <c r="V357" i="5"/>
  <c r="U357" i="5"/>
  <c r="T357" i="5"/>
  <c r="S357" i="5"/>
  <c r="P357" i="5"/>
  <c r="AG356" i="5"/>
  <c r="AD356" i="5"/>
  <c r="AC356" i="5"/>
  <c r="AB356" i="5"/>
  <c r="AA356" i="5"/>
  <c r="X356" i="5"/>
  <c r="W356" i="5"/>
  <c r="V356" i="5"/>
  <c r="U356" i="5"/>
  <c r="T356" i="5"/>
  <c r="S356" i="5"/>
  <c r="P356" i="5"/>
  <c r="Q356" i="5" s="1"/>
  <c r="AG355" i="5"/>
  <c r="AD355" i="5"/>
  <c r="AC355" i="5"/>
  <c r="AB355" i="5"/>
  <c r="AA355" i="5"/>
  <c r="X355" i="5"/>
  <c r="W355" i="5"/>
  <c r="V355" i="5"/>
  <c r="U355" i="5"/>
  <c r="T355" i="5"/>
  <c r="S355" i="5"/>
  <c r="P355" i="5"/>
  <c r="Q355" i="5" s="1"/>
  <c r="R355" i="5" s="1"/>
  <c r="AG354" i="5"/>
  <c r="AD354" i="5"/>
  <c r="AC354" i="5"/>
  <c r="AB354" i="5"/>
  <c r="AA354" i="5"/>
  <c r="X354" i="5"/>
  <c r="W354" i="5"/>
  <c r="V354" i="5"/>
  <c r="U354" i="5"/>
  <c r="T354" i="5"/>
  <c r="S354" i="5"/>
  <c r="P354" i="5"/>
  <c r="AG353" i="5"/>
  <c r="AD353" i="5"/>
  <c r="AC353" i="5"/>
  <c r="AB353" i="5"/>
  <c r="AA353" i="5"/>
  <c r="X353" i="5"/>
  <c r="W353" i="5"/>
  <c r="V353" i="5"/>
  <c r="U353" i="5"/>
  <c r="T353" i="5"/>
  <c r="S353" i="5"/>
  <c r="P353" i="5"/>
  <c r="AG352" i="5"/>
  <c r="AD352" i="5"/>
  <c r="AC352" i="5"/>
  <c r="AB352" i="5"/>
  <c r="AA352" i="5"/>
  <c r="X352" i="5"/>
  <c r="W352" i="5"/>
  <c r="V352" i="5"/>
  <c r="U352" i="5"/>
  <c r="T352" i="5"/>
  <c r="S352" i="5"/>
  <c r="P352" i="5"/>
  <c r="Q352" i="5" s="1"/>
  <c r="AG351" i="5"/>
  <c r="AD351" i="5"/>
  <c r="AC351" i="5"/>
  <c r="AB351" i="5"/>
  <c r="AA351" i="5"/>
  <c r="X351" i="5"/>
  <c r="W351" i="5"/>
  <c r="V351" i="5"/>
  <c r="U351" i="5"/>
  <c r="T351" i="5"/>
  <c r="S351" i="5"/>
  <c r="P351" i="5"/>
  <c r="Q351" i="5" s="1"/>
  <c r="R351" i="5" s="1"/>
  <c r="AG350" i="5"/>
  <c r="AD350" i="5"/>
  <c r="AC350" i="5"/>
  <c r="AB350" i="5"/>
  <c r="AA350" i="5"/>
  <c r="X350" i="5"/>
  <c r="W350" i="5"/>
  <c r="V350" i="5"/>
  <c r="U350" i="5"/>
  <c r="T350" i="5"/>
  <c r="S350" i="5"/>
  <c r="P350" i="5"/>
  <c r="Q350" i="5" s="1"/>
  <c r="AG349" i="5"/>
  <c r="AD349" i="5"/>
  <c r="AC349" i="5"/>
  <c r="AB349" i="5"/>
  <c r="AA349" i="5"/>
  <c r="X349" i="5"/>
  <c r="W349" i="5"/>
  <c r="V349" i="5"/>
  <c r="U349" i="5"/>
  <c r="T349" i="5"/>
  <c r="S349" i="5"/>
  <c r="P349" i="5"/>
  <c r="Q349" i="5" s="1"/>
  <c r="R349" i="5" s="1"/>
  <c r="AG348" i="5"/>
  <c r="AD348" i="5"/>
  <c r="AC348" i="5"/>
  <c r="AB348" i="5"/>
  <c r="AA348" i="5"/>
  <c r="X348" i="5"/>
  <c r="W348" i="5"/>
  <c r="V348" i="5"/>
  <c r="U348" i="5"/>
  <c r="T348" i="5"/>
  <c r="S348" i="5"/>
  <c r="P348" i="5"/>
  <c r="Q348" i="5" s="1"/>
  <c r="AG347" i="5"/>
  <c r="AD347" i="5"/>
  <c r="AC347" i="5"/>
  <c r="AB347" i="5"/>
  <c r="AA347" i="5"/>
  <c r="X347" i="5"/>
  <c r="W347" i="5"/>
  <c r="V347" i="5"/>
  <c r="U347" i="5"/>
  <c r="T347" i="5"/>
  <c r="S347" i="5"/>
  <c r="P347" i="5"/>
  <c r="Q347" i="5" s="1"/>
  <c r="R347" i="5" s="1"/>
  <c r="AG346" i="5"/>
  <c r="AD346" i="5"/>
  <c r="AC346" i="5"/>
  <c r="AB346" i="5"/>
  <c r="AA346" i="5"/>
  <c r="X346" i="5"/>
  <c r="W346" i="5"/>
  <c r="V346" i="5"/>
  <c r="U346" i="5"/>
  <c r="T346" i="5"/>
  <c r="S346" i="5"/>
  <c r="P346" i="5"/>
  <c r="AG345" i="5"/>
  <c r="AD345" i="5"/>
  <c r="AC345" i="5"/>
  <c r="AB345" i="5"/>
  <c r="AA345" i="5"/>
  <c r="X345" i="5"/>
  <c r="W345" i="5"/>
  <c r="V345" i="5"/>
  <c r="U345" i="5"/>
  <c r="T345" i="5"/>
  <c r="S345" i="5"/>
  <c r="P345" i="5"/>
  <c r="Q345" i="5" s="1"/>
  <c r="R345" i="5" s="1"/>
  <c r="AG344" i="5"/>
  <c r="AD344" i="5"/>
  <c r="AC344" i="5"/>
  <c r="AB344" i="5"/>
  <c r="AA344" i="5"/>
  <c r="X344" i="5"/>
  <c r="W344" i="5"/>
  <c r="V344" i="5"/>
  <c r="U344" i="5"/>
  <c r="T344" i="5"/>
  <c r="S344" i="5"/>
  <c r="P344" i="5"/>
  <c r="Q344" i="5" s="1"/>
  <c r="AG343" i="5"/>
  <c r="AD343" i="5"/>
  <c r="AC343" i="5"/>
  <c r="AB343" i="5"/>
  <c r="AA343" i="5"/>
  <c r="X343" i="5"/>
  <c r="W343" i="5"/>
  <c r="V343" i="5"/>
  <c r="U343" i="5"/>
  <c r="T343" i="5"/>
  <c r="S343" i="5"/>
  <c r="P343" i="5"/>
  <c r="Q343" i="5" s="1"/>
  <c r="R343" i="5" s="1"/>
  <c r="AG342" i="5"/>
  <c r="AD342" i="5"/>
  <c r="AC342" i="5"/>
  <c r="AB342" i="5"/>
  <c r="AA342" i="5"/>
  <c r="X342" i="5"/>
  <c r="W342" i="5"/>
  <c r="V342" i="5"/>
  <c r="U342" i="5"/>
  <c r="T342" i="5"/>
  <c r="S342" i="5"/>
  <c r="P342" i="5"/>
  <c r="Q342" i="5" s="1"/>
  <c r="AG341" i="5"/>
  <c r="AD341" i="5"/>
  <c r="AC341" i="5"/>
  <c r="AB341" i="5"/>
  <c r="AA341" i="5"/>
  <c r="X341" i="5"/>
  <c r="W341" i="5"/>
  <c r="V341" i="5"/>
  <c r="U341" i="5"/>
  <c r="T341" i="5"/>
  <c r="S341" i="5"/>
  <c r="R341" i="5"/>
  <c r="P341" i="5"/>
  <c r="Q341" i="5" s="1"/>
  <c r="AG340" i="5"/>
  <c r="AD340" i="5"/>
  <c r="AC340" i="5"/>
  <c r="AB340" i="5"/>
  <c r="AA340" i="5"/>
  <c r="X340" i="5"/>
  <c r="W340" i="5"/>
  <c r="V340" i="5"/>
  <c r="U340" i="5"/>
  <c r="T340" i="5"/>
  <c r="S340" i="5"/>
  <c r="P340" i="5"/>
  <c r="AG339" i="5"/>
  <c r="AD339" i="5"/>
  <c r="AC339" i="5"/>
  <c r="AB339" i="5"/>
  <c r="AA339" i="5"/>
  <c r="X339" i="5"/>
  <c r="W339" i="5"/>
  <c r="V339" i="5"/>
  <c r="U339" i="5"/>
  <c r="T339" i="5"/>
  <c r="S339" i="5"/>
  <c r="P339" i="5"/>
  <c r="Q339" i="5" s="1"/>
  <c r="R339" i="5" s="1"/>
  <c r="AG338" i="5"/>
  <c r="AD338" i="5"/>
  <c r="AC338" i="5"/>
  <c r="AB338" i="5"/>
  <c r="AA338" i="5"/>
  <c r="X338" i="5"/>
  <c r="W338" i="5"/>
  <c r="V338" i="5"/>
  <c r="U338" i="5"/>
  <c r="T338" i="5"/>
  <c r="S338" i="5"/>
  <c r="R338" i="5"/>
  <c r="P338" i="5"/>
  <c r="Q338" i="5" s="1"/>
  <c r="AG337" i="5"/>
  <c r="AD337" i="5"/>
  <c r="AC337" i="5"/>
  <c r="AB337" i="5"/>
  <c r="AA337" i="5"/>
  <c r="X337" i="5"/>
  <c r="W337" i="5"/>
  <c r="V337" i="5"/>
  <c r="U337" i="5"/>
  <c r="T337" i="5"/>
  <c r="S337" i="5"/>
  <c r="P337" i="5"/>
  <c r="Q337" i="5" s="1"/>
  <c r="R337" i="5" s="1"/>
  <c r="AG336" i="5"/>
  <c r="AD336" i="5"/>
  <c r="AC336" i="5"/>
  <c r="AB336" i="5"/>
  <c r="AA336" i="5"/>
  <c r="X336" i="5"/>
  <c r="W336" i="5"/>
  <c r="V336" i="5"/>
  <c r="U336" i="5"/>
  <c r="T336" i="5"/>
  <c r="S336" i="5"/>
  <c r="R336" i="5"/>
  <c r="P336" i="5"/>
  <c r="Q336" i="5" s="1"/>
  <c r="AG335" i="5"/>
  <c r="AD335" i="5"/>
  <c r="AC335" i="5"/>
  <c r="AB335" i="5"/>
  <c r="AA335" i="5"/>
  <c r="X335" i="5"/>
  <c r="W335" i="5"/>
  <c r="V335" i="5"/>
  <c r="U335" i="5"/>
  <c r="T335" i="5"/>
  <c r="S335" i="5"/>
  <c r="P335" i="5"/>
  <c r="Q335" i="5" s="1"/>
  <c r="R335" i="5" s="1"/>
  <c r="AG334" i="5"/>
  <c r="AD334" i="5"/>
  <c r="AC334" i="5"/>
  <c r="AB334" i="5"/>
  <c r="AA334" i="5"/>
  <c r="X334" i="5"/>
  <c r="W334" i="5"/>
  <c r="V334" i="5"/>
  <c r="U334" i="5"/>
  <c r="T334" i="5"/>
  <c r="S334" i="5"/>
  <c r="P334" i="5"/>
  <c r="AG333" i="5"/>
  <c r="AD333" i="5"/>
  <c r="AC333" i="5"/>
  <c r="AB333" i="5"/>
  <c r="AA333" i="5"/>
  <c r="X333" i="5"/>
  <c r="W333" i="5"/>
  <c r="V333" i="5"/>
  <c r="U333" i="5"/>
  <c r="T333" i="5"/>
  <c r="S333" i="5"/>
  <c r="P333" i="5"/>
  <c r="Q333" i="5" s="1"/>
  <c r="R333" i="5" s="1"/>
  <c r="AG332" i="5"/>
  <c r="AD332" i="5"/>
  <c r="AC332" i="5"/>
  <c r="AB332" i="5"/>
  <c r="AA332" i="5"/>
  <c r="X332" i="5"/>
  <c r="W332" i="5"/>
  <c r="V332" i="5"/>
  <c r="U332" i="5"/>
  <c r="T332" i="5"/>
  <c r="S332" i="5"/>
  <c r="R332" i="5"/>
  <c r="P332" i="5"/>
  <c r="Q332" i="5" s="1"/>
  <c r="AG331" i="5"/>
  <c r="AD331" i="5"/>
  <c r="AC331" i="5"/>
  <c r="AB331" i="5"/>
  <c r="AA331" i="5"/>
  <c r="X331" i="5"/>
  <c r="W331" i="5"/>
  <c r="V331" i="5"/>
  <c r="U331" i="5"/>
  <c r="T331" i="5"/>
  <c r="S331" i="5"/>
  <c r="P331" i="5"/>
  <c r="Q331" i="5" s="1"/>
  <c r="R331" i="5" s="1"/>
  <c r="AG330" i="5"/>
  <c r="AD330" i="5"/>
  <c r="AC330" i="5"/>
  <c r="AB330" i="5"/>
  <c r="AA330" i="5"/>
  <c r="X330" i="5"/>
  <c r="W330" i="5"/>
  <c r="V330" i="5"/>
  <c r="U330" i="5"/>
  <c r="T330" i="5"/>
  <c r="S330" i="5"/>
  <c r="P330" i="5"/>
  <c r="Q330" i="5" s="1"/>
  <c r="AG329" i="5"/>
  <c r="AD329" i="5"/>
  <c r="AC329" i="5"/>
  <c r="AB329" i="5"/>
  <c r="AA329" i="5"/>
  <c r="X329" i="5"/>
  <c r="W329" i="5"/>
  <c r="V329" i="5"/>
  <c r="U329" i="5"/>
  <c r="T329" i="5"/>
  <c r="S329" i="5"/>
  <c r="P329" i="5"/>
  <c r="Q329" i="5" s="1"/>
  <c r="R329" i="5" s="1"/>
  <c r="AG328" i="5"/>
  <c r="AD328" i="5"/>
  <c r="AC328" i="5"/>
  <c r="AB328" i="5"/>
  <c r="AA328" i="5"/>
  <c r="X328" i="5"/>
  <c r="W328" i="5"/>
  <c r="V328" i="5"/>
  <c r="U328" i="5"/>
  <c r="T328" i="5"/>
  <c r="S328" i="5"/>
  <c r="P328" i="5"/>
  <c r="Q328" i="5" s="1"/>
  <c r="AG327" i="5"/>
  <c r="AD327" i="5"/>
  <c r="AC327" i="5"/>
  <c r="AB327" i="5"/>
  <c r="AA327" i="5"/>
  <c r="X327" i="5"/>
  <c r="W327" i="5"/>
  <c r="V327" i="5"/>
  <c r="U327" i="5"/>
  <c r="T327" i="5"/>
  <c r="S327" i="5"/>
  <c r="P327" i="5"/>
  <c r="Q327" i="5" s="1"/>
  <c r="R327" i="5" s="1"/>
  <c r="AG326" i="5"/>
  <c r="AD326" i="5"/>
  <c r="AC326" i="5"/>
  <c r="AB326" i="5"/>
  <c r="AA326" i="5"/>
  <c r="X326" i="5"/>
  <c r="W326" i="5"/>
  <c r="V326" i="5"/>
  <c r="U326" i="5"/>
  <c r="T326" i="5"/>
  <c r="S326" i="5"/>
  <c r="P326" i="5"/>
  <c r="Q326" i="5" s="1"/>
  <c r="AG325" i="5"/>
  <c r="AD325" i="5"/>
  <c r="AC325" i="5"/>
  <c r="AB325" i="5"/>
  <c r="AA325" i="5"/>
  <c r="X325" i="5"/>
  <c r="W325" i="5"/>
  <c r="V325" i="5"/>
  <c r="U325" i="5"/>
  <c r="T325" i="5"/>
  <c r="S325" i="5"/>
  <c r="P325" i="5"/>
  <c r="Q325" i="5" s="1"/>
  <c r="R325" i="5" s="1"/>
  <c r="AG324" i="5"/>
  <c r="AD324" i="5"/>
  <c r="AC324" i="5"/>
  <c r="AB324" i="5"/>
  <c r="AA324" i="5"/>
  <c r="X324" i="5"/>
  <c r="W324" i="5"/>
  <c r="V324" i="5"/>
  <c r="U324" i="5"/>
  <c r="T324" i="5"/>
  <c r="S324" i="5"/>
  <c r="P324" i="5"/>
  <c r="Q324" i="5" s="1"/>
  <c r="R324" i="5" s="1"/>
  <c r="AG323" i="5"/>
  <c r="AD323" i="5"/>
  <c r="AC323" i="5"/>
  <c r="AB323" i="5"/>
  <c r="AA323" i="5"/>
  <c r="X323" i="5"/>
  <c r="W323" i="5"/>
  <c r="V323" i="5"/>
  <c r="U323" i="5"/>
  <c r="T323" i="5"/>
  <c r="S323" i="5"/>
  <c r="P323" i="5"/>
  <c r="Q323" i="5" s="1"/>
  <c r="R323" i="5" s="1"/>
  <c r="AG322" i="5"/>
  <c r="AD322" i="5"/>
  <c r="AC322" i="5"/>
  <c r="AB322" i="5"/>
  <c r="AA322" i="5"/>
  <c r="X322" i="5"/>
  <c r="W322" i="5"/>
  <c r="V322" i="5"/>
  <c r="U322" i="5"/>
  <c r="T322" i="5"/>
  <c r="S322" i="5"/>
  <c r="P322" i="5"/>
  <c r="AG321" i="5"/>
  <c r="AD321" i="5"/>
  <c r="AC321" i="5"/>
  <c r="AB321" i="5"/>
  <c r="AA321" i="5"/>
  <c r="X321" i="5"/>
  <c r="W321" i="5"/>
  <c r="V321" i="5"/>
  <c r="U321" i="5"/>
  <c r="T321" i="5"/>
  <c r="S321" i="5"/>
  <c r="P321" i="5"/>
  <c r="Q321" i="5" s="1"/>
  <c r="R321" i="5" s="1"/>
  <c r="AG320" i="5"/>
  <c r="AD320" i="5"/>
  <c r="AC320" i="5"/>
  <c r="AB320" i="5"/>
  <c r="AA320" i="5"/>
  <c r="X320" i="5"/>
  <c r="W320" i="5"/>
  <c r="V320" i="5"/>
  <c r="U320" i="5"/>
  <c r="T320" i="5"/>
  <c r="S320" i="5"/>
  <c r="P320" i="5"/>
  <c r="Q320" i="5" s="1"/>
  <c r="R320" i="5" s="1"/>
  <c r="AG319" i="5"/>
  <c r="AD319" i="5"/>
  <c r="AC319" i="5"/>
  <c r="AB319" i="5"/>
  <c r="AA319" i="5"/>
  <c r="X319" i="5"/>
  <c r="W319" i="5"/>
  <c r="V319" i="5"/>
  <c r="U319" i="5"/>
  <c r="T319" i="5"/>
  <c r="S319" i="5"/>
  <c r="P319" i="5"/>
  <c r="Q319" i="5" s="1"/>
  <c r="R319" i="5" s="1"/>
  <c r="AG318" i="5"/>
  <c r="AD318" i="5"/>
  <c r="AC318" i="5"/>
  <c r="AB318" i="5"/>
  <c r="AA318" i="5"/>
  <c r="X318" i="5"/>
  <c r="W318" i="5"/>
  <c r="V318" i="5"/>
  <c r="U318" i="5"/>
  <c r="T318" i="5"/>
  <c r="S318" i="5"/>
  <c r="P318" i="5"/>
  <c r="Q318" i="5" s="1"/>
  <c r="AG317" i="5"/>
  <c r="AD317" i="5"/>
  <c r="AC317" i="5"/>
  <c r="AB317" i="5"/>
  <c r="AA317" i="5"/>
  <c r="X317" i="5"/>
  <c r="W317" i="5"/>
  <c r="V317" i="5"/>
  <c r="U317" i="5"/>
  <c r="T317" i="5"/>
  <c r="S317" i="5"/>
  <c r="P317" i="5"/>
  <c r="AG316" i="5"/>
  <c r="AD316" i="5"/>
  <c r="AC316" i="5"/>
  <c r="AB316" i="5"/>
  <c r="AA316" i="5"/>
  <c r="X316" i="5"/>
  <c r="W316" i="5"/>
  <c r="V316" i="5"/>
  <c r="U316" i="5"/>
  <c r="T316" i="5"/>
  <c r="S316" i="5"/>
  <c r="P316" i="5"/>
  <c r="Q316" i="5" s="1"/>
  <c r="R316" i="5" s="1"/>
  <c r="AG315" i="5"/>
  <c r="AD315" i="5"/>
  <c r="AC315" i="5"/>
  <c r="AB315" i="5"/>
  <c r="AA315" i="5"/>
  <c r="X315" i="5"/>
  <c r="W315" i="5"/>
  <c r="V315" i="5"/>
  <c r="U315" i="5"/>
  <c r="T315" i="5"/>
  <c r="S315" i="5"/>
  <c r="P315" i="5"/>
  <c r="Q315" i="5" s="1"/>
  <c r="R315" i="5" s="1"/>
  <c r="AG314" i="5"/>
  <c r="AD314" i="5"/>
  <c r="AC314" i="5"/>
  <c r="AB314" i="5"/>
  <c r="AA314" i="5"/>
  <c r="X314" i="5"/>
  <c r="W314" i="5"/>
  <c r="V314" i="5"/>
  <c r="U314" i="5"/>
  <c r="T314" i="5"/>
  <c r="S314" i="5"/>
  <c r="R314" i="5"/>
  <c r="P314" i="5"/>
  <c r="Q314" i="5" s="1"/>
  <c r="AG313" i="5"/>
  <c r="AD313" i="5"/>
  <c r="AC313" i="5"/>
  <c r="AB313" i="5"/>
  <c r="AA313" i="5"/>
  <c r="X313" i="5"/>
  <c r="W313" i="5"/>
  <c r="V313" i="5"/>
  <c r="U313" i="5"/>
  <c r="T313" i="5"/>
  <c r="S313" i="5"/>
  <c r="P313" i="5"/>
  <c r="Q313" i="5" s="1"/>
  <c r="AG312" i="5"/>
  <c r="AD312" i="5"/>
  <c r="AC312" i="5"/>
  <c r="AB312" i="5"/>
  <c r="AA312" i="5"/>
  <c r="X312" i="5"/>
  <c r="W312" i="5"/>
  <c r="V312" i="5"/>
  <c r="U312" i="5"/>
  <c r="T312" i="5"/>
  <c r="S312" i="5"/>
  <c r="P312" i="5"/>
  <c r="Q312" i="5" s="1"/>
  <c r="R312" i="5" s="1"/>
  <c r="AG311" i="5"/>
  <c r="AD311" i="5"/>
  <c r="AC311" i="5"/>
  <c r="AB311" i="5"/>
  <c r="AA311" i="5"/>
  <c r="X311" i="5"/>
  <c r="W311" i="5"/>
  <c r="V311" i="5"/>
  <c r="U311" i="5"/>
  <c r="T311" i="5"/>
  <c r="S311" i="5"/>
  <c r="P311" i="5"/>
  <c r="Q311" i="5" s="1"/>
  <c r="R311" i="5" s="1"/>
  <c r="AG310" i="5"/>
  <c r="AD310" i="5"/>
  <c r="AC310" i="5"/>
  <c r="AB310" i="5"/>
  <c r="AA310" i="5"/>
  <c r="X310" i="5"/>
  <c r="W310" i="5"/>
  <c r="V310" i="5"/>
  <c r="U310" i="5"/>
  <c r="T310" i="5"/>
  <c r="S310" i="5"/>
  <c r="P310" i="5"/>
  <c r="Q310" i="5" s="1"/>
  <c r="AG309" i="5"/>
  <c r="AD309" i="5"/>
  <c r="AC309" i="5"/>
  <c r="AB309" i="5"/>
  <c r="AA309" i="5"/>
  <c r="X309" i="5"/>
  <c r="W309" i="5"/>
  <c r="V309" i="5"/>
  <c r="U309" i="5"/>
  <c r="T309" i="5"/>
  <c r="S309" i="5"/>
  <c r="P309" i="5"/>
  <c r="Q309" i="5" s="1"/>
  <c r="AG308" i="5"/>
  <c r="AD308" i="5"/>
  <c r="AC308" i="5"/>
  <c r="AB308" i="5"/>
  <c r="AA308" i="5"/>
  <c r="X308" i="5"/>
  <c r="W308" i="5"/>
  <c r="V308" i="5"/>
  <c r="U308" i="5"/>
  <c r="T308" i="5"/>
  <c r="S308" i="5"/>
  <c r="P308" i="5"/>
  <c r="Q308" i="5" s="1"/>
  <c r="R308" i="5" s="1"/>
  <c r="AG307" i="5"/>
  <c r="AD307" i="5"/>
  <c r="AC307" i="5"/>
  <c r="AB307" i="5"/>
  <c r="AA307" i="5"/>
  <c r="X307" i="5"/>
  <c r="W307" i="5"/>
  <c r="V307" i="5"/>
  <c r="U307" i="5"/>
  <c r="T307" i="5"/>
  <c r="S307" i="5"/>
  <c r="P307" i="5"/>
  <c r="Q307" i="5" s="1"/>
  <c r="R307" i="5" s="1"/>
  <c r="AG306" i="5"/>
  <c r="AD306" i="5"/>
  <c r="AC306" i="5"/>
  <c r="AB306" i="5"/>
  <c r="AA306" i="5"/>
  <c r="X306" i="5"/>
  <c r="W306" i="5"/>
  <c r="V306" i="5"/>
  <c r="U306" i="5"/>
  <c r="T306" i="5"/>
  <c r="S306" i="5"/>
  <c r="P306" i="5"/>
  <c r="Q306" i="5" s="1"/>
  <c r="AG305" i="5"/>
  <c r="AD305" i="5"/>
  <c r="AC305" i="5"/>
  <c r="AB305" i="5"/>
  <c r="AA305" i="5"/>
  <c r="X305" i="5"/>
  <c r="W305" i="5"/>
  <c r="V305" i="5"/>
  <c r="U305" i="5"/>
  <c r="T305" i="5"/>
  <c r="S305" i="5"/>
  <c r="P305" i="5"/>
  <c r="Q305" i="5" s="1"/>
  <c r="AG304" i="5"/>
  <c r="AD304" i="5"/>
  <c r="AC304" i="5"/>
  <c r="AB304" i="5"/>
  <c r="AA304" i="5"/>
  <c r="X304" i="5"/>
  <c r="W304" i="5"/>
  <c r="V304" i="5"/>
  <c r="U304" i="5"/>
  <c r="T304" i="5"/>
  <c r="S304" i="5"/>
  <c r="P304" i="5"/>
  <c r="Q304" i="5" s="1"/>
  <c r="R304" i="5" s="1"/>
  <c r="AG303" i="5"/>
  <c r="AD303" i="5"/>
  <c r="AC303" i="5"/>
  <c r="AB303" i="5"/>
  <c r="AA303" i="5"/>
  <c r="X303" i="5"/>
  <c r="W303" i="5"/>
  <c r="V303" i="5"/>
  <c r="U303" i="5"/>
  <c r="T303" i="5"/>
  <c r="S303" i="5"/>
  <c r="P303" i="5"/>
  <c r="Q303" i="5" s="1"/>
  <c r="R303" i="5" s="1"/>
  <c r="AG302" i="5"/>
  <c r="AD302" i="5"/>
  <c r="AC302" i="5"/>
  <c r="AB302" i="5"/>
  <c r="AA302" i="5"/>
  <c r="X302" i="5"/>
  <c r="W302" i="5"/>
  <c r="V302" i="5"/>
  <c r="U302" i="5"/>
  <c r="T302" i="5"/>
  <c r="S302" i="5"/>
  <c r="P302" i="5"/>
  <c r="AG301" i="5"/>
  <c r="AD301" i="5"/>
  <c r="AC301" i="5"/>
  <c r="AB301" i="5"/>
  <c r="AA301" i="5"/>
  <c r="X301" i="5"/>
  <c r="W301" i="5"/>
  <c r="V301" i="5"/>
  <c r="U301" i="5"/>
  <c r="T301" i="5"/>
  <c r="S301" i="5"/>
  <c r="P301" i="5"/>
  <c r="Q301" i="5" s="1"/>
  <c r="R301" i="5" s="1"/>
  <c r="AG300" i="5"/>
  <c r="AD300" i="5"/>
  <c r="AC300" i="5"/>
  <c r="AB300" i="5"/>
  <c r="AA300" i="5"/>
  <c r="X300" i="5"/>
  <c r="W300" i="5"/>
  <c r="V300" i="5"/>
  <c r="U300" i="5"/>
  <c r="T300" i="5"/>
  <c r="S300" i="5"/>
  <c r="P300" i="5"/>
  <c r="Q300" i="5" s="1"/>
  <c r="AG299" i="5"/>
  <c r="AD299" i="5"/>
  <c r="AC299" i="5"/>
  <c r="AB299" i="5"/>
  <c r="AA299" i="5"/>
  <c r="X299" i="5"/>
  <c r="W299" i="5"/>
  <c r="V299" i="5"/>
  <c r="U299" i="5"/>
  <c r="T299" i="5"/>
  <c r="S299" i="5"/>
  <c r="P299" i="5"/>
  <c r="Q299" i="5" s="1"/>
  <c r="R299" i="5" s="1"/>
  <c r="AG298" i="5"/>
  <c r="AD298" i="5"/>
  <c r="AC298" i="5"/>
  <c r="AB298" i="5"/>
  <c r="AA298" i="5"/>
  <c r="X298" i="5"/>
  <c r="W298" i="5"/>
  <c r="V298" i="5"/>
  <c r="U298" i="5"/>
  <c r="T298" i="5"/>
  <c r="S298" i="5"/>
  <c r="P298" i="5"/>
  <c r="AG297" i="5"/>
  <c r="AD297" i="5"/>
  <c r="AC297" i="5"/>
  <c r="AB297" i="5"/>
  <c r="AA297" i="5"/>
  <c r="X297" i="5"/>
  <c r="W297" i="5"/>
  <c r="V297" i="5"/>
  <c r="U297" i="5"/>
  <c r="T297" i="5"/>
  <c r="S297" i="5"/>
  <c r="P297" i="5"/>
  <c r="Q297" i="5" s="1"/>
  <c r="R297" i="5" s="1"/>
  <c r="AG296" i="5"/>
  <c r="AD296" i="5"/>
  <c r="AC296" i="5"/>
  <c r="AB296" i="5"/>
  <c r="AA296" i="5"/>
  <c r="X296" i="5"/>
  <c r="W296" i="5"/>
  <c r="V296" i="5"/>
  <c r="U296" i="5"/>
  <c r="T296" i="5"/>
  <c r="S296" i="5"/>
  <c r="P296" i="5"/>
  <c r="AG295" i="5"/>
  <c r="AD295" i="5"/>
  <c r="AC295" i="5"/>
  <c r="AB295" i="5"/>
  <c r="AA295" i="5"/>
  <c r="X295" i="5"/>
  <c r="W295" i="5"/>
  <c r="V295" i="5"/>
  <c r="U295" i="5"/>
  <c r="T295" i="5"/>
  <c r="S295" i="5"/>
  <c r="P295" i="5"/>
  <c r="Q295" i="5" s="1"/>
  <c r="R295" i="5" s="1"/>
  <c r="AG294" i="5"/>
  <c r="AD294" i="5"/>
  <c r="AC294" i="5"/>
  <c r="AB294" i="5"/>
  <c r="AA294" i="5"/>
  <c r="X294" i="5"/>
  <c r="W294" i="5"/>
  <c r="V294" i="5"/>
  <c r="U294" i="5"/>
  <c r="T294" i="5"/>
  <c r="S294" i="5"/>
  <c r="P294" i="5"/>
  <c r="Q294" i="5" s="1"/>
  <c r="AG293" i="5"/>
  <c r="AD293" i="5"/>
  <c r="AC293" i="5"/>
  <c r="AB293" i="5"/>
  <c r="AA293" i="5"/>
  <c r="X293" i="5"/>
  <c r="W293" i="5"/>
  <c r="V293" i="5"/>
  <c r="U293" i="5"/>
  <c r="T293" i="5"/>
  <c r="S293" i="5"/>
  <c r="P293" i="5"/>
  <c r="Q293" i="5" s="1"/>
  <c r="R293" i="5" s="1"/>
  <c r="AG292" i="5"/>
  <c r="AD292" i="5"/>
  <c r="AC292" i="5"/>
  <c r="AB292" i="5"/>
  <c r="AA292" i="5"/>
  <c r="X292" i="5"/>
  <c r="W292" i="5"/>
  <c r="V292" i="5"/>
  <c r="U292" i="5"/>
  <c r="T292" i="5"/>
  <c r="S292" i="5"/>
  <c r="P292" i="5"/>
  <c r="AG291" i="5"/>
  <c r="AD291" i="5"/>
  <c r="AC291" i="5"/>
  <c r="AB291" i="5"/>
  <c r="AA291" i="5"/>
  <c r="X291" i="5"/>
  <c r="W291" i="5"/>
  <c r="V291" i="5"/>
  <c r="U291" i="5"/>
  <c r="T291" i="5"/>
  <c r="S291" i="5"/>
  <c r="R291" i="5"/>
  <c r="P291" i="5"/>
  <c r="Q291" i="5" s="1"/>
  <c r="AG290" i="5"/>
  <c r="AD290" i="5"/>
  <c r="AC290" i="5"/>
  <c r="AB290" i="5"/>
  <c r="AA290" i="5"/>
  <c r="X290" i="5"/>
  <c r="W290" i="5"/>
  <c r="V290" i="5"/>
  <c r="U290" i="5"/>
  <c r="T290" i="5"/>
  <c r="S290" i="5"/>
  <c r="P290" i="5"/>
  <c r="Q290" i="5" s="1"/>
  <c r="AG289" i="5"/>
  <c r="AD289" i="5"/>
  <c r="AC289" i="5"/>
  <c r="AB289" i="5"/>
  <c r="AA289" i="5"/>
  <c r="X289" i="5"/>
  <c r="W289" i="5"/>
  <c r="V289" i="5"/>
  <c r="U289" i="5"/>
  <c r="T289" i="5"/>
  <c r="S289" i="5"/>
  <c r="P289" i="5"/>
  <c r="Q289" i="5" s="1"/>
  <c r="R289" i="5" s="1"/>
  <c r="AG288" i="5"/>
  <c r="AD288" i="5"/>
  <c r="AC288" i="5"/>
  <c r="AB288" i="5"/>
  <c r="AA288" i="5"/>
  <c r="X288" i="5"/>
  <c r="W288" i="5"/>
  <c r="V288" i="5"/>
  <c r="U288" i="5"/>
  <c r="T288" i="5"/>
  <c r="S288" i="5"/>
  <c r="P288" i="5"/>
  <c r="AG287" i="5"/>
  <c r="AD287" i="5"/>
  <c r="AC287" i="5"/>
  <c r="AB287" i="5"/>
  <c r="AA287" i="5"/>
  <c r="X287" i="5"/>
  <c r="W287" i="5"/>
  <c r="V287" i="5"/>
  <c r="U287" i="5"/>
  <c r="T287" i="5"/>
  <c r="S287" i="5"/>
  <c r="P287" i="5"/>
  <c r="Q287" i="5" s="1"/>
  <c r="R287" i="5" s="1"/>
  <c r="AG286" i="5"/>
  <c r="AD286" i="5"/>
  <c r="AC286" i="5"/>
  <c r="AB286" i="5"/>
  <c r="AA286" i="5"/>
  <c r="X286" i="5"/>
  <c r="W286" i="5"/>
  <c r="V286" i="5"/>
  <c r="U286" i="5"/>
  <c r="T286" i="5"/>
  <c r="S286" i="5"/>
  <c r="P286" i="5"/>
  <c r="Q286" i="5" s="1"/>
  <c r="AG285" i="5"/>
  <c r="AD285" i="5"/>
  <c r="AC285" i="5"/>
  <c r="AB285" i="5"/>
  <c r="AA285" i="5"/>
  <c r="X285" i="5"/>
  <c r="W285" i="5"/>
  <c r="V285" i="5"/>
  <c r="U285" i="5"/>
  <c r="T285" i="5"/>
  <c r="S285" i="5"/>
  <c r="R285" i="5"/>
  <c r="P285" i="5"/>
  <c r="Q285" i="5" s="1"/>
  <c r="AG284" i="5"/>
  <c r="AD284" i="5"/>
  <c r="AC284" i="5"/>
  <c r="AB284" i="5"/>
  <c r="AA284" i="5"/>
  <c r="X284" i="5"/>
  <c r="W284" i="5"/>
  <c r="V284" i="5"/>
  <c r="U284" i="5"/>
  <c r="T284" i="5"/>
  <c r="S284" i="5"/>
  <c r="P284" i="5"/>
  <c r="AG283" i="5"/>
  <c r="AD283" i="5"/>
  <c r="AC283" i="5"/>
  <c r="AB283" i="5"/>
  <c r="AA283" i="5"/>
  <c r="X283" i="5"/>
  <c r="W283" i="5"/>
  <c r="V283" i="5"/>
  <c r="U283" i="5"/>
  <c r="T283" i="5"/>
  <c r="S283" i="5"/>
  <c r="P283" i="5"/>
  <c r="Q283" i="5" s="1"/>
  <c r="R283" i="5" s="1"/>
  <c r="AG282" i="5"/>
  <c r="AD282" i="5"/>
  <c r="AC282" i="5"/>
  <c r="AB282" i="5"/>
  <c r="AA282" i="5"/>
  <c r="X282" i="5"/>
  <c r="W282" i="5"/>
  <c r="V282" i="5"/>
  <c r="U282" i="5"/>
  <c r="T282" i="5"/>
  <c r="S282" i="5"/>
  <c r="P282" i="5"/>
  <c r="Q282" i="5" s="1"/>
  <c r="AG281" i="5"/>
  <c r="AD281" i="5"/>
  <c r="AC281" i="5"/>
  <c r="AB281" i="5"/>
  <c r="AA281" i="5"/>
  <c r="X281" i="5"/>
  <c r="W281" i="5"/>
  <c r="V281" i="5"/>
  <c r="U281" i="5"/>
  <c r="T281" i="5"/>
  <c r="S281" i="5"/>
  <c r="R281" i="5"/>
  <c r="P281" i="5"/>
  <c r="Q281" i="5" s="1"/>
  <c r="AG280" i="5"/>
  <c r="AD280" i="5"/>
  <c r="AC280" i="5"/>
  <c r="AB280" i="5"/>
  <c r="AA280" i="5"/>
  <c r="X280" i="5"/>
  <c r="W280" i="5"/>
  <c r="V280" i="5"/>
  <c r="U280" i="5"/>
  <c r="T280" i="5"/>
  <c r="S280" i="5"/>
  <c r="R280" i="5"/>
  <c r="P280" i="5"/>
  <c r="Q280" i="5" s="1"/>
  <c r="AG279" i="5"/>
  <c r="AD279" i="5"/>
  <c r="AC279" i="5"/>
  <c r="AB279" i="5"/>
  <c r="AA279" i="5"/>
  <c r="X279" i="5"/>
  <c r="W279" i="5"/>
  <c r="V279" i="5"/>
  <c r="U279" i="5"/>
  <c r="T279" i="5"/>
  <c r="S279" i="5"/>
  <c r="P279" i="5"/>
  <c r="Q279" i="5" s="1"/>
  <c r="R279" i="5" s="1"/>
  <c r="AG278" i="5"/>
  <c r="AD278" i="5"/>
  <c r="AC278" i="5"/>
  <c r="AB278" i="5"/>
  <c r="AA278" i="5"/>
  <c r="X278" i="5"/>
  <c r="W278" i="5"/>
  <c r="V278" i="5"/>
  <c r="U278" i="5"/>
  <c r="T278" i="5"/>
  <c r="S278" i="5"/>
  <c r="P278" i="5"/>
  <c r="Q278" i="5" s="1"/>
  <c r="AG277" i="5"/>
  <c r="AD277" i="5"/>
  <c r="AC277" i="5"/>
  <c r="AB277" i="5"/>
  <c r="AA277" i="5"/>
  <c r="X277" i="5"/>
  <c r="W277" i="5"/>
  <c r="V277" i="5"/>
  <c r="U277" i="5"/>
  <c r="T277" i="5"/>
  <c r="S277" i="5"/>
  <c r="P277" i="5"/>
  <c r="Q277" i="5" s="1"/>
  <c r="AG276" i="5"/>
  <c r="AD276" i="5"/>
  <c r="AC276" i="5"/>
  <c r="AB276" i="5"/>
  <c r="AA276" i="5"/>
  <c r="X276" i="5"/>
  <c r="W276" i="5"/>
  <c r="V276" i="5"/>
  <c r="U276" i="5"/>
  <c r="T276" i="5"/>
  <c r="S276" i="5"/>
  <c r="P276" i="5"/>
  <c r="AG275" i="5"/>
  <c r="AD275" i="5"/>
  <c r="AC275" i="5"/>
  <c r="AB275" i="5"/>
  <c r="AA275" i="5"/>
  <c r="X275" i="5"/>
  <c r="W275" i="5"/>
  <c r="V275" i="5"/>
  <c r="U275" i="5"/>
  <c r="T275" i="5"/>
  <c r="S275" i="5"/>
  <c r="P275" i="5"/>
  <c r="Q275" i="5" s="1"/>
  <c r="R275" i="5" s="1"/>
  <c r="AG274" i="5"/>
  <c r="AD274" i="5"/>
  <c r="AC274" i="5"/>
  <c r="AB274" i="5"/>
  <c r="AA274" i="5"/>
  <c r="X274" i="5"/>
  <c r="W274" i="5"/>
  <c r="V274" i="5"/>
  <c r="U274" i="5"/>
  <c r="T274" i="5"/>
  <c r="S274" i="5"/>
  <c r="P274" i="5"/>
  <c r="Q274" i="5" s="1"/>
  <c r="AG273" i="5"/>
  <c r="AD273" i="5"/>
  <c r="AC273" i="5"/>
  <c r="AB273" i="5"/>
  <c r="AA273" i="5"/>
  <c r="X273" i="5"/>
  <c r="W273" i="5"/>
  <c r="V273" i="5"/>
  <c r="U273" i="5"/>
  <c r="T273" i="5"/>
  <c r="S273" i="5"/>
  <c r="P273" i="5"/>
  <c r="AG272" i="5"/>
  <c r="AD272" i="5"/>
  <c r="AC272" i="5"/>
  <c r="AB272" i="5"/>
  <c r="AA272" i="5"/>
  <c r="X272" i="5"/>
  <c r="W272" i="5"/>
  <c r="V272" i="5"/>
  <c r="U272" i="5"/>
  <c r="T272" i="5"/>
  <c r="S272" i="5"/>
  <c r="P272" i="5"/>
  <c r="AG271" i="5"/>
  <c r="AD271" i="5"/>
  <c r="AC271" i="5"/>
  <c r="AB271" i="5"/>
  <c r="AA271" i="5"/>
  <c r="X271" i="5"/>
  <c r="W271" i="5"/>
  <c r="V271" i="5"/>
  <c r="U271" i="5"/>
  <c r="T271" i="5"/>
  <c r="S271" i="5"/>
  <c r="P271" i="5"/>
  <c r="Q271" i="5" s="1"/>
  <c r="R271" i="5" s="1"/>
  <c r="AG270" i="5"/>
  <c r="AD270" i="5"/>
  <c r="AC270" i="5"/>
  <c r="AB270" i="5"/>
  <c r="AA270" i="5"/>
  <c r="X270" i="5"/>
  <c r="W270" i="5"/>
  <c r="V270" i="5"/>
  <c r="U270" i="5"/>
  <c r="T270" i="5"/>
  <c r="S270" i="5"/>
  <c r="P270" i="5"/>
  <c r="Q270" i="5" s="1"/>
  <c r="AG269" i="5"/>
  <c r="AD269" i="5"/>
  <c r="AC269" i="5"/>
  <c r="AB269" i="5"/>
  <c r="AA269" i="5"/>
  <c r="X269" i="5"/>
  <c r="W269" i="5"/>
  <c r="V269" i="5"/>
  <c r="U269" i="5"/>
  <c r="T269" i="5"/>
  <c r="S269" i="5"/>
  <c r="P269" i="5"/>
  <c r="Q269" i="5" s="1"/>
  <c r="R269" i="5" s="1"/>
  <c r="AG268" i="5"/>
  <c r="AD268" i="5"/>
  <c r="AC268" i="5"/>
  <c r="AB268" i="5"/>
  <c r="AA268" i="5"/>
  <c r="X268" i="5"/>
  <c r="W268" i="5"/>
  <c r="V268" i="5"/>
  <c r="U268" i="5"/>
  <c r="T268" i="5"/>
  <c r="S268" i="5"/>
  <c r="P268" i="5"/>
  <c r="AG267" i="5"/>
  <c r="AD267" i="5"/>
  <c r="AC267" i="5"/>
  <c r="AB267" i="5"/>
  <c r="AA267" i="5"/>
  <c r="X267" i="5"/>
  <c r="W267" i="5"/>
  <c r="V267" i="5"/>
  <c r="U267" i="5"/>
  <c r="T267" i="5"/>
  <c r="S267" i="5"/>
  <c r="P267" i="5"/>
  <c r="Q267" i="5" s="1"/>
  <c r="R267" i="5" s="1"/>
  <c r="AG266" i="5"/>
  <c r="AD266" i="5"/>
  <c r="AC266" i="5"/>
  <c r="AB266" i="5"/>
  <c r="AA266" i="5"/>
  <c r="X266" i="5"/>
  <c r="W266" i="5"/>
  <c r="V266" i="5"/>
  <c r="U266" i="5"/>
  <c r="T266" i="5"/>
  <c r="S266" i="5"/>
  <c r="P266" i="5"/>
  <c r="Q266" i="5" s="1"/>
  <c r="AG265" i="5"/>
  <c r="AD265" i="5"/>
  <c r="AC265" i="5"/>
  <c r="AB265" i="5"/>
  <c r="AA265" i="5"/>
  <c r="X265" i="5"/>
  <c r="W265" i="5"/>
  <c r="V265" i="5"/>
  <c r="U265" i="5"/>
  <c r="T265" i="5"/>
  <c r="S265" i="5"/>
  <c r="P265" i="5"/>
  <c r="Q265" i="5" s="1"/>
  <c r="AG264" i="5"/>
  <c r="AD264" i="5"/>
  <c r="AC264" i="5"/>
  <c r="AB264" i="5"/>
  <c r="AA264" i="5"/>
  <c r="X264" i="5"/>
  <c r="W264" i="5"/>
  <c r="V264" i="5"/>
  <c r="U264" i="5"/>
  <c r="T264" i="5"/>
  <c r="S264" i="5"/>
  <c r="P264" i="5"/>
  <c r="AG263" i="5"/>
  <c r="AD263" i="5"/>
  <c r="AC263" i="5"/>
  <c r="AB263" i="5"/>
  <c r="AA263" i="5"/>
  <c r="X263" i="5"/>
  <c r="W263" i="5"/>
  <c r="V263" i="5"/>
  <c r="U263" i="5"/>
  <c r="T263" i="5"/>
  <c r="S263" i="5"/>
  <c r="P263" i="5"/>
  <c r="Q263" i="5" s="1"/>
  <c r="R263" i="5" s="1"/>
  <c r="AG262" i="5"/>
  <c r="AD262" i="5"/>
  <c r="AC262" i="5"/>
  <c r="AB262" i="5"/>
  <c r="AA262" i="5"/>
  <c r="X262" i="5"/>
  <c r="W262" i="5"/>
  <c r="V262" i="5"/>
  <c r="U262" i="5"/>
  <c r="T262" i="5"/>
  <c r="S262" i="5"/>
  <c r="P262" i="5"/>
  <c r="Q262" i="5" s="1"/>
  <c r="AG261" i="5"/>
  <c r="AD261" i="5"/>
  <c r="AC261" i="5"/>
  <c r="AB261" i="5"/>
  <c r="AA261" i="5"/>
  <c r="X261" i="5"/>
  <c r="W261" i="5"/>
  <c r="V261" i="5"/>
  <c r="U261" i="5"/>
  <c r="T261" i="5"/>
  <c r="S261" i="5"/>
  <c r="P261" i="5"/>
  <c r="Q261" i="5" s="1"/>
  <c r="R261" i="5" s="1"/>
  <c r="AG260" i="5"/>
  <c r="AD260" i="5"/>
  <c r="AC260" i="5"/>
  <c r="AB260" i="5"/>
  <c r="AA260" i="5"/>
  <c r="X260" i="5"/>
  <c r="W260" i="5"/>
  <c r="V260" i="5"/>
  <c r="U260" i="5"/>
  <c r="T260" i="5"/>
  <c r="S260" i="5"/>
  <c r="P260" i="5"/>
  <c r="AG259" i="5"/>
  <c r="AD259" i="5"/>
  <c r="AC259" i="5"/>
  <c r="AB259" i="5"/>
  <c r="AA259" i="5"/>
  <c r="X259" i="5"/>
  <c r="W259" i="5"/>
  <c r="V259" i="5"/>
  <c r="U259" i="5"/>
  <c r="T259" i="5"/>
  <c r="S259" i="5"/>
  <c r="P259" i="5"/>
  <c r="Q259" i="5" s="1"/>
  <c r="R259" i="5" s="1"/>
  <c r="AG258" i="5"/>
  <c r="AD258" i="5"/>
  <c r="AC258" i="5"/>
  <c r="AB258" i="5"/>
  <c r="AA258" i="5"/>
  <c r="X258" i="5"/>
  <c r="W258" i="5"/>
  <c r="V258" i="5"/>
  <c r="U258" i="5"/>
  <c r="T258" i="5"/>
  <c r="S258" i="5"/>
  <c r="P258" i="5"/>
  <c r="Q258" i="5" s="1"/>
  <c r="AG257" i="5"/>
  <c r="AD257" i="5"/>
  <c r="AC257" i="5"/>
  <c r="AB257" i="5"/>
  <c r="AA257" i="5"/>
  <c r="X257" i="5"/>
  <c r="W257" i="5"/>
  <c r="V257" i="5"/>
  <c r="U257" i="5"/>
  <c r="T257" i="5"/>
  <c r="S257" i="5"/>
  <c r="P257" i="5"/>
  <c r="Q257" i="5" s="1"/>
  <c r="R257" i="5" s="1"/>
  <c r="AG256" i="5"/>
  <c r="AD256" i="5"/>
  <c r="AC256" i="5"/>
  <c r="AB256" i="5"/>
  <c r="AA256" i="5"/>
  <c r="X256" i="5"/>
  <c r="W256" i="5"/>
  <c r="V256" i="5"/>
  <c r="U256" i="5"/>
  <c r="T256" i="5"/>
  <c r="S256" i="5"/>
  <c r="P256" i="5"/>
  <c r="AG255" i="5"/>
  <c r="AD255" i="5"/>
  <c r="AC255" i="5"/>
  <c r="AB255" i="5"/>
  <c r="AA255" i="5"/>
  <c r="X255" i="5"/>
  <c r="W255" i="5"/>
  <c r="V255" i="5"/>
  <c r="U255" i="5"/>
  <c r="T255" i="5"/>
  <c r="S255" i="5"/>
  <c r="P255" i="5"/>
  <c r="Q255" i="5" s="1"/>
  <c r="R255" i="5" s="1"/>
  <c r="AG254" i="5"/>
  <c r="AD254" i="5"/>
  <c r="AC254" i="5"/>
  <c r="AB254" i="5"/>
  <c r="AA254" i="5"/>
  <c r="X254" i="5"/>
  <c r="W254" i="5"/>
  <c r="V254" i="5"/>
  <c r="U254" i="5"/>
  <c r="T254" i="5"/>
  <c r="S254" i="5"/>
  <c r="P254" i="5"/>
  <c r="Q254" i="5" s="1"/>
  <c r="AG253" i="5"/>
  <c r="AD253" i="5"/>
  <c r="AC253" i="5"/>
  <c r="AB253" i="5"/>
  <c r="AA253" i="5"/>
  <c r="X253" i="5"/>
  <c r="W253" i="5"/>
  <c r="V253" i="5"/>
  <c r="U253" i="5"/>
  <c r="T253" i="5"/>
  <c r="S253" i="5"/>
  <c r="P253" i="5"/>
  <c r="Q253" i="5" s="1"/>
  <c r="R253" i="5" s="1"/>
  <c r="AG252" i="5"/>
  <c r="AD252" i="5"/>
  <c r="AC252" i="5"/>
  <c r="AB252" i="5"/>
  <c r="AA252" i="5"/>
  <c r="X252" i="5"/>
  <c r="W252" i="5"/>
  <c r="V252" i="5"/>
  <c r="U252" i="5"/>
  <c r="T252" i="5"/>
  <c r="S252" i="5"/>
  <c r="P252" i="5"/>
  <c r="AG251" i="5"/>
  <c r="AD251" i="5"/>
  <c r="AC251" i="5"/>
  <c r="AB251" i="5"/>
  <c r="AA251" i="5"/>
  <c r="X251" i="5"/>
  <c r="W251" i="5"/>
  <c r="V251" i="5"/>
  <c r="U251" i="5"/>
  <c r="T251" i="5"/>
  <c r="S251" i="5"/>
  <c r="P251" i="5"/>
  <c r="Q251" i="5" s="1"/>
  <c r="R251" i="5" s="1"/>
  <c r="AG250" i="5"/>
  <c r="AD250" i="5"/>
  <c r="AC250" i="5"/>
  <c r="AB250" i="5"/>
  <c r="AA250" i="5"/>
  <c r="X250" i="5"/>
  <c r="W250" i="5"/>
  <c r="V250" i="5"/>
  <c r="U250" i="5"/>
  <c r="T250" i="5"/>
  <c r="S250" i="5"/>
  <c r="P250" i="5"/>
  <c r="Q250" i="5" s="1"/>
  <c r="AG249" i="5"/>
  <c r="AD249" i="5"/>
  <c r="AC249" i="5"/>
  <c r="AB249" i="5"/>
  <c r="AA249" i="5"/>
  <c r="X249" i="5"/>
  <c r="W249" i="5"/>
  <c r="V249" i="5"/>
  <c r="U249" i="5"/>
  <c r="T249" i="5"/>
  <c r="S249" i="5"/>
  <c r="P249" i="5"/>
  <c r="Q249" i="5" s="1"/>
  <c r="AG248" i="5"/>
  <c r="AD248" i="5"/>
  <c r="AC248" i="5"/>
  <c r="AB248" i="5"/>
  <c r="AA248" i="5"/>
  <c r="X248" i="5"/>
  <c r="W248" i="5"/>
  <c r="V248" i="5"/>
  <c r="U248" i="5"/>
  <c r="T248" i="5"/>
  <c r="S248" i="5"/>
  <c r="P248" i="5"/>
  <c r="Q248" i="5" s="1"/>
  <c r="AG247" i="5"/>
  <c r="AD247" i="5"/>
  <c r="AC247" i="5"/>
  <c r="AB247" i="5"/>
  <c r="AA247" i="5"/>
  <c r="X247" i="5"/>
  <c r="W247" i="5"/>
  <c r="V247" i="5"/>
  <c r="U247" i="5"/>
  <c r="T247" i="5"/>
  <c r="S247" i="5"/>
  <c r="P247" i="5"/>
  <c r="Q247" i="5" s="1"/>
  <c r="R247" i="5" s="1"/>
  <c r="AG246" i="5"/>
  <c r="AD246" i="5"/>
  <c r="AC246" i="5"/>
  <c r="AB246" i="5"/>
  <c r="AA246" i="5"/>
  <c r="X246" i="5"/>
  <c r="W246" i="5"/>
  <c r="V246" i="5"/>
  <c r="U246" i="5"/>
  <c r="T246" i="5"/>
  <c r="S246" i="5"/>
  <c r="P246" i="5"/>
  <c r="Q246" i="5" s="1"/>
  <c r="AG245" i="5"/>
  <c r="AD245" i="5"/>
  <c r="AC245" i="5"/>
  <c r="AB245" i="5"/>
  <c r="AA245" i="5"/>
  <c r="X245" i="5"/>
  <c r="W245" i="5"/>
  <c r="V245" i="5"/>
  <c r="U245" i="5"/>
  <c r="T245" i="5"/>
  <c r="S245" i="5"/>
  <c r="P245" i="5"/>
  <c r="Q245" i="5" s="1"/>
  <c r="AG244" i="5"/>
  <c r="AD244" i="5"/>
  <c r="AC244" i="5"/>
  <c r="AB244" i="5"/>
  <c r="AA244" i="5"/>
  <c r="X244" i="5"/>
  <c r="W244" i="5"/>
  <c r="V244" i="5"/>
  <c r="U244" i="5"/>
  <c r="T244" i="5"/>
  <c r="S244" i="5"/>
  <c r="P244" i="5"/>
  <c r="Q244" i="5" s="1"/>
  <c r="AG243" i="5"/>
  <c r="AD243" i="5"/>
  <c r="AC243" i="5"/>
  <c r="AB243" i="5"/>
  <c r="AA243" i="5"/>
  <c r="X243" i="5"/>
  <c r="W243" i="5"/>
  <c r="V243" i="5"/>
  <c r="U243" i="5"/>
  <c r="T243" i="5"/>
  <c r="S243" i="5"/>
  <c r="P243" i="5"/>
  <c r="Q243" i="5" s="1"/>
  <c r="R243" i="5" s="1"/>
  <c r="AG242" i="5"/>
  <c r="AD242" i="5"/>
  <c r="AC242" i="5"/>
  <c r="AB242" i="5"/>
  <c r="AA242" i="5"/>
  <c r="X242" i="5"/>
  <c r="W242" i="5"/>
  <c r="V242" i="5"/>
  <c r="U242" i="5"/>
  <c r="T242" i="5"/>
  <c r="S242" i="5"/>
  <c r="P242" i="5"/>
  <c r="Q242" i="5" s="1"/>
  <c r="AG241" i="5"/>
  <c r="AD241" i="5"/>
  <c r="AC241" i="5"/>
  <c r="AB241" i="5"/>
  <c r="AA241" i="5"/>
  <c r="X241" i="5"/>
  <c r="W241" i="5"/>
  <c r="V241" i="5"/>
  <c r="U241" i="5"/>
  <c r="T241" i="5"/>
  <c r="S241" i="5"/>
  <c r="P241" i="5"/>
  <c r="AG240" i="5"/>
  <c r="AD240" i="5"/>
  <c r="AC240" i="5"/>
  <c r="AB240" i="5"/>
  <c r="AA240" i="5"/>
  <c r="X240" i="5"/>
  <c r="W240" i="5"/>
  <c r="V240" i="5"/>
  <c r="U240" i="5"/>
  <c r="T240" i="5"/>
  <c r="S240" i="5"/>
  <c r="P240" i="5"/>
  <c r="AG239" i="5"/>
  <c r="AD239" i="5"/>
  <c r="AC239" i="5"/>
  <c r="AB239" i="5"/>
  <c r="AA239" i="5"/>
  <c r="X239" i="5"/>
  <c r="W239" i="5"/>
  <c r="V239" i="5"/>
  <c r="U239" i="5"/>
  <c r="T239" i="5"/>
  <c r="S239" i="5"/>
  <c r="P239" i="5"/>
  <c r="Q239" i="5" s="1"/>
  <c r="R239" i="5" s="1"/>
  <c r="AG238" i="5"/>
  <c r="AD238" i="5"/>
  <c r="AC238" i="5"/>
  <c r="AB238" i="5"/>
  <c r="AA238" i="5"/>
  <c r="X238" i="5"/>
  <c r="W238" i="5"/>
  <c r="V238" i="5"/>
  <c r="U238" i="5"/>
  <c r="T238" i="5"/>
  <c r="S238" i="5"/>
  <c r="R238" i="5"/>
  <c r="P238" i="5"/>
  <c r="Q238" i="5" s="1"/>
  <c r="AG237" i="5"/>
  <c r="AD237" i="5"/>
  <c r="AC237" i="5"/>
  <c r="AB237" i="5"/>
  <c r="AA237" i="5"/>
  <c r="X237" i="5"/>
  <c r="W237" i="5"/>
  <c r="V237" i="5"/>
  <c r="U237" i="5"/>
  <c r="T237" i="5"/>
  <c r="S237" i="5"/>
  <c r="P237" i="5"/>
  <c r="AG236" i="5"/>
  <c r="AD236" i="5"/>
  <c r="AC236" i="5"/>
  <c r="AB236" i="5"/>
  <c r="AA236" i="5"/>
  <c r="X236" i="5"/>
  <c r="W236" i="5"/>
  <c r="V236" i="5"/>
  <c r="U236" i="5"/>
  <c r="T236" i="5"/>
  <c r="S236" i="5"/>
  <c r="P236" i="5"/>
  <c r="AG235" i="5"/>
  <c r="AD235" i="5"/>
  <c r="AC235" i="5"/>
  <c r="AB235" i="5"/>
  <c r="AA235" i="5"/>
  <c r="X235" i="5"/>
  <c r="W235" i="5"/>
  <c r="V235" i="5"/>
  <c r="U235" i="5"/>
  <c r="T235" i="5"/>
  <c r="S235" i="5"/>
  <c r="P235" i="5"/>
  <c r="Q235" i="5" s="1"/>
  <c r="R235" i="5" s="1"/>
  <c r="AG234" i="5"/>
  <c r="AD234" i="5"/>
  <c r="AC234" i="5"/>
  <c r="AB234" i="5"/>
  <c r="AA234" i="5"/>
  <c r="X234" i="5"/>
  <c r="W234" i="5"/>
  <c r="V234" i="5"/>
  <c r="U234" i="5"/>
  <c r="T234" i="5"/>
  <c r="S234" i="5"/>
  <c r="P234" i="5"/>
  <c r="Q234" i="5" s="1"/>
  <c r="AG233" i="5"/>
  <c r="AD233" i="5"/>
  <c r="AC233" i="5"/>
  <c r="AB233" i="5"/>
  <c r="AA233" i="5"/>
  <c r="X233" i="5"/>
  <c r="W233" i="5"/>
  <c r="V233" i="5"/>
  <c r="U233" i="5"/>
  <c r="T233" i="5"/>
  <c r="S233" i="5"/>
  <c r="P233" i="5"/>
  <c r="Q233" i="5" s="1"/>
  <c r="R233" i="5" s="1"/>
  <c r="AG232" i="5"/>
  <c r="AD232" i="5"/>
  <c r="AC232" i="5"/>
  <c r="AB232" i="5"/>
  <c r="AA232" i="5"/>
  <c r="X232" i="5"/>
  <c r="W232" i="5"/>
  <c r="V232" i="5"/>
  <c r="U232" i="5"/>
  <c r="T232" i="5"/>
  <c r="S232" i="5"/>
  <c r="P232" i="5"/>
  <c r="Q232" i="5" s="1"/>
  <c r="AG231" i="5"/>
  <c r="AD231" i="5"/>
  <c r="AC231" i="5"/>
  <c r="AB231" i="5"/>
  <c r="AA231" i="5"/>
  <c r="X231" i="5"/>
  <c r="W231" i="5"/>
  <c r="V231" i="5"/>
  <c r="U231" i="5"/>
  <c r="T231" i="5"/>
  <c r="S231" i="5"/>
  <c r="P231" i="5"/>
  <c r="Q231" i="5" s="1"/>
  <c r="R231" i="5" s="1"/>
  <c r="AG230" i="5"/>
  <c r="AD230" i="5"/>
  <c r="AC230" i="5"/>
  <c r="AB230" i="5"/>
  <c r="AA230" i="5"/>
  <c r="X230" i="5"/>
  <c r="W230" i="5"/>
  <c r="V230" i="5"/>
  <c r="U230" i="5"/>
  <c r="T230" i="5"/>
  <c r="S230" i="5"/>
  <c r="P230" i="5"/>
  <c r="Q230" i="5" s="1"/>
  <c r="AG229" i="5"/>
  <c r="AD229" i="5"/>
  <c r="AC229" i="5"/>
  <c r="AB229" i="5"/>
  <c r="AA229" i="5"/>
  <c r="X229" i="5"/>
  <c r="W229" i="5"/>
  <c r="V229" i="5"/>
  <c r="U229" i="5"/>
  <c r="T229" i="5"/>
  <c r="S229" i="5"/>
  <c r="R229" i="5"/>
  <c r="P229" i="5"/>
  <c r="Q229" i="5" s="1"/>
  <c r="AG228" i="5"/>
  <c r="AD228" i="5"/>
  <c r="AC228" i="5"/>
  <c r="AB228" i="5"/>
  <c r="AA228" i="5"/>
  <c r="X228" i="5"/>
  <c r="W228" i="5"/>
  <c r="V228" i="5"/>
  <c r="U228" i="5"/>
  <c r="T228" i="5"/>
  <c r="S228" i="5"/>
  <c r="P228" i="5"/>
  <c r="AG227" i="5"/>
  <c r="AD227" i="5"/>
  <c r="AC227" i="5"/>
  <c r="AB227" i="5"/>
  <c r="AA227" i="5"/>
  <c r="X227" i="5"/>
  <c r="W227" i="5"/>
  <c r="V227" i="5"/>
  <c r="U227" i="5"/>
  <c r="T227" i="5"/>
  <c r="S227" i="5"/>
  <c r="P227" i="5"/>
  <c r="Q227" i="5" s="1"/>
  <c r="R227" i="5" s="1"/>
  <c r="AG226" i="5"/>
  <c r="AD226" i="5"/>
  <c r="AC226" i="5"/>
  <c r="AB226" i="5"/>
  <c r="AA226" i="5"/>
  <c r="X226" i="5"/>
  <c r="W226" i="5"/>
  <c r="V226" i="5"/>
  <c r="U226" i="5"/>
  <c r="T226" i="5"/>
  <c r="S226" i="5"/>
  <c r="P226" i="5"/>
  <c r="Q226" i="5" s="1"/>
  <c r="AG225" i="5"/>
  <c r="AD225" i="5"/>
  <c r="AC225" i="5"/>
  <c r="AB225" i="5"/>
  <c r="AA225" i="5"/>
  <c r="X225" i="5"/>
  <c r="W225" i="5"/>
  <c r="V225" i="5"/>
  <c r="U225" i="5"/>
  <c r="T225" i="5"/>
  <c r="S225" i="5"/>
  <c r="P225" i="5"/>
  <c r="AG224" i="5"/>
  <c r="AD224" i="5"/>
  <c r="AC224" i="5"/>
  <c r="AB224" i="5"/>
  <c r="AA224" i="5"/>
  <c r="X224" i="5"/>
  <c r="W224" i="5"/>
  <c r="V224" i="5"/>
  <c r="U224" i="5"/>
  <c r="T224" i="5"/>
  <c r="S224" i="5"/>
  <c r="P224" i="5"/>
  <c r="Q224" i="5" s="1"/>
  <c r="AG223" i="5"/>
  <c r="AD223" i="5"/>
  <c r="AC223" i="5"/>
  <c r="AB223" i="5"/>
  <c r="AA223" i="5"/>
  <c r="X223" i="5"/>
  <c r="W223" i="5"/>
  <c r="V223" i="5"/>
  <c r="U223" i="5"/>
  <c r="T223" i="5"/>
  <c r="S223" i="5"/>
  <c r="P223" i="5"/>
  <c r="Q223" i="5" s="1"/>
  <c r="R223" i="5" s="1"/>
  <c r="AG222" i="5"/>
  <c r="AD222" i="5"/>
  <c r="AC222" i="5"/>
  <c r="AB222" i="5"/>
  <c r="AA222" i="5"/>
  <c r="X222" i="5"/>
  <c r="W222" i="5"/>
  <c r="V222" i="5"/>
  <c r="U222" i="5"/>
  <c r="T222" i="5"/>
  <c r="S222" i="5"/>
  <c r="P222" i="5"/>
  <c r="Q222" i="5" s="1"/>
  <c r="AG221" i="5"/>
  <c r="AD221" i="5"/>
  <c r="AC221" i="5"/>
  <c r="AB221" i="5"/>
  <c r="AA221" i="5"/>
  <c r="X221" i="5"/>
  <c r="W221" i="5"/>
  <c r="V221" i="5"/>
  <c r="U221" i="5"/>
  <c r="T221" i="5"/>
  <c r="S221" i="5"/>
  <c r="P221" i="5"/>
  <c r="Q221" i="5" s="1"/>
  <c r="R221" i="5" s="1"/>
  <c r="AG220" i="5"/>
  <c r="AD220" i="5"/>
  <c r="AC220" i="5"/>
  <c r="AB220" i="5"/>
  <c r="AA220" i="5"/>
  <c r="X220" i="5"/>
  <c r="W220" i="5"/>
  <c r="V220" i="5"/>
  <c r="U220" i="5"/>
  <c r="T220" i="5"/>
  <c r="S220" i="5"/>
  <c r="P220" i="5"/>
  <c r="AG219" i="5"/>
  <c r="AD219" i="5"/>
  <c r="AC219" i="5"/>
  <c r="AB219" i="5"/>
  <c r="AA219" i="5"/>
  <c r="X219" i="5"/>
  <c r="W219" i="5"/>
  <c r="V219" i="5"/>
  <c r="U219" i="5"/>
  <c r="T219" i="5"/>
  <c r="S219" i="5"/>
  <c r="P219" i="5"/>
  <c r="Q219" i="5" s="1"/>
  <c r="R219" i="5" s="1"/>
  <c r="AG218" i="5"/>
  <c r="AD218" i="5"/>
  <c r="AC218" i="5"/>
  <c r="AB218" i="5"/>
  <c r="AA218" i="5"/>
  <c r="X218" i="5"/>
  <c r="W218" i="5"/>
  <c r="V218" i="5"/>
  <c r="U218" i="5"/>
  <c r="T218" i="5"/>
  <c r="S218" i="5"/>
  <c r="P218" i="5"/>
  <c r="Q218" i="5" s="1"/>
  <c r="AG217" i="5"/>
  <c r="AD217" i="5"/>
  <c r="AC217" i="5"/>
  <c r="AB217" i="5"/>
  <c r="AA217" i="5"/>
  <c r="X217" i="5"/>
  <c r="W217" i="5"/>
  <c r="V217" i="5"/>
  <c r="U217" i="5"/>
  <c r="T217" i="5"/>
  <c r="S217" i="5"/>
  <c r="P217" i="5"/>
  <c r="Q217" i="5" s="1"/>
  <c r="AG216" i="5"/>
  <c r="AD216" i="5"/>
  <c r="AC216" i="5"/>
  <c r="AB216" i="5"/>
  <c r="AA216" i="5"/>
  <c r="X216" i="5"/>
  <c r="W216" i="5"/>
  <c r="V216" i="5"/>
  <c r="U216" i="5"/>
  <c r="T216" i="5"/>
  <c r="S216" i="5"/>
  <c r="P216" i="5"/>
  <c r="Q216" i="5" s="1"/>
  <c r="AG215" i="5"/>
  <c r="AD215" i="5"/>
  <c r="AC215" i="5"/>
  <c r="AB215" i="5"/>
  <c r="AA215" i="5"/>
  <c r="X215" i="5"/>
  <c r="W215" i="5"/>
  <c r="V215" i="5"/>
  <c r="U215" i="5"/>
  <c r="T215" i="5"/>
  <c r="S215" i="5"/>
  <c r="P215" i="5"/>
  <c r="Q215" i="5" s="1"/>
  <c r="R215" i="5" s="1"/>
  <c r="AG214" i="5"/>
  <c r="AD214" i="5"/>
  <c r="AC214" i="5"/>
  <c r="AB214" i="5"/>
  <c r="AA214" i="5"/>
  <c r="X214" i="5"/>
  <c r="W214" i="5"/>
  <c r="V214" i="5"/>
  <c r="U214" i="5"/>
  <c r="T214" i="5"/>
  <c r="S214" i="5"/>
  <c r="P214" i="5"/>
  <c r="Q214" i="5" s="1"/>
  <c r="AG213" i="5"/>
  <c r="AD213" i="5"/>
  <c r="AC213" i="5"/>
  <c r="AB213" i="5"/>
  <c r="AA213" i="5"/>
  <c r="X213" i="5"/>
  <c r="W213" i="5"/>
  <c r="V213" i="5"/>
  <c r="U213" i="5"/>
  <c r="T213" i="5"/>
  <c r="S213" i="5"/>
  <c r="P213" i="5"/>
  <c r="Q213" i="5" s="1"/>
  <c r="R213" i="5" s="1"/>
  <c r="AG212" i="5"/>
  <c r="AD212" i="5"/>
  <c r="AC212" i="5"/>
  <c r="AB212" i="5"/>
  <c r="AA212" i="5"/>
  <c r="X212" i="5"/>
  <c r="W212" i="5"/>
  <c r="V212" i="5"/>
  <c r="U212" i="5"/>
  <c r="T212" i="5"/>
  <c r="S212" i="5"/>
  <c r="P212" i="5"/>
  <c r="AG211" i="5"/>
  <c r="AD211" i="5"/>
  <c r="AC211" i="5"/>
  <c r="AB211" i="5"/>
  <c r="AA211" i="5"/>
  <c r="X211" i="5"/>
  <c r="W211" i="5"/>
  <c r="V211" i="5"/>
  <c r="U211" i="5"/>
  <c r="T211" i="5"/>
  <c r="S211" i="5"/>
  <c r="P211" i="5"/>
  <c r="Q211" i="5" s="1"/>
  <c r="R211" i="5" s="1"/>
  <c r="AG210" i="5"/>
  <c r="AD210" i="5"/>
  <c r="AC210" i="5"/>
  <c r="AB210" i="5"/>
  <c r="AA210" i="5"/>
  <c r="X210" i="5"/>
  <c r="W210" i="5"/>
  <c r="V210" i="5"/>
  <c r="U210" i="5"/>
  <c r="T210" i="5"/>
  <c r="S210" i="5"/>
  <c r="P210" i="5"/>
  <c r="Q210" i="5" s="1"/>
  <c r="AG209" i="5"/>
  <c r="AD209" i="5"/>
  <c r="AC209" i="5"/>
  <c r="AB209" i="5"/>
  <c r="AA209" i="5"/>
  <c r="X209" i="5"/>
  <c r="W209" i="5"/>
  <c r="V209" i="5"/>
  <c r="U209" i="5"/>
  <c r="T209" i="5"/>
  <c r="S209" i="5"/>
  <c r="P209" i="5"/>
  <c r="Q209" i="5" s="1"/>
  <c r="R209" i="5" s="1"/>
  <c r="AG208" i="5"/>
  <c r="AD208" i="5"/>
  <c r="AC208" i="5"/>
  <c r="AB208" i="5"/>
  <c r="AA208" i="5"/>
  <c r="X208" i="5"/>
  <c r="W208" i="5"/>
  <c r="V208" i="5"/>
  <c r="U208" i="5"/>
  <c r="T208" i="5"/>
  <c r="S208" i="5"/>
  <c r="P208" i="5"/>
  <c r="Q208" i="5" s="1"/>
  <c r="AG207" i="5"/>
  <c r="AD207" i="5"/>
  <c r="AC207" i="5"/>
  <c r="AB207" i="5"/>
  <c r="AA207" i="5"/>
  <c r="X207" i="5"/>
  <c r="W207" i="5"/>
  <c r="V207" i="5"/>
  <c r="U207" i="5"/>
  <c r="T207" i="5"/>
  <c r="S207" i="5"/>
  <c r="P207" i="5"/>
  <c r="Q207" i="5" s="1"/>
  <c r="R207" i="5" s="1"/>
  <c r="AG206" i="5"/>
  <c r="AD206" i="5"/>
  <c r="AC206" i="5"/>
  <c r="AB206" i="5"/>
  <c r="AA206" i="5"/>
  <c r="X206" i="5"/>
  <c r="W206" i="5"/>
  <c r="V206" i="5"/>
  <c r="U206" i="5"/>
  <c r="T206" i="5"/>
  <c r="S206" i="5"/>
  <c r="P206" i="5"/>
  <c r="Q206" i="5" s="1"/>
  <c r="AG205" i="5"/>
  <c r="AD205" i="5"/>
  <c r="AC205" i="5"/>
  <c r="AB205" i="5"/>
  <c r="AA205" i="5"/>
  <c r="X205" i="5"/>
  <c r="W205" i="5"/>
  <c r="V205" i="5"/>
  <c r="U205" i="5"/>
  <c r="T205" i="5"/>
  <c r="S205" i="5"/>
  <c r="P205" i="5"/>
  <c r="AG204" i="5"/>
  <c r="AD204" i="5"/>
  <c r="AC204" i="5"/>
  <c r="AB204" i="5"/>
  <c r="AA204" i="5"/>
  <c r="X204" i="5"/>
  <c r="W204" i="5"/>
  <c r="V204" i="5"/>
  <c r="U204" i="5"/>
  <c r="T204" i="5"/>
  <c r="S204" i="5"/>
  <c r="P204" i="5"/>
  <c r="AG203" i="5"/>
  <c r="AD203" i="5"/>
  <c r="AC203" i="5"/>
  <c r="AB203" i="5"/>
  <c r="AA203" i="5"/>
  <c r="X203" i="5"/>
  <c r="W203" i="5"/>
  <c r="V203" i="5"/>
  <c r="U203" i="5"/>
  <c r="T203" i="5"/>
  <c r="S203" i="5"/>
  <c r="R203" i="5"/>
  <c r="P203" i="5"/>
  <c r="Q203" i="5" s="1"/>
  <c r="AG202" i="5"/>
  <c r="AD202" i="5"/>
  <c r="AC202" i="5"/>
  <c r="AB202" i="5"/>
  <c r="AA202" i="5"/>
  <c r="X202" i="5"/>
  <c r="W202" i="5"/>
  <c r="V202" i="5"/>
  <c r="U202" i="5"/>
  <c r="T202" i="5"/>
  <c r="S202" i="5"/>
  <c r="P202" i="5"/>
  <c r="Q202" i="5" s="1"/>
  <c r="AG201" i="5"/>
  <c r="AD201" i="5"/>
  <c r="AC201" i="5"/>
  <c r="AB201" i="5"/>
  <c r="AA201" i="5"/>
  <c r="X201" i="5"/>
  <c r="W201" i="5"/>
  <c r="V201" i="5"/>
  <c r="U201" i="5"/>
  <c r="T201" i="5"/>
  <c r="S201" i="5"/>
  <c r="P201" i="5"/>
  <c r="Q201" i="5" s="1"/>
  <c r="R201" i="5" s="1"/>
  <c r="AG200" i="5"/>
  <c r="AD200" i="5"/>
  <c r="AC200" i="5"/>
  <c r="AB200" i="5"/>
  <c r="AA200" i="5"/>
  <c r="X200" i="5"/>
  <c r="W200" i="5"/>
  <c r="V200" i="5"/>
  <c r="U200" i="5"/>
  <c r="T200" i="5"/>
  <c r="S200" i="5"/>
  <c r="P200" i="5"/>
  <c r="Q200" i="5" s="1"/>
  <c r="AG199" i="5"/>
  <c r="AD199" i="5"/>
  <c r="AC199" i="5"/>
  <c r="AB199" i="5"/>
  <c r="AA199" i="5"/>
  <c r="X199" i="5"/>
  <c r="W199" i="5"/>
  <c r="V199" i="5"/>
  <c r="U199" i="5"/>
  <c r="T199" i="5"/>
  <c r="S199" i="5"/>
  <c r="P199" i="5"/>
  <c r="Q199" i="5" s="1"/>
  <c r="R199" i="5" s="1"/>
  <c r="AG198" i="5"/>
  <c r="AD198" i="5"/>
  <c r="AC198" i="5"/>
  <c r="AB198" i="5"/>
  <c r="AA198" i="5"/>
  <c r="X198" i="5"/>
  <c r="W198" i="5"/>
  <c r="V198" i="5"/>
  <c r="U198" i="5"/>
  <c r="T198" i="5"/>
  <c r="S198" i="5"/>
  <c r="P198" i="5"/>
  <c r="Q198" i="5" s="1"/>
  <c r="AG197" i="5"/>
  <c r="AD197" i="5"/>
  <c r="AC197" i="5"/>
  <c r="AB197" i="5"/>
  <c r="AA197" i="5"/>
  <c r="X197" i="5"/>
  <c r="W197" i="5"/>
  <c r="V197" i="5"/>
  <c r="U197" i="5"/>
  <c r="T197" i="5"/>
  <c r="S197" i="5"/>
  <c r="P197" i="5"/>
  <c r="AG196" i="5"/>
  <c r="AD196" i="5"/>
  <c r="AC196" i="5"/>
  <c r="AB196" i="5"/>
  <c r="AA196" i="5"/>
  <c r="X196" i="5"/>
  <c r="W196" i="5"/>
  <c r="V196" i="5"/>
  <c r="U196" i="5"/>
  <c r="T196" i="5"/>
  <c r="S196" i="5"/>
  <c r="P196" i="5"/>
  <c r="Q196" i="5" s="1"/>
  <c r="AG195" i="5"/>
  <c r="AD195" i="5"/>
  <c r="AC195" i="5"/>
  <c r="AB195" i="5"/>
  <c r="AA195" i="5"/>
  <c r="X195" i="5"/>
  <c r="W195" i="5"/>
  <c r="V195" i="5"/>
  <c r="U195" i="5"/>
  <c r="T195" i="5"/>
  <c r="S195" i="5"/>
  <c r="P195" i="5"/>
  <c r="Q195" i="5" s="1"/>
  <c r="R195" i="5" s="1"/>
  <c r="AG194" i="5"/>
  <c r="AD194" i="5"/>
  <c r="AC194" i="5"/>
  <c r="AB194" i="5"/>
  <c r="AA194" i="5"/>
  <c r="X194" i="5"/>
  <c r="W194" i="5"/>
  <c r="V194" i="5"/>
  <c r="U194" i="5"/>
  <c r="T194" i="5"/>
  <c r="S194" i="5"/>
  <c r="P194" i="5"/>
  <c r="Q194" i="5" s="1"/>
  <c r="AG193" i="5"/>
  <c r="AD193" i="5"/>
  <c r="AC193" i="5"/>
  <c r="AB193" i="5"/>
  <c r="AA193" i="5"/>
  <c r="X193" i="5"/>
  <c r="W193" i="5"/>
  <c r="V193" i="5"/>
  <c r="U193" i="5"/>
  <c r="T193" i="5"/>
  <c r="S193" i="5"/>
  <c r="P193" i="5"/>
  <c r="Q193" i="5" s="1"/>
  <c r="R193" i="5" s="1"/>
  <c r="AG192" i="5"/>
  <c r="AD192" i="5"/>
  <c r="AC192" i="5"/>
  <c r="AB192" i="5"/>
  <c r="AA192" i="5"/>
  <c r="X192" i="5"/>
  <c r="W192" i="5"/>
  <c r="V192" i="5"/>
  <c r="U192" i="5"/>
  <c r="T192" i="5"/>
  <c r="S192" i="5"/>
  <c r="R192" i="5"/>
  <c r="P192" i="5"/>
  <c r="Q192" i="5" s="1"/>
  <c r="AG191" i="5"/>
  <c r="AD191" i="5"/>
  <c r="AC191" i="5"/>
  <c r="AB191" i="5"/>
  <c r="AA191" i="5"/>
  <c r="X191" i="5"/>
  <c r="W191" i="5"/>
  <c r="V191" i="5"/>
  <c r="U191" i="5"/>
  <c r="T191" i="5"/>
  <c r="S191" i="5"/>
  <c r="P191" i="5"/>
  <c r="Q191" i="5" s="1"/>
  <c r="R191" i="5" s="1"/>
  <c r="AG190" i="5"/>
  <c r="AD190" i="5"/>
  <c r="AC190" i="5"/>
  <c r="AB190" i="5"/>
  <c r="AA190" i="5"/>
  <c r="X190" i="5"/>
  <c r="W190" i="5"/>
  <c r="V190" i="5"/>
  <c r="U190" i="5"/>
  <c r="T190" i="5"/>
  <c r="S190" i="5"/>
  <c r="P190" i="5"/>
  <c r="Q190" i="5" s="1"/>
  <c r="AG189" i="5"/>
  <c r="AD189" i="5"/>
  <c r="AC189" i="5"/>
  <c r="AB189" i="5"/>
  <c r="AA189" i="5"/>
  <c r="X189" i="5"/>
  <c r="W189" i="5"/>
  <c r="V189" i="5"/>
  <c r="U189" i="5"/>
  <c r="T189" i="5"/>
  <c r="S189" i="5"/>
  <c r="P189" i="5"/>
  <c r="AG188" i="5"/>
  <c r="AD188" i="5"/>
  <c r="AC188" i="5"/>
  <c r="AB188" i="5"/>
  <c r="AA188" i="5"/>
  <c r="X188" i="5"/>
  <c r="W188" i="5"/>
  <c r="V188" i="5"/>
  <c r="U188" i="5"/>
  <c r="T188" i="5"/>
  <c r="S188" i="5"/>
  <c r="R188" i="5"/>
  <c r="P188" i="5"/>
  <c r="Q188" i="5" s="1"/>
  <c r="AG187" i="5"/>
  <c r="AD187" i="5"/>
  <c r="AC187" i="5"/>
  <c r="AB187" i="5"/>
  <c r="AA187" i="5"/>
  <c r="X187" i="5"/>
  <c r="W187" i="5"/>
  <c r="V187" i="5"/>
  <c r="U187" i="5"/>
  <c r="T187" i="5"/>
  <c r="S187" i="5"/>
  <c r="P187" i="5"/>
  <c r="Q187" i="5" s="1"/>
  <c r="R187" i="5" s="1"/>
  <c r="AG186" i="5"/>
  <c r="AD186" i="5"/>
  <c r="AC186" i="5"/>
  <c r="AB186" i="5"/>
  <c r="AA186" i="5"/>
  <c r="X186" i="5"/>
  <c r="W186" i="5"/>
  <c r="V186" i="5"/>
  <c r="U186" i="5"/>
  <c r="T186" i="5"/>
  <c r="S186" i="5"/>
  <c r="P186" i="5"/>
  <c r="Q186" i="5" s="1"/>
  <c r="AG185" i="5"/>
  <c r="AD185" i="5"/>
  <c r="AC185" i="5"/>
  <c r="AB185" i="5"/>
  <c r="AA185" i="5"/>
  <c r="X185" i="5"/>
  <c r="W185" i="5"/>
  <c r="V185" i="5"/>
  <c r="U185" i="5"/>
  <c r="T185" i="5"/>
  <c r="S185" i="5"/>
  <c r="P185" i="5"/>
  <c r="AG184" i="5"/>
  <c r="AD184" i="5"/>
  <c r="AC184" i="5"/>
  <c r="AB184" i="5"/>
  <c r="AA184" i="5"/>
  <c r="X184" i="5"/>
  <c r="W184" i="5"/>
  <c r="V184" i="5"/>
  <c r="U184" i="5"/>
  <c r="T184" i="5"/>
  <c r="S184" i="5"/>
  <c r="P184" i="5"/>
  <c r="Q184" i="5" s="1"/>
  <c r="AG183" i="5"/>
  <c r="AD183" i="5"/>
  <c r="AC183" i="5"/>
  <c r="AB183" i="5"/>
  <c r="AA183" i="5"/>
  <c r="X183" i="5"/>
  <c r="W183" i="5"/>
  <c r="V183" i="5"/>
  <c r="U183" i="5"/>
  <c r="T183" i="5"/>
  <c r="S183" i="5"/>
  <c r="P183" i="5"/>
  <c r="Q183" i="5" s="1"/>
  <c r="R183" i="5" s="1"/>
  <c r="AG182" i="5"/>
  <c r="AD182" i="5"/>
  <c r="AC182" i="5"/>
  <c r="AB182" i="5"/>
  <c r="AA182" i="5"/>
  <c r="X182" i="5"/>
  <c r="W182" i="5"/>
  <c r="V182" i="5"/>
  <c r="U182" i="5"/>
  <c r="T182" i="5"/>
  <c r="S182" i="5"/>
  <c r="P182" i="5"/>
  <c r="Q182" i="5" s="1"/>
  <c r="AG181" i="5"/>
  <c r="AD181" i="5"/>
  <c r="AC181" i="5"/>
  <c r="AB181" i="5"/>
  <c r="AA181" i="5"/>
  <c r="X181" i="5"/>
  <c r="W181" i="5"/>
  <c r="V181" i="5"/>
  <c r="U181" i="5"/>
  <c r="T181" i="5"/>
  <c r="S181" i="5"/>
  <c r="R181" i="5"/>
  <c r="P181" i="5"/>
  <c r="Q181" i="5" s="1"/>
  <c r="AG180" i="5"/>
  <c r="AD180" i="5"/>
  <c r="AC180" i="5"/>
  <c r="AB180" i="5"/>
  <c r="AA180" i="5"/>
  <c r="X180" i="5"/>
  <c r="W180" i="5"/>
  <c r="V180" i="5"/>
  <c r="U180" i="5"/>
  <c r="T180" i="5"/>
  <c r="S180" i="5"/>
  <c r="P180" i="5"/>
  <c r="Q180" i="5" s="1"/>
  <c r="AG179" i="5"/>
  <c r="AD179" i="5"/>
  <c r="AC179" i="5"/>
  <c r="AB179" i="5"/>
  <c r="AA179" i="5"/>
  <c r="X179" i="5"/>
  <c r="W179" i="5"/>
  <c r="V179" i="5"/>
  <c r="U179" i="5"/>
  <c r="T179" i="5"/>
  <c r="S179" i="5"/>
  <c r="P179" i="5"/>
  <c r="Q179" i="5" s="1"/>
  <c r="R179" i="5" s="1"/>
  <c r="AG178" i="5"/>
  <c r="AD178" i="5"/>
  <c r="AC178" i="5"/>
  <c r="AB178" i="5"/>
  <c r="AA178" i="5"/>
  <c r="X178" i="5"/>
  <c r="W178" i="5"/>
  <c r="V178" i="5"/>
  <c r="U178" i="5"/>
  <c r="T178" i="5"/>
  <c r="S178" i="5"/>
  <c r="P178" i="5"/>
  <c r="Q178" i="5" s="1"/>
  <c r="AG177" i="5"/>
  <c r="AD177" i="5"/>
  <c r="AC177" i="5"/>
  <c r="AB177" i="5"/>
  <c r="AA177" i="5"/>
  <c r="X177" i="5"/>
  <c r="W177" i="5"/>
  <c r="V177" i="5"/>
  <c r="U177" i="5"/>
  <c r="T177" i="5"/>
  <c r="S177" i="5"/>
  <c r="P177" i="5"/>
  <c r="AG176" i="5"/>
  <c r="AD176" i="5"/>
  <c r="AC176" i="5"/>
  <c r="AB176" i="5"/>
  <c r="AA176" i="5"/>
  <c r="X176" i="5"/>
  <c r="W176" i="5"/>
  <c r="V176" i="5"/>
  <c r="U176" i="5"/>
  <c r="T176" i="5"/>
  <c r="S176" i="5"/>
  <c r="P176" i="5"/>
  <c r="Q176" i="5" s="1"/>
  <c r="AG175" i="5"/>
  <c r="AD175" i="5"/>
  <c r="AC175" i="5"/>
  <c r="AB175" i="5"/>
  <c r="AA175" i="5"/>
  <c r="X175" i="5"/>
  <c r="W175" i="5"/>
  <c r="V175" i="5"/>
  <c r="U175" i="5"/>
  <c r="T175" i="5"/>
  <c r="S175" i="5"/>
  <c r="P175" i="5"/>
  <c r="Q175" i="5" s="1"/>
  <c r="R175" i="5" s="1"/>
  <c r="AG174" i="5"/>
  <c r="AD174" i="5"/>
  <c r="AC174" i="5"/>
  <c r="AB174" i="5"/>
  <c r="AA174" i="5"/>
  <c r="X174" i="5"/>
  <c r="W174" i="5"/>
  <c r="V174" i="5"/>
  <c r="U174" i="5"/>
  <c r="T174" i="5"/>
  <c r="S174" i="5"/>
  <c r="P174" i="5"/>
  <c r="Q174" i="5" s="1"/>
  <c r="AG173" i="5"/>
  <c r="AD173" i="5"/>
  <c r="AC173" i="5"/>
  <c r="AB173" i="5"/>
  <c r="AA173" i="5"/>
  <c r="X173" i="5"/>
  <c r="W173" i="5"/>
  <c r="V173" i="5"/>
  <c r="U173" i="5"/>
  <c r="T173" i="5"/>
  <c r="S173" i="5"/>
  <c r="P173" i="5"/>
  <c r="AG172" i="5"/>
  <c r="AD172" i="5"/>
  <c r="AC172" i="5"/>
  <c r="AB172" i="5"/>
  <c r="AA172" i="5"/>
  <c r="X172" i="5"/>
  <c r="W172" i="5"/>
  <c r="V172" i="5"/>
  <c r="U172" i="5"/>
  <c r="T172" i="5"/>
  <c r="S172" i="5"/>
  <c r="P172" i="5"/>
  <c r="Q172" i="5" s="1"/>
  <c r="AG171" i="5"/>
  <c r="AD171" i="5"/>
  <c r="AC171" i="5"/>
  <c r="AB171" i="5"/>
  <c r="AA171" i="5"/>
  <c r="X171" i="5"/>
  <c r="W171" i="5"/>
  <c r="V171" i="5"/>
  <c r="U171" i="5"/>
  <c r="T171" i="5"/>
  <c r="S171" i="5"/>
  <c r="P171" i="5"/>
  <c r="Q171" i="5" s="1"/>
  <c r="R171" i="5" s="1"/>
  <c r="AG170" i="5"/>
  <c r="AD170" i="5"/>
  <c r="AC170" i="5"/>
  <c r="AB170" i="5"/>
  <c r="AA170" i="5"/>
  <c r="X170" i="5"/>
  <c r="W170" i="5"/>
  <c r="V170" i="5"/>
  <c r="U170" i="5"/>
  <c r="T170" i="5"/>
  <c r="S170" i="5"/>
  <c r="P170" i="5"/>
  <c r="Q170" i="5" s="1"/>
  <c r="AG169" i="5"/>
  <c r="AD169" i="5"/>
  <c r="AC169" i="5"/>
  <c r="AB169" i="5"/>
  <c r="AA169" i="5"/>
  <c r="X169" i="5"/>
  <c r="W169" i="5"/>
  <c r="V169" i="5"/>
  <c r="U169" i="5"/>
  <c r="T169" i="5"/>
  <c r="S169" i="5"/>
  <c r="P169" i="5"/>
  <c r="Q169" i="5" s="1"/>
  <c r="R169" i="5" s="1"/>
  <c r="AG168" i="5"/>
  <c r="AD168" i="5"/>
  <c r="AC168" i="5"/>
  <c r="AB168" i="5"/>
  <c r="AA168" i="5"/>
  <c r="X168" i="5"/>
  <c r="W168" i="5"/>
  <c r="V168" i="5"/>
  <c r="U168" i="5"/>
  <c r="T168" i="5"/>
  <c r="S168" i="5"/>
  <c r="P168" i="5"/>
  <c r="Q168" i="5" s="1"/>
  <c r="AG167" i="5"/>
  <c r="AD167" i="5"/>
  <c r="AC167" i="5"/>
  <c r="AB167" i="5"/>
  <c r="AA167" i="5"/>
  <c r="X167" i="5"/>
  <c r="W167" i="5"/>
  <c r="V167" i="5"/>
  <c r="U167" i="5"/>
  <c r="T167" i="5"/>
  <c r="S167" i="5"/>
  <c r="P167" i="5"/>
  <c r="Q167" i="5" s="1"/>
  <c r="R167" i="5" s="1"/>
  <c r="AG166" i="5"/>
  <c r="AD166" i="5"/>
  <c r="AC166" i="5"/>
  <c r="AB166" i="5"/>
  <c r="AA166" i="5"/>
  <c r="X166" i="5"/>
  <c r="W166" i="5"/>
  <c r="V166" i="5"/>
  <c r="U166" i="5"/>
  <c r="T166" i="5"/>
  <c r="S166" i="5"/>
  <c r="P166" i="5"/>
  <c r="Q166" i="5" s="1"/>
  <c r="AG165" i="5"/>
  <c r="AD165" i="5"/>
  <c r="AC165" i="5"/>
  <c r="AB165" i="5"/>
  <c r="AA165" i="5"/>
  <c r="X165" i="5"/>
  <c r="W165" i="5"/>
  <c r="V165" i="5"/>
  <c r="U165" i="5"/>
  <c r="T165" i="5"/>
  <c r="S165" i="5"/>
  <c r="P165" i="5"/>
  <c r="Q165" i="5" s="1"/>
  <c r="AG164" i="5"/>
  <c r="AD164" i="5"/>
  <c r="AC164" i="5"/>
  <c r="AB164" i="5"/>
  <c r="AA164" i="5"/>
  <c r="X164" i="5"/>
  <c r="W164" i="5"/>
  <c r="V164" i="5"/>
  <c r="U164" i="5"/>
  <c r="T164" i="5"/>
  <c r="S164" i="5"/>
  <c r="P164" i="5"/>
  <c r="Q164" i="5" s="1"/>
  <c r="AG163" i="5"/>
  <c r="AD163" i="5"/>
  <c r="AC163" i="5"/>
  <c r="AB163" i="5"/>
  <c r="AA163" i="5"/>
  <c r="X163" i="5"/>
  <c r="W163" i="5"/>
  <c r="V163" i="5"/>
  <c r="U163" i="5"/>
  <c r="T163" i="5"/>
  <c r="S163" i="5"/>
  <c r="R163" i="5"/>
  <c r="P163" i="5"/>
  <c r="Q163" i="5" s="1"/>
  <c r="AG162" i="5"/>
  <c r="AD162" i="5"/>
  <c r="AC162" i="5"/>
  <c r="AB162" i="5"/>
  <c r="AA162" i="5"/>
  <c r="X162" i="5"/>
  <c r="W162" i="5"/>
  <c r="V162" i="5"/>
  <c r="U162" i="5"/>
  <c r="T162" i="5"/>
  <c r="S162" i="5"/>
  <c r="P162" i="5"/>
  <c r="Q162" i="5" s="1"/>
  <c r="AG161" i="5"/>
  <c r="AD161" i="5"/>
  <c r="AC161" i="5"/>
  <c r="AB161" i="5"/>
  <c r="AA161" i="5"/>
  <c r="X161" i="5"/>
  <c r="W161" i="5"/>
  <c r="V161" i="5"/>
  <c r="U161" i="5"/>
  <c r="T161" i="5"/>
  <c r="S161" i="5"/>
  <c r="P161" i="5"/>
  <c r="Q161" i="5" s="1"/>
  <c r="R161" i="5" s="1"/>
  <c r="AG160" i="5"/>
  <c r="AD160" i="5"/>
  <c r="AC160" i="5"/>
  <c r="AB160" i="5"/>
  <c r="AA160" i="5"/>
  <c r="X160" i="5"/>
  <c r="W160" i="5"/>
  <c r="V160" i="5"/>
  <c r="U160" i="5"/>
  <c r="T160" i="5"/>
  <c r="S160" i="5"/>
  <c r="P160" i="5"/>
  <c r="AG159" i="5"/>
  <c r="AD159" i="5"/>
  <c r="AC159" i="5"/>
  <c r="AB159" i="5"/>
  <c r="AA159" i="5"/>
  <c r="X159" i="5"/>
  <c r="W159" i="5"/>
  <c r="V159" i="5"/>
  <c r="U159" i="5"/>
  <c r="T159" i="5"/>
  <c r="S159" i="5"/>
  <c r="P159" i="5"/>
  <c r="Q159" i="5" s="1"/>
  <c r="R159" i="5" s="1"/>
  <c r="AG158" i="5"/>
  <c r="AD158" i="5"/>
  <c r="AC158" i="5"/>
  <c r="AB158" i="5"/>
  <c r="AA158" i="5"/>
  <c r="X158" i="5"/>
  <c r="W158" i="5"/>
  <c r="V158" i="5"/>
  <c r="U158" i="5"/>
  <c r="T158" i="5"/>
  <c r="S158" i="5"/>
  <c r="P158" i="5"/>
  <c r="Q158" i="5" s="1"/>
  <c r="AG157" i="5"/>
  <c r="AD157" i="5"/>
  <c r="AC157" i="5"/>
  <c r="AB157" i="5"/>
  <c r="AA157" i="5"/>
  <c r="X157" i="5"/>
  <c r="W157" i="5"/>
  <c r="V157" i="5"/>
  <c r="U157" i="5"/>
  <c r="T157" i="5"/>
  <c r="S157" i="5"/>
  <c r="P157" i="5"/>
  <c r="AG156" i="5"/>
  <c r="AD156" i="5"/>
  <c r="AC156" i="5"/>
  <c r="AB156" i="5"/>
  <c r="AA156" i="5"/>
  <c r="X156" i="5"/>
  <c r="W156" i="5"/>
  <c r="V156" i="5"/>
  <c r="U156" i="5"/>
  <c r="T156" i="5"/>
  <c r="S156" i="5"/>
  <c r="P156" i="5"/>
  <c r="Q156" i="5" s="1"/>
  <c r="AG155" i="5"/>
  <c r="AD155" i="5"/>
  <c r="AC155" i="5"/>
  <c r="AB155" i="5"/>
  <c r="AA155" i="5"/>
  <c r="X155" i="5"/>
  <c r="W155" i="5"/>
  <c r="V155" i="5"/>
  <c r="U155" i="5"/>
  <c r="T155" i="5"/>
  <c r="S155" i="5"/>
  <c r="P155" i="5"/>
  <c r="Q155" i="5" s="1"/>
  <c r="R155" i="5" s="1"/>
  <c r="AG154" i="5"/>
  <c r="AD154" i="5"/>
  <c r="AC154" i="5"/>
  <c r="AB154" i="5"/>
  <c r="AA154" i="5"/>
  <c r="X154" i="5"/>
  <c r="W154" i="5"/>
  <c r="V154" i="5"/>
  <c r="U154" i="5"/>
  <c r="T154" i="5"/>
  <c r="S154" i="5"/>
  <c r="P154" i="5"/>
  <c r="Q154" i="5" s="1"/>
  <c r="AG153" i="5"/>
  <c r="AD153" i="5"/>
  <c r="AC153" i="5"/>
  <c r="AB153" i="5"/>
  <c r="AA153" i="5"/>
  <c r="X153" i="5"/>
  <c r="W153" i="5"/>
  <c r="V153" i="5"/>
  <c r="U153" i="5"/>
  <c r="T153" i="5"/>
  <c r="S153" i="5"/>
  <c r="P153" i="5"/>
  <c r="Q153" i="5" s="1"/>
  <c r="AG152" i="5"/>
  <c r="AD152" i="5"/>
  <c r="AC152" i="5"/>
  <c r="AB152" i="5"/>
  <c r="AA152" i="5"/>
  <c r="X152" i="5"/>
  <c r="W152" i="5"/>
  <c r="V152" i="5"/>
  <c r="U152" i="5"/>
  <c r="T152" i="5"/>
  <c r="S152" i="5"/>
  <c r="P152" i="5"/>
  <c r="AG151" i="5"/>
  <c r="AD151" i="5"/>
  <c r="AC151" i="5"/>
  <c r="AB151" i="5"/>
  <c r="AA151" i="5"/>
  <c r="X151" i="5"/>
  <c r="W151" i="5"/>
  <c r="V151" i="5"/>
  <c r="U151" i="5"/>
  <c r="T151" i="5"/>
  <c r="S151" i="5"/>
  <c r="P151" i="5"/>
  <c r="Q151" i="5" s="1"/>
  <c r="R151" i="5" s="1"/>
  <c r="AG150" i="5"/>
  <c r="AD150" i="5"/>
  <c r="AC150" i="5"/>
  <c r="AB150" i="5"/>
  <c r="AA150" i="5"/>
  <c r="X150" i="5"/>
  <c r="W150" i="5"/>
  <c r="V150" i="5"/>
  <c r="U150" i="5"/>
  <c r="T150" i="5"/>
  <c r="S150" i="5"/>
  <c r="P150" i="5"/>
  <c r="AG149" i="5"/>
  <c r="AD149" i="5"/>
  <c r="AC149" i="5"/>
  <c r="AB149" i="5"/>
  <c r="AA149" i="5"/>
  <c r="X149" i="5"/>
  <c r="W149" i="5"/>
  <c r="V149" i="5"/>
  <c r="U149" i="5"/>
  <c r="T149" i="5"/>
  <c r="S149" i="5"/>
  <c r="P149" i="5"/>
  <c r="Q149" i="5" s="1"/>
  <c r="R149" i="5" s="1"/>
  <c r="AG148" i="5"/>
  <c r="AD148" i="5"/>
  <c r="AC148" i="5"/>
  <c r="AB148" i="5"/>
  <c r="AA148" i="5"/>
  <c r="X148" i="5"/>
  <c r="W148" i="5"/>
  <c r="V148" i="5"/>
  <c r="U148" i="5"/>
  <c r="T148" i="5"/>
  <c r="S148" i="5"/>
  <c r="P148" i="5"/>
  <c r="Q148" i="5" s="1"/>
  <c r="AG147" i="5"/>
  <c r="AD147" i="5"/>
  <c r="AC147" i="5"/>
  <c r="AB147" i="5"/>
  <c r="AA147" i="5"/>
  <c r="X147" i="5"/>
  <c r="W147" i="5"/>
  <c r="V147" i="5"/>
  <c r="U147" i="5"/>
  <c r="T147" i="5"/>
  <c r="S147" i="5"/>
  <c r="P147" i="5"/>
  <c r="Q147" i="5" s="1"/>
  <c r="R147" i="5" s="1"/>
  <c r="AG146" i="5"/>
  <c r="AD146" i="5"/>
  <c r="AC146" i="5"/>
  <c r="AB146" i="5"/>
  <c r="AA146" i="5"/>
  <c r="X146" i="5"/>
  <c r="W146" i="5"/>
  <c r="V146" i="5"/>
  <c r="U146" i="5"/>
  <c r="T146" i="5"/>
  <c r="S146" i="5"/>
  <c r="P146" i="5"/>
  <c r="AG145" i="5"/>
  <c r="AD145" i="5"/>
  <c r="AC145" i="5"/>
  <c r="AB145" i="5"/>
  <c r="AA145" i="5"/>
  <c r="X145" i="5"/>
  <c r="W145" i="5"/>
  <c r="V145" i="5"/>
  <c r="U145" i="5"/>
  <c r="T145" i="5"/>
  <c r="S145" i="5"/>
  <c r="P145" i="5"/>
  <c r="Q145" i="5" s="1"/>
  <c r="AG144" i="5"/>
  <c r="AD144" i="5"/>
  <c r="AC144" i="5"/>
  <c r="AB144" i="5"/>
  <c r="AA144" i="5"/>
  <c r="X144" i="5"/>
  <c r="W144" i="5"/>
  <c r="V144" i="5"/>
  <c r="U144" i="5"/>
  <c r="T144" i="5"/>
  <c r="S144" i="5"/>
  <c r="R144" i="5"/>
  <c r="P144" i="5"/>
  <c r="Q144" i="5" s="1"/>
  <c r="AG143" i="5"/>
  <c r="AD143" i="5"/>
  <c r="AC143" i="5"/>
  <c r="AB143" i="5"/>
  <c r="AA143" i="5"/>
  <c r="X143" i="5"/>
  <c r="W143" i="5"/>
  <c r="V143" i="5"/>
  <c r="U143" i="5"/>
  <c r="T143" i="5"/>
  <c r="S143" i="5"/>
  <c r="P143" i="5"/>
  <c r="Q143" i="5" s="1"/>
  <c r="R143" i="5" s="1"/>
  <c r="AG142" i="5"/>
  <c r="AD142" i="5"/>
  <c r="AC142" i="5"/>
  <c r="AB142" i="5"/>
  <c r="AA142" i="5"/>
  <c r="X142" i="5"/>
  <c r="W142" i="5"/>
  <c r="V142" i="5"/>
  <c r="U142" i="5"/>
  <c r="T142" i="5"/>
  <c r="S142" i="5"/>
  <c r="P142" i="5"/>
  <c r="AG141" i="5"/>
  <c r="AD141" i="5"/>
  <c r="AC141" i="5"/>
  <c r="AB141" i="5"/>
  <c r="AA141" i="5"/>
  <c r="X141" i="5"/>
  <c r="W141" i="5"/>
  <c r="V141" i="5"/>
  <c r="U141" i="5"/>
  <c r="T141" i="5"/>
  <c r="S141" i="5"/>
  <c r="P141" i="5"/>
  <c r="Q141" i="5" s="1"/>
  <c r="R141" i="5" s="1"/>
  <c r="AG140" i="5"/>
  <c r="AD140" i="5"/>
  <c r="AC140" i="5"/>
  <c r="AB140" i="5"/>
  <c r="AA140" i="5"/>
  <c r="X140" i="5"/>
  <c r="W140" i="5"/>
  <c r="V140" i="5"/>
  <c r="U140" i="5"/>
  <c r="T140" i="5"/>
  <c r="S140" i="5"/>
  <c r="P140" i="5"/>
  <c r="Q140" i="5" s="1"/>
  <c r="AG139" i="5"/>
  <c r="AD139" i="5"/>
  <c r="AC139" i="5"/>
  <c r="AB139" i="5"/>
  <c r="AA139" i="5"/>
  <c r="X139" i="5"/>
  <c r="W139" i="5"/>
  <c r="V139" i="5"/>
  <c r="U139" i="5"/>
  <c r="T139" i="5"/>
  <c r="S139" i="5"/>
  <c r="P139" i="5"/>
  <c r="Q139" i="5" s="1"/>
  <c r="R139" i="5" s="1"/>
  <c r="AG138" i="5"/>
  <c r="AD138" i="5"/>
  <c r="AC138" i="5"/>
  <c r="AB138" i="5"/>
  <c r="AA138" i="5"/>
  <c r="X138" i="5"/>
  <c r="W138" i="5"/>
  <c r="V138" i="5"/>
  <c r="U138" i="5"/>
  <c r="T138" i="5"/>
  <c r="S138" i="5"/>
  <c r="P138" i="5"/>
  <c r="Q138" i="5" s="1"/>
  <c r="AG137" i="5"/>
  <c r="AD137" i="5"/>
  <c r="AC137" i="5"/>
  <c r="AB137" i="5"/>
  <c r="AA137" i="5"/>
  <c r="X137" i="5"/>
  <c r="W137" i="5"/>
  <c r="V137" i="5"/>
  <c r="U137" i="5"/>
  <c r="T137" i="5"/>
  <c r="S137" i="5"/>
  <c r="P137" i="5"/>
  <c r="AG136" i="5"/>
  <c r="AD136" i="5"/>
  <c r="AC136" i="5"/>
  <c r="AB136" i="5"/>
  <c r="AA136" i="5"/>
  <c r="X136" i="5"/>
  <c r="W136" i="5"/>
  <c r="V136" i="5"/>
  <c r="U136" i="5"/>
  <c r="T136" i="5"/>
  <c r="S136" i="5"/>
  <c r="P136" i="5"/>
  <c r="Q136" i="5" s="1"/>
  <c r="AG135" i="5"/>
  <c r="AD135" i="5"/>
  <c r="AC135" i="5"/>
  <c r="AB135" i="5"/>
  <c r="AA135" i="5"/>
  <c r="X135" i="5"/>
  <c r="W135" i="5"/>
  <c r="V135" i="5"/>
  <c r="U135" i="5"/>
  <c r="T135" i="5"/>
  <c r="S135" i="5"/>
  <c r="P135" i="5"/>
  <c r="Q135" i="5" s="1"/>
  <c r="R135" i="5" s="1"/>
  <c r="AG134" i="5"/>
  <c r="AD134" i="5"/>
  <c r="AC134" i="5"/>
  <c r="AB134" i="5"/>
  <c r="AA134" i="5"/>
  <c r="X134" i="5"/>
  <c r="W134" i="5"/>
  <c r="V134" i="5"/>
  <c r="U134" i="5"/>
  <c r="T134" i="5"/>
  <c r="S134" i="5"/>
  <c r="P134" i="5"/>
  <c r="AG133" i="5"/>
  <c r="AD133" i="5"/>
  <c r="AC133" i="5"/>
  <c r="AB133" i="5"/>
  <c r="AA133" i="5"/>
  <c r="X133" i="5"/>
  <c r="W133" i="5"/>
  <c r="V133" i="5"/>
  <c r="U133" i="5"/>
  <c r="T133" i="5"/>
  <c r="S133" i="5"/>
  <c r="P133" i="5"/>
  <c r="Q133" i="5" s="1"/>
  <c r="R133" i="5" s="1"/>
  <c r="AG132" i="5"/>
  <c r="AD132" i="5"/>
  <c r="AC132" i="5"/>
  <c r="AB132" i="5"/>
  <c r="AA132" i="5"/>
  <c r="X132" i="5"/>
  <c r="W132" i="5"/>
  <c r="V132" i="5"/>
  <c r="U132" i="5"/>
  <c r="T132" i="5"/>
  <c r="S132" i="5"/>
  <c r="P132" i="5"/>
  <c r="Q132" i="5" s="1"/>
  <c r="AG131" i="5"/>
  <c r="AD131" i="5"/>
  <c r="AC131" i="5"/>
  <c r="AB131" i="5"/>
  <c r="AA131" i="5"/>
  <c r="X131" i="5"/>
  <c r="W131" i="5"/>
  <c r="V131" i="5"/>
  <c r="U131" i="5"/>
  <c r="T131" i="5"/>
  <c r="S131" i="5"/>
  <c r="P131" i="5"/>
  <c r="Q131" i="5" s="1"/>
  <c r="R131" i="5" s="1"/>
  <c r="AG130" i="5"/>
  <c r="AD130" i="5"/>
  <c r="AC130" i="5"/>
  <c r="AB130" i="5"/>
  <c r="AA130" i="5"/>
  <c r="X130" i="5"/>
  <c r="W130" i="5"/>
  <c r="V130" i="5"/>
  <c r="U130" i="5"/>
  <c r="T130" i="5"/>
  <c r="S130" i="5"/>
  <c r="P130" i="5"/>
  <c r="Q130" i="5" s="1"/>
  <c r="AG129" i="5"/>
  <c r="AD129" i="5"/>
  <c r="AC129" i="5"/>
  <c r="AB129" i="5"/>
  <c r="AA129" i="5"/>
  <c r="X129" i="5"/>
  <c r="W129" i="5"/>
  <c r="V129" i="5"/>
  <c r="U129" i="5"/>
  <c r="T129" i="5"/>
  <c r="S129" i="5"/>
  <c r="P129" i="5"/>
  <c r="AG128" i="5"/>
  <c r="AD128" i="5"/>
  <c r="AC128" i="5"/>
  <c r="AB128" i="5"/>
  <c r="AA128" i="5"/>
  <c r="X128" i="5"/>
  <c r="W128" i="5"/>
  <c r="V128" i="5"/>
  <c r="U128" i="5"/>
  <c r="T128" i="5"/>
  <c r="S128" i="5"/>
  <c r="P128" i="5"/>
  <c r="Q128" i="5" s="1"/>
  <c r="AG127" i="5"/>
  <c r="AD127" i="5"/>
  <c r="AC127" i="5"/>
  <c r="AB127" i="5"/>
  <c r="AA127" i="5"/>
  <c r="X127" i="5"/>
  <c r="W127" i="5"/>
  <c r="V127" i="5"/>
  <c r="U127" i="5"/>
  <c r="T127" i="5"/>
  <c r="S127" i="5"/>
  <c r="P127" i="5"/>
  <c r="Q127" i="5" s="1"/>
  <c r="R127" i="5" s="1"/>
  <c r="AG126" i="5"/>
  <c r="AD126" i="5"/>
  <c r="AC126" i="5"/>
  <c r="AB126" i="5"/>
  <c r="AA126" i="5"/>
  <c r="X126" i="5"/>
  <c r="W126" i="5"/>
  <c r="V126" i="5"/>
  <c r="U126" i="5"/>
  <c r="T126" i="5"/>
  <c r="S126" i="5"/>
  <c r="P126" i="5"/>
  <c r="Q126" i="5" s="1"/>
  <c r="AG125" i="5"/>
  <c r="AD125" i="5"/>
  <c r="AC125" i="5"/>
  <c r="AB125" i="5"/>
  <c r="AA125" i="5"/>
  <c r="X125" i="5"/>
  <c r="W125" i="5"/>
  <c r="V125" i="5"/>
  <c r="U125" i="5"/>
  <c r="T125" i="5"/>
  <c r="S125" i="5"/>
  <c r="P125" i="5"/>
  <c r="AG124" i="5"/>
  <c r="AD124" i="5"/>
  <c r="AC124" i="5"/>
  <c r="AB124" i="5"/>
  <c r="AA124" i="5"/>
  <c r="X124" i="5"/>
  <c r="W124" i="5"/>
  <c r="V124" i="5"/>
  <c r="U124" i="5"/>
  <c r="T124" i="5"/>
  <c r="S124" i="5"/>
  <c r="P124" i="5"/>
  <c r="Q124" i="5" s="1"/>
  <c r="AG123" i="5"/>
  <c r="AD123" i="5"/>
  <c r="AC123" i="5"/>
  <c r="AB123" i="5"/>
  <c r="AA123" i="5"/>
  <c r="X123" i="5"/>
  <c r="W123" i="5"/>
  <c r="V123" i="5"/>
  <c r="U123" i="5"/>
  <c r="T123" i="5"/>
  <c r="S123" i="5"/>
  <c r="P123" i="5"/>
  <c r="Q123" i="5" s="1"/>
  <c r="R123" i="5" s="1"/>
  <c r="AG122" i="5"/>
  <c r="AD122" i="5"/>
  <c r="AC122" i="5"/>
  <c r="AB122" i="5"/>
  <c r="AA122" i="5"/>
  <c r="X122" i="5"/>
  <c r="W122" i="5"/>
  <c r="V122" i="5"/>
  <c r="U122" i="5"/>
  <c r="T122" i="5"/>
  <c r="S122" i="5"/>
  <c r="P122" i="5"/>
  <c r="AG121" i="5"/>
  <c r="AD121" i="5"/>
  <c r="AC121" i="5"/>
  <c r="AB121" i="5"/>
  <c r="AA121" i="5"/>
  <c r="X121" i="5"/>
  <c r="W121" i="5"/>
  <c r="V121" i="5"/>
  <c r="U121" i="5"/>
  <c r="T121" i="5"/>
  <c r="S121" i="5"/>
  <c r="P121" i="5"/>
  <c r="Q121" i="5" s="1"/>
  <c r="R121" i="5" s="1"/>
  <c r="AG120" i="5"/>
  <c r="AD120" i="5"/>
  <c r="AC120" i="5"/>
  <c r="AB120" i="5"/>
  <c r="AA120" i="5"/>
  <c r="X120" i="5"/>
  <c r="W120" i="5"/>
  <c r="V120" i="5"/>
  <c r="U120" i="5"/>
  <c r="T120" i="5"/>
  <c r="S120" i="5"/>
  <c r="P120" i="5"/>
  <c r="Q120" i="5" s="1"/>
  <c r="AG119" i="5"/>
  <c r="AD119" i="5"/>
  <c r="AC119" i="5"/>
  <c r="AB119" i="5"/>
  <c r="AA119" i="5"/>
  <c r="X119" i="5"/>
  <c r="W119" i="5"/>
  <c r="V119" i="5"/>
  <c r="U119" i="5"/>
  <c r="T119" i="5"/>
  <c r="S119" i="5"/>
  <c r="P119" i="5"/>
  <c r="Q119" i="5" s="1"/>
  <c r="R119" i="5" s="1"/>
  <c r="AG118" i="5"/>
  <c r="AD118" i="5"/>
  <c r="AC118" i="5"/>
  <c r="AB118" i="5"/>
  <c r="AA118" i="5"/>
  <c r="X118" i="5"/>
  <c r="W118" i="5"/>
  <c r="V118" i="5"/>
  <c r="U118" i="5"/>
  <c r="T118" i="5"/>
  <c r="S118" i="5"/>
  <c r="P118" i="5"/>
  <c r="Q118" i="5" s="1"/>
  <c r="AG117" i="5"/>
  <c r="AD117" i="5"/>
  <c r="AC117" i="5"/>
  <c r="AB117" i="5"/>
  <c r="AA117" i="5"/>
  <c r="X117" i="5"/>
  <c r="W117" i="5"/>
  <c r="V117" i="5"/>
  <c r="U117" i="5"/>
  <c r="T117" i="5"/>
  <c r="S117" i="5"/>
  <c r="P117" i="5"/>
  <c r="AG116" i="5"/>
  <c r="AD116" i="5"/>
  <c r="AC116" i="5"/>
  <c r="AB116" i="5"/>
  <c r="AA116" i="5"/>
  <c r="X116" i="5"/>
  <c r="W116" i="5"/>
  <c r="V116" i="5"/>
  <c r="U116" i="5"/>
  <c r="T116" i="5"/>
  <c r="S116" i="5"/>
  <c r="P116" i="5"/>
  <c r="Q116" i="5" s="1"/>
  <c r="AG115" i="5"/>
  <c r="AD115" i="5"/>
  <c r="AC115" i="5"/>
  <c r="AB115" i="5"/>
  <c r="AA115" i="5"/>
  <c r="X115" i="5"/>
  <c r="W115" i="5"/>
  <c r="V115" i="5"/>
  <c r="U115" i="5"/>
  <c r="T115" i="5"/>
  <c r="S115" i="5"/>
  <c r="P115" i="5"/>
  <c r="Q115" i="5" s="1"/>
  <c r="R115" i="5" s="1"/>
  <c r="AG114" i="5"/>
  <c r="AD114" i="5"/>
  <c r="AC114" i="5"/>
  <c r="AB114" i="5"/>
  <c r="AA114" i="5"/>
  <c r="X114" i="5"/>
  <c r="W114" i="5"/>
  <c r="V114" i="5"/>
  <c r="U114" i="5"/>
  <c r="T114" i="5"/>
  <c r="S114" i="5"/>
  <c r="P114" i="5"/>
  <c r="Q114" i="5" s="1"/>
  <c r="AG113" i="5"/>
  <c r="AD113" i="5"/>
  <c r="AC113" i="5"/>
  <c r="AB113" i="5"/>
  <c r="AA113" i="5"/>
  <c r="X113" i="5"/>
  <c r="W113" i="5"/>
  <c r="V113" i="5"/>
  <c r="U113" i="5"/>
  <c r="T113" i="5"/>
  <c r="S113" i="5"/>
  <c r="P113" i="5"/>
  <c r="AG112" i="5"/>
  <c r="AD112" i="5"/>
  <c r="AC112" i="5"/>
  <c r="AB112" i="5"/>
  <c r="AA112" i="5"/>
  <c r="X112" i="5"/>
  <c r="W112" i="5"/>
  <c r="V112" i="5"/>
  <c r="U112" i="5"/>
  <c r="T112" i="5"/>
  <c r="S112" i="5"/>
  <c r="P112" i="5"/>
  <c r="Q112" i="5" s="1"/>
  <c r="AG111" i="5"/>
  <c r="AD111" i="5"/>
  <c r="AC111" i="5"/>
  <c r="AB111" i="5"/>
  <c r="AA111" i="5"/>
  <c r="X111" i="5"/>
  <c r="W111" i="5"/>
  <c r="V111" i="5"/>
  <c r="U111" i="5"/>
  <c r="T111" i="5"/>
  <c r="S111" i="5"/>
  <c r="P111" i="5"/>
  <c r="AG110" i="5"/>
  <c r="AD110" i="5"/>
  <c r="AC110" i="5"/>
  <c r="AB110" i="5"/>
  <c r="AA110" i="5"/>
  <c r="X110" i="5"/>
  <c r="W110" i="5"/>
  <c r="V110" i="5"/>
  <c r="U110" i="5"/>
  <c r="T110" i="5"/>
  <c r="S110" i="5"/>
  <c r="P110" i="5"/>
  <c r="AG109" i="5"/>
  <c r="AD109" i="5"/>
  <c r="AC109" i="5"/>
  <c r="AB109" i="5"/>
  <c r="AA109" i="5"/>
  <c r="X109" i="5"/>
  <c r="W109" i="5"/>
  <c r="V109" i="5"/>
  <c r="U109" i="5"/>
  <c r="T109" i="5"/>
  <c r="S109" i="5"/>
  <c r="P109" i="5"/>
  <c r="Q109" i="5" s="1"/>
  <c r="R109" i="5" s="1"/>
  <c r="AG108" i="5"/>
  <c r="AD108" i="5"/>
  <c r="AC108" i="5"/>
  <c r="AB108" i="5"/>
  <c r="AA108" i="5"/>
  <c r="X108" i="5"/>
  <c r="W108" i="5"/>
  <c r="V108" i="5"/>
  <c r="U108" i="5"/>
  <c r="T108" i="5"/>
  <c r="S108" i="5"/>
  <c r="P108" i="5"/>
  <c r="Q108" i="5" s="1"/>
  <c r="R108" i="5" s="1"/>
  <c r="AG107" i="5"/>
  <c r="AD107" i="5"/>
  <c r="AC107" i="5"/>
  <c r="AB107" i="5"/>
  <c r="AA107" i="5"/>
  <c r="X107" i="5"/>
  <c r="W107" i="5"/>
  <c r="V107" i="5"/>
  <c r="U107" i="5"/>
  <c r="T107" i="5"/>
  <c r="S107" i="5"/>
  <c r="P107" i="5"/>
  <c r="AG106" i="5"/>
  <c r="AD106" i="5"/>
  <c r="AC106" i="5"/>
  <c r="AB106" i="5"/>
  <c r="AA106" i="5"/>
  <c r="X106" i="5"/>
  <c r="W106" i="5"/>
  <c r="V106" i="5"/>
  <c r="U106" i="5"/>
  <c r="T106" i="5"/>
  <c r="S106" i="5"/>
  <c r="P106" i="5"/>
  <c r="AG105" i="5"/>
  <c r="AD105" i="5"/>
  <c r="AC105" i="5"/>
  <c r="AB105" i="5"/>
  <c r="AA105" i="5"/>
  <c r="X105" i="5"/>
  <c r="W105" i="5"/>
  <c r="V105" i="5"/>
  <c r="U105" i="5"/>
  <c r="T105" i="5"/>
  <c r="S105" i="5"/>
  <c r="P105" i="5"/>
  <c r="AG104" i="5"/>
  <c r="AD104" i="5"/>
  <c r="AC104" i="5"/>
  <c r="AB104" i="5"/>
  <c r="AA104" i="5"/>
  <c r="X104" i="5"/>
  <c r="W104" i="5"/>
  <c r="V104" i="5"/>
  <c r="U104" i="5"/>
  <c r="T104" i="5"/>
  <c r="S104" i="5"/>
  <c r="P104" i="5"/>
  <c r="AG103" i="5"/>
  <c r="AD103" i="5"/>
  <c r="AC103" i="5"/>
  <c r="AB103" i="5"/>
  <c r="AA103" i="5"/>
  <c r="X103" i="5"/>
  <c r="W103" i="5"/>
  <c r="V103" i="5"/>
  <c r="U103" i="5"/>
  <c r="T103" i="5"/>
  <c r="S103" i="5"/>
  <c r="P103" i="5"/>
  <c r="Q103" i="5" s="1"/>
  <c r="R103" i="5" s="1"/>
  <c r="AG102" i="5"/>
  <c r="AD102" i="5"/>
  <c r="AC102" i="5"/>
  <c r="AB102" i="5"/>
  <c r="AA102" i="5"/>
  <c r="X102" i="5"/>
  <c r="W102" i="5"/>
  <c r="V102" i="5"/>
  <c r="U102" i="5"/>
  <c r="T102" i="5"/>
  <c r="S102" i="5"/>
  <c r="P102" i="5"/>
  <c r="AG101" i="5"/>
  <c r="AD101" i="5"/>
  <c r="AC101" i="5"/>
  <c r="AB101" i="5"/>
  <c r="AA101" i="5"/>
  <c r="X101" i="5"/>
  <c r="W101" i="5"/>
  <c r="V101" i="5"/>
  <c r="U101" i="5"/>
  <c r="T101" i="5"/>
  <c r="S101" i="5"/>
  <c r="P101" i="5"/>
  <c r="AG100" i="5"/>
  <c r="AD100" i="5"/>
  <c r="AC100" i="5"/>
  <c r="AB100" i="5"/>
  <c r="AA100" i="5"/>
  <c r="X100" i="5"/>
  <c r="W100" i="5"/>
  <c r="V100" i="5"/>
  <c r="U100" i="5"/>
  <c r="T100" i="5"/>
  <c r="S100" i="5"/>
  <c r="P100" i="5"/>
  <c r="AG99" i="5"/>
  <c r="AD99" i="5"/>
  <c r="AC99" i="5"/>
  <c r="AB99" i="5"/>
  <c r="AA99" i="5"/>
  <c r="X99" i="5"/>
  <c r="W99" i="5"/>
  <c r="V99" i="5"/>
  <c r="U99" i="5"/>
  <c r="T99" i="5"/>
  <c r="S99" i="5"/>
  <c r="P99" i="5"/>
  <c r="Q99" i="5" s="1"/>
  <c r="R99" i="5" s="1"/>
  <c r="AG98" i="5"/>
  <c r="AD98" i="5"/>
  <c r="AC98" i="5"/>
  <c r="AB98" i="5"/>
  <c r="AA98" i="5"/>
  <c r="X98" i="5"/>
  <c r="W98" i="5"/>
  <c r="V98" i="5"/>
  <c r="U98" i="5"/>
  <c r="T98" i="5"/>
  <c r="S98" i="5"/>
  <c r="P98" i="5"/>
  <c r="AG97" i="5"/>
  <c r="AD97" i="5"/>
  <c r="AC97" i="5"/>
  <c r="AB97" i="5"/>
  <c r="AA97" i="5"/>
  <c r="X97" i="5"/>
  <c r="W97" i="5"/>
  <c r="V97" i="5"/>
  <c r="U97" i="5"/>
  <c r="T97" i="5"/>
  <c r="S97" i="5"/>
  <c r="P97" i="5"/>
  <c r="AG96" i="5"/>
  <c r="AD96" i="5"/>
  <c r="AC96" i="5"/>
  <c r="AB96" i="5"/>
  <c r="AA96" i="5"/>
  <c r="X96" i="5"/>
  <c r="W96" i="5"/>
  <c r="V96" i="5"/>
  <c r="U96" i="5"/>
  <c r="T96" i="5"/>
  <c r="S96" i="5"/>
  <c r="P96" i="5"/>
  <c r="AG95" i="5"/>
  <c r="AD95" i="5"/>
  <c r="AC95" i="5"/>
  <c r="AB95" i="5"/>
  <c r="AA95" i="5"/>
  <c r="X95" i="5"/>
  <c r="W95" i="5"/>
  <c r="V95" i="5"/>
  <c r="U95" i="5"/>
  <c r="T95" i="5"/>
  <c r="S95" i="5"/>
  <c r="P95" i="5"/>
  <c r="Q95" i="5" s="1"/>
  <c r="R95" i="5" s="1"/>
  <c r="AG94" i="5"/>
  <c r="AD94" i="5"/>
  <c r="AC94" i="5"/>
  <c r="AB94" i="5"/>
  <c r="AA94" i="5"/>
  <c r="X94" i="5"/>
  <c r="W94" i="5"/>
  <c r="V94" i="5"/>
  <c r="U94" i="5"/>
  <c r="T94" i="5"/>
  <c r="S94" i="5"/>
  <c r="P94" i="5"/>
  <c r="AG93" i="5"/>
  <c r="AD93" i="5"/>
  <c r="AC93" i="5"/>
  <c r="AB93" i="5"/>
  <c r="AA93" i="5"/>
  <c r="X93" i="5"/>
  <c r="W93" i="5"/>
  <c r="V93" i="5"/>
  <c r="U93" i="5"/>
  <c r="T93" i="5"/>
  <c r="S93" i="5"/>
  <c r="P93" i="5"/>
  <c r="Q93" i="5" s="1"/>
  <c r="R93" i="5" s="1"/>
  <c r="AG92" i="5"/>
  <c r="AD92" i="5"/>
  <c r="AC92" i="5"/>
  <c r="AB92" i="5"/>
  <c r="AA92" i="5"/>
  <c r="X92" i="5"/>
  <c r="W92" i="5"/>
  <c r="V92" i="5"/>
  <c r="U92" i="5"/>
  <c r="T92" i="5"/>
  <c r="S92" i="5"/>
  <c r="P92" i="5"/>
  <c r="AG91" i="5"/>
  <c r="AD91" i="5"/>
  <c r="AC91" i="5"/>
  <c r="AB91" i="5"/>
  <c r="AA91" i="5"/>
  <c r="X91" i="5"/>
  <c r="W91" i="5"/>
  <c r="V91" i="5"/>
  <c r="U91" i="5"/>
  <c r="T91" i="5"/>
  <c r="S91" i="5"/>
  <c r="P91" i="5"/>
  <c r="Q91" i="5" s="1"/>
  <c r="R91" i="5" s="1"/>
  <c r="AG90" i="5"/>
  <c r="AD90" i="5"/>
  <c r="AC90" i="5"/>
  <c r="AB90" i="5"/>
  <c r="AA90" i="5"/>
  <c r="X90" i="5"/>
  <c r="W90" i="5"/>
  <c r="V90" i="5"/>
  <c r="U90" i="5"/>
  <c r="T90" i="5"/>
  <c r="S90" i="5"/>
  <c r="P90" i="5"/>
  <c r="AG89" i="5"/>
  <c r="AD89" i="5"/>
  <c r="AC89" i="5"/>
  <c r="AB89" i="5"/>
  <c r="AA89" i="5"/>
  <c r="X89" i="5"/>
  <c r="W89" i="5"/>
  <c r="V89" i="5"/>
  <c r="U89" i="5"/>
  <c r="T89" i="5"/>
  <c r="S89" i="5"/>
  <c r="P89" i="5"/>
  <c r="Q89" i="5" s="1"/>
  <c r="AG88" i="5"/>
  <c r="AD88" i="5"/>
  <c r="AC88" i="5"/>
  <c r="AB88" i="5"/>
  <c r="AA88" i="5"/>
  <c r="X88" i="5"/>
  <c r="W88" i="5"/>
  <c r="V88" i="5"/>
  <c r="U88" i="5"/>
  <c r="T88" i="5"/>
  <c r="S88" i="5"/>
  <c r="P88" i="5"/>
  <c r="AG87" i="5"/>
  <c r="AD87" i="5"/>
  <c r="AC87" i="5"/>
  <c r="AB87" i="5"/>
  <c r="AA87" i="5"/>
  <c r="X87" i="5"/>
  <c r="W87" i="5"/>
  <c r="V87" i="5"/>
  <c r="U87" i="5"/>
  <c r="T87" i="5"/>
  <c r="S87" i="5"/>
  <c r="P87" i="5"/>
  <c r="Q87" i="5" s="1"/>
  <c r="R87" i="5" s="1"/>
  <c r="AG86" i="5"/>
  <c r="AD86" i="5"/>
  <c r="AC86" i="5"/>
  <c r="AB86" i="5"/>
  <c r="AA86" i="5"/>
  <c r="X86" i="5"/>
  <c r="W86" i="5"/>
  <c r="V86" i="5"/>
  <c r="U86" i="5"/>
  <c r="T86" i="5"/>
  <c r="S86" i="5"/>
  <c r="P86" i="5"/>
  <c r="AG85" i="5"/>
  <c r="AD85" i="5"/>
  <c r="AC85" i="5"/>
  <c r="AB85" i="5"/>
  <c r="AA85" i="5"/>
  <c r="X85" i="5"/>
  <c r="W85" i="5"/>
  <c r="V85" i="5"/>
  <c r="U85" i="5"/>
  <c r="T85" i="5"/>
  <c r="S85" i="5"/>
  <c r="P85" i="5"/>
  <c r="Q85" i="5" s="1"/>
  <c r="AG84" i="5"/>
  <c r="AD84" i="5"/>
  <c r="AC84" i="5"/>
  <c r="AB84" i="5"/>
  <c r="AA84" i="5"/>
  <c r="X84" i="5"/>
  <c r="W84" i="5"/>
  <c r="V84" i="5"/>
  <c r="U84" i="5"/>
  <c r="T84" i="5"/>
  <c r="S84" i="5"/>
  <c r="P84" i="5"/>
  <c r="AG83" i="5"/>
  <c r="AD83" i="5"/>
  <c r="AC83" i="5"/>
  <c r="AB83" i="5"/>
  <c r="AA83" i="5"/>
  <c r="X83" i="5"/>
  <c r="W83" i="5"/>
  <c r="V83" i="5"/>
  <c r="U83" i="5"/>
  <c r="T83" i="5"/>
  <c r="S83" i="5"/>
  <c r="R83" i="5"/>
  <c r="P83" i="5"/>
  <c r="Q83" i="5" s="1"/>
  <c r="AG82" i="5"/>
  <c r="AD82" i="5"/>
  <c r="AC82" i="5"/>
  <c r="AB82" i="5"/>
  <c r="AA82" i="5"/>
  <c r="X82" i="5"/>
  <c r="W82" i="5"/>
  <c r="V82" i="5"/>
  <c r="U82" i="5"/>
  <c r="T82" i="5"/>
  <c r="S82" i="5"/>
  <c r="P82" i="5"/>
  <c r="AG81" i="5"/>
  <c r="AD81" i="5"/>
  <c r="AC81" i="5"/>
  <c r="AB81" i="5"/>
  <c r="AA81" i="5"/>
  <c r="X81" i="5"/>
  <c r="W81" i="5"/>
  <c r="V81" i="5"/>
  <c r="U81" i="5"/>
  <c r="T81" i="5"/>
  <c r="S81" i="5"/>
  <c r="P81" i="5"/>
  <c r="Q81" i="5" s="1"/>
  <c r="AG80" i="5"/>
  <c r="AD80" i="5"/>
  <c r="AC80" i="5"/>
  <c r="AB80" i="5"/>
  <c r="AA80" i="5"/>
  <c r="X80" i="5"/>
  <c r="W80" i="5"/>
  <c r="V80" i="5"/>
  <c r="U80" i="5"/>
  <c r="T80" i="5"/>
  <c r="S80" i="5"/>
  <c r="P80" i="5"/>
  <c r="AG79" i="5"/>
  <c r="AD79" i="5"/>
  <c r="AC79" i="5"/>
  <c r="AB79" i="5"/>
  <c r="AA79" i="5"/>
  <c r="X79" i="5"/>
  <c r="W79" i="5"/>
  <c r="V79" i="5"/>
  <c r="U79" i="5"/>
  <c r="T79" i="5"/>
  <c r="S79" i="5"/>
  <c r="P79" i="5"/>
  <c r="Q79" i="5" s="1"/>
  <c r="R79" i="5" s="1"/>
  <c r="AG78" i="5"/>
  <c r="AD78" i="5"/>
  <c r="AC78" i="5"/>
  <c r="AB78" i="5"/>
  <c r="AA78" i="5"/>
  <c r="X78" i="5"/>
  <c r="W78" i="5"/>
  <c r="V78" i="5"/>
  <c r="U78" i="5"/>
  <c r="T78" i="5"/>
  <c r="S78" i="5"/>
  <c r="P78" i="5"/>
  <c r="AG77" i="5"/>
  <c r="AD77" i="5"/>
  <c r="AC77" i="5"/>
  <c r="AB77" i="5"/>
  <c r="AA77" i="5"/>
  <c r="X77" i="5"/>
  <c r="W77" i="5"/>
  <c r="V77" i="5"/>
  <c r="U77" i="5"/>
  <c r="T77" i="5"/>
  <c r="S77" i="5"/>
  <c r="P77" i="5"/>
  <c r="Q77" i="5" s="1"/>
  <c r="R77" i="5" s="1"/>
  <c r="AG76" i="5"/>
  <c r="AD76" i="5"/>
  <c r="AC76" i="5"/>
  <c r="AB76" i="5"/>
  <c r="AA76" i="5"/>
  <c r="X76" i="5"/>
  <c r="W76" i="5"/>
  <c r="V76" i="5"/>
  <c r="U76" i="5"/>
  <c r="T76" i="5"/>
  <c r="S76" i="5"/>
  <c r="P76" i="5"/>
  <c r="AG75" i="5"/>
  <c r="AD75" i="5"/>
  <c r="AC75" i="5"/>
  <c r="AB75" i="5"/>
  <c r="AA75" i="5"/>
  <c r="X75" i="5"/>
  <c r="W75" i="5"/>
  <c r="V75" i="5"/>
  <c r="U75" i="5"/>
  <c r="T75" i="5"/>
  <c r="S75" i="5"/>
  <c r="P75" i="5"/>
  <c r="Q75" i="5" s="1"/>
  <c r="R75" i="5" s="1"/>
  <c r="AG74" i="5"/>
  <c r="AD74" i="5"/>
  <c r="AC74" i="5"/>
  <c r="AB74" i="5"/>
  <c r="AA74" i="5"/>
  <c r="X74" i="5"/>
  <c r="W74" i="5"/>
  <c r="V74" i="5"/>
  <c r="U74" i="5"/>
  <c r="T74" i="5"/>
  <c r="S74" i="5"/>
  <c r="P74" i="5"/>
  <c r="AG73" i="5"/>
  <c r="AD73" i="5"/>
  <c r="AC73" i="5"/>
  <c r="AB73" i="5"/>
  <c r="AA73" i="5"/>
  <c r="X73" i="5"/>
  <c r="W73" i="5"/>
  <c r="V73" i="5"/>
  <c r="U73" i="5"/>
  <c r="T73" i="5"/>
  <c r="S73" i="5"/>
  <c r="P73" i="5"/>
  <c r="Q73" i="5" s="1"/>
  <c r="R73" i="5" s="1"/>
  <c r="AG72" i="5"/>
  <c r="AD72" i="5"/>
  <c r="AC72" i="5"/>
  <c r="AB72" i="5"/>
  <c r="AA72" i="5"/>
  <c r="X72" i="5"/>
  <c r="W72" i="5"/>
  <c r="V72" i="5"/>
  <c r="U72" i="5"/>
  <c r="T72" i="5"/>
  <c r="S72" i="5"/>
  <c r="P72" i="5"/>
  <c r="AG71" i="5"/>
  <c r="AD71" i="5"/>
  <c r="AC71" i="5"/>
  <c r="AB71" i="5"/>
  <c r="AA71" i="5"/>
  <c r="X71" i="5"/>
  <c r="W71" i="5"/>
  <c r="V71" i="5"/>
  <c r="U71" i="5"/>
  <c r="T71" i="5"/>
  <c r="S71" i="5"/>
  <c r="R71" i="5"/>
  <c r="P71" i="5"/>
  <c r="Q71" i="5" s="1"/>
  <c r="AG70" i="5"/>
  <c r="AD70" i="5"/>
  <c r="AC70" i="5"/>
  <c r="AB70" i="5"/>
  <c r="AA70" i="5"/>
  <c r="X70" i="5"/>
  <c r="W70" i="5"/>
  <c r="V70" i="5"/>
  <c r="U70" i="5"/>
  <c r="T70" i="5"/>
  <c r="S70" i="5"/>
  <c r="P70" i="5"/>
  <c r="AG69" i="5"/>
  <c r="AD69" i="5"/>
  <c r="AC69" i="5"/>
  <c r="AB69" i="5"/>
  <c r="AA69" i="5"/>
  <c r="X69" i="5"/>
  <c r="W69" i="5"/>
  <c r="V69" i="5"/>
  <c r="U69" i="5"/>
  <c r="T69" i="5"/>
  <c r="S69" i="5"/>
  <c r="P69" i="5"/>
  <c r="AG68" i="5"/>
  <c r="AD68" i="5"/>
  <c r="AC68" i="5"/>
  <c r="AB68" i="5"/>
  <c r="AA68" i="5"/>
  <c r="X68" i="5"/>
  <c r="W68" i="5"/>
  <c r="V68" i="5"/>
  <c r="U68" i="5"/>
  <c r="T68" i="5"/>
  <c r="S68" i="5"/>
  <c r="P68" i="5"/>
  <c r="AG67" i="5"/>
  <c r="AD67" i="5"/>
  <c r="AC67" i="5"/>
  <c r="AB67" i="5"/>
  <c r="AA67" i="5"/>
  <c r="X67" i="5"/>
  <c r="W67" i="5"/>
  <c r="V67" i="5"/>
  <c r="U67" i="5"/>
  <c r="T67" i="5"/>
  <c r="S67" i="5"/>
  <c r="P67" i="5"/>
  <c r="Q67" i="5" s="1"/>
  <c r="R67" i="5" s="1"/>
  <c r="AG66" i="5"/>
  <c r="AD66" i="5"/>
  <c r="AC66" i="5"/>
  <c r="AB66" i="5"/>
  <c r="AA66" i="5"/>
  <c r="X66" i="5"/>
  <c r="W66" i="5"/>
  <c r="V66" i="5"/>
  <c r="U66" i="5"/>
  <c r="T66" i="5"/>
  <c r="S66" i="5"/>
  <c r="P66" i="5"/>
  <c r="AG65" i="5"/>
  <c r="AD65" i="5"/>
  <c r="AC65" i="5"/>
  <c r="AB65" i="5"/>
  <c r="AA65" i="5"/>
  <c r="X65" i="5"/>
  <c r="W65" i="5"/>
  <c r="V65" i="5"/>
  <c r="U65" i="5"/>
  <c r="T65" i="5"/>
  <c r="S65" i="5"/>
  <c r="P65" i="5"/>
  <c r="AG64" i="5"/>
  <c r="AD64" i="5"/>
  <c r="AC64" i="5"/>
  <c r="AB64" i="5"/>
  <c r="AA64" i="5"/>
  <c r="X64" i="5"/>
  <c r="W64" i="5"/>
  <c r="V64" i="5"/>
  <c r="U64" i="5"/>
  <c r="T64" i="5"/>
  <c r="S64" i="5"/>
  <c r="P64" i="5"/>
  <c r="AG63" i="5"/>
  <c r="AD63" i="5"/>
  <c r="AC63" i="5"/>
  <c r="AB63" i="5"/>
  <c r="AA63" i="5"/>
  <c r="X63" i="5"/>
  <c r="W63" i="5"/>
  <c r="V63" i="5"/>
  <c r="U63" i="5"/>
  <c r="T63" i="5"/>
  <c r="S63" i="5"/>
  <c r="P63" i="5"/>
  <c r="Q63" i="5" s="1"/>
  <c r="R63" i="5" s="1"/>
  <c r="AG62" i="5"/>
  <c r="AD62" i="5"/>
  <c r="AC62" i="5"/>
  <c r="AB62" i="5"/>
  <c r="AA62" i="5"/>
  <c r="X62" i="5"/>
  <c r="W62" i="5"/>
  <c r="V62" i="5"/>
  <c r="U62" i="5"/>
  <c r="T62" i="5"/>
  <c r="S62" i="5"/>
  <c r="P62" i="5"/>
  <c r="AG61" i="5"/>
  <c r="AD61" i="5"/>
  <c r="AC61" i="5"/>
  <c r="AB61" i="5"/>
  <c r="AA61" i="5"/>
  <c r="X61" i="5"/>
  <c r="W61" i="5"/>
  <c r="V61" i="5"/>
  <c r="U61" i="5"/>
  <c r="T61" i="5"/>
  <c r="S61" i="5"/>
  <c r="R61" i="5"/>
  <c r="P61" i="5"/>
  <c r="Q61" i="5" s="1"/>
  <c r="AG60" i="5"/>
  <c r="AD60" i="5"/>
  <c r="AC60" i="5"/>
  <c r="AB60" i="5"/>
  <c r="AA60" i="5"/>
  <c r="X60" i="5"/>
  <c r="W60" i="5"/>
  <c r="V60" i="5"/>
  <c r="U60" i="5"/>
  <c r="T60" i="5"/>
  <c r="S60" i="5"/>
  <c r="P60" i="5"/>
  <c r="AG59" i="5"/>
  <c r="AD59" i="5"/>
  <c r="AC59" i="5"/>
  <c r="AB59" i="5"/>
  <c r="AA59" i="5"/>
  <c r="X59" i="5"/>
  <c r="W59" i="5"/>
  <c r="V59" i="5"/>
  <c r="U59" i="5"/>
  <c r="T59" i="5"/>
  <c r="S59" i="5"/>
  <c r="P59" i="5"/>
  <c r="Q59" i="5" s="1"/>
  <c r="R59" i="5" s="1"/>
  <c r="AG58" i="5"/>
  <c r="AD58" i="5"/>
  <c r="AC58" i="5"/>
  <c r="AB58" i="5"/>
  <c r="AA58" i="5"/>
  <c r="X58" i="5"/>
  <c r="W58" i="5"/>
  <c r="V58" i="5"/>
  <c r="U58" i="5"/>
  <c r="T58" i="5"/>
  <c r="S58" i="5"/>
  <c r="R58" i="5"/>
  <c r="P58" i="5"/>
  <c r="Q58" i="5" s="1"/>
  <c r="AG57" i="5"/>
  <c r="AD57" i="5"/>
  <c r="AC57" i="5"/>
  <c r="AB57" i="5"/>
  <c r="AA57" i="5"/>
  <c r="X57" i="5"/>
  <c r="W57" i="5"/>
  <c r="V57" i="5"/>
  <c r="U57" i="5"/>
  <c r="T57" i="5"/>
  <c r="S57" i="5"/>
  <c r="P57" i="5"/>
  <c r="Q57" i="5" s="1"/>
  <c r="R57" i="5" s="1"/>
  <c r="AG56" i="5"/>
  <c r="AD56" i="5"/>
  <c r="AC56" i="5"/>
  <c r="AB56" i="5"/>
  <c r="AA56" i="5"/>
  <c r="X56" i="5"/>
  <c r="W56" i="5"/>
  <c r="V56" i="5"/>
  <c r="U56" i="5"/>
  <c r="T56" i="5"/>
  <c r="S56" i="5"/>
  <c r="P56" i="5"/>
  <c r="AG55" i="5"/>
  <c r="AD55" i="5"/>
  <c r="AC55" i="5"/>
  <c r="AB55" i="5"/>
  <c r="AA55" i="5"/>
  <c r="X55" i="5"/>
  <c r="W55" i="5"/>
  <c r="V55" i="5"/>
  <c r="U55" i="5"/>
  <c r="T55" i="5"/>
  <c r="S55" i="5"/>
  <c r="P55" i="5"/>
  <c r="Q55" i="5" s="1"/>
  <c r="R55" i="5" s="1"/>
  <c r="AG54" i="5"/>
  <c r="AD54" i="5"/>
  <c r="AC54" i="5"/>
  <c r="AB54" i="5"/>
  <c r="AA54" i="5"/>
  <c r="X54" i="5"/>
  <c r="W54" i="5"/>
  <c r="V54" i="5"/>
  <c r="U54" i="5"/>
  <c r="T54" i="5"/>
  <c r="S54" i="5"/>
  <c r="P54" i="5"/>
  <c r="AG53" i="5"/>
  <c r="AD53" i="5"/>
  <c r="AC53" i="5"/>
  <c r="AB53" i="5"/>
  <c r="AA53" i="5"/>
  <c r="X53" i="5"/>
  <c r="W53" i="5"/>
  <c r="V53" i="5"/>
  <c r="U53" i="5"/>
  <c r="T53" i="5"/>
  <c r="S53" i="5"/>
  <c r="P53" i="5"/>
  <c r="Q53" i="5" s="1"/>
  <c r="AG52" i="5"/>
  <c r="AD52" i="5"/>
  <c r="AC52" i="5"/>
  <c r="AB52" i="5"/>
  <c r="AA52" i="5"/>
  <c r="X52" i="5"/>
  <c r="W52" i="5"/>
  <c r="V52" i="5"/>
  <c r="U52" i="5"/>
  <c r="T52" i="5"/>
  <c r="S52" i="5"/>
  <c r="P52" i="5"/>
  <c r="AG51" i="5"/>
  <c r="AD51" i="5"/>
  <c r="AC51" i="5"/>
  <c r="AB51" i="5"/>
  <c r="AA51" i="5"/>
  <c r="X51" i="5"/>
  <c r="W51" i="5"/>
  <c r="V51" i="5"/>
  <c r="U51" i="5"/>
  <c r="T51" i="5"/>
  <c r="S51" i="5"/>
  <c r="P51" i="5"/>
  <c r="Q51" i="5" s="1"/>
  <c r="R51" i="5" s="1"/>
  <c r="AG50" i="5"/>
  <c r="AD50" i="5"/>
  <c r="AC50" i="5"/>
  <c r="AB50" i="5"/>
  <c r="AA50" i="5"/>
  <c r="X50" i="5"/>
  <c r="W50" i="5"/>
  <c r="V50" i="5"/>
  <c r="U50" i="5"/>
  <c r="T50" i="5"/>
  <c r="S50" i="5"/>
  <c r="P50" i="5"/>
  <c r="AG49" i="5"/>
  <c r="AD49" i="5"/>
  <c r="AC49" i="5"/>
  <c r="AB49" i="5"/>
  <c r="AA49" i="5"/>
  <c r="X49" i="5"/>
  <c r="W49" i="5"/>
  <c r="V49" i="5"/>
  <c r="U49" i="5"/>
  <c r="T49" i="5"/>
  <c r="S49" i="5"/>
  <c r="P49" i="5"/>
  <c r="Q49" i="5" s="1"/>
  <c r="R49" i="5" s="1"/>
  <c r="AG48" i="5"/>
  <c r="AD48" i="5"/>
  <c r="AC48" i="5"/>
  <c r="AB48" i="5"/>
  <c r="AA48" i="5"/>
  <c r="X48" i="5"/>
  <c r="W48" i="5"/>
  <c r="V48" i="5"/>
  <c r="U48" i="5"/>
  <c r="T48" i="5"/>
  <c r="S48" i="5"/>
  <c r="P48" i="5"/>
  <c r="AG47" i="5"/>
  <c r="AD47" i="5"/>
  <c r="AC47" i="5"/>
  <c r="AB47" i="5"/>
  <c r="AA47" i="5"/>
  <c r="X47" i="5"/>
  <c r="W47" i="5"/>
  <c r="V47" i="5"/>
  <c r="U47" i="5"/>
  <c r="T47" i="5"/>
  <c r="S47" i="5"/>
  <c r="P47" i="5"/>
  <c r="Q47" i="5" s="1"/>
  <c r="R47" i="5" s="1"/>
  <c r="AG46" i="5"/>
  <c r="AD46" i="5"/>
  <c r="AC46" i="5"/>
  <c r="AB46" i="5"/>
  <c r="AA46" i="5"/>
  <c r="X46" i="5"/>
  <c r="W46" i="5"/>
  <c r="V46" i="5"/>
  <c r="U46" i="5"/>
  <c r="T46" i="5"/>
  <c r="S46" i="5"/>
  <c r="P46" i="5"/>
  <c r="AG45" i="5"/>
  <c r="AD45" i="5"/>
  <c r="AC45" i="5"/>
  <c r="AB45" i="5"/>
  <c r="AA45" i="5"/>
  <c r="X45" i="5"/>
  <c r="W45" i="5"/>
  <c r="V45" i="5"/>
  <c r="U45" i="5"/>
  <c r="T45" i="5"/>
  <c r="S45" i="5"/>
  <c r="P45" i="5"/>
  <c r="AG44" i="5"/>
  <c r="AD44" i="5"/>
  <c r="AC44" i="5"/>
  <c r="AB44" i="5"/>
  <c r="AA44" i="5"/>
  <c r="X44" i="5"/>
  <c r="W44" i="5"/>
  <c r="V44" i="5"/>
  <c r="U44" i="5"/>
  <c r="T44" i="5"/>
  <c r="S44" i="5"/>
  <c r="P44" i="5"/>
  <c r="AG43" i="5"/>
  <c r="AD43" i="5"/>
  <c r="AC43" i="5"/>
  <c r="AB43" i="5"/>
  <c r="AA43" i="5"/>
  <c r="X43" i="5"/>
  <c r="W43" i="5"/>
  <c r="V43" i="5"/>
  <c r="U43" i="5"/>
  <c r="T43" i="5"/>
  <c r="S43" i="5"/>
  <c r="P43" i="5"/>
  <c r="Q43" i="5" s="1"/>
  <c r="R43" i="5" s="1"/>
  <c r="AG42" i="5"/>
  <c r="AD42" i="5"/>
  <c r="AC42" i="5"/>
  <c r="AB42" i="5"/>
  <c r="AA42" i="5"/>
  <c r="X42" i="5"/>
  <c r="W42" i="5"/>
  <c r="V42" i="5"/>
  <c r="U42" i="5"/>
  <c r="T42" i="5"/>
  <c r="S42" i="5"/>
  <c r="P42" i="5"/>
  <c r="AG41" i="5"/>
  <c r="AD41" i="5"/>
  <c r="AC41" i="5"/>
  <c r="AB41" i="5"/>
  <c r="AA41" i="5"/>
  <c r="X41" i="5"/>
  <c r="W41" i="5"/>
  <c r="V41" i="5"/>
  <c r="U41" i="5"/>
  <c r="T41" i="5"/>
  <c r="S41" i="5"/>
  <c r="P41" i="5"/>
  <c r="Q41" i="5" s="1"/>
  <c r="AG40" i="5"/>
  <c r="AD40" i="5"/>
  <c r="AC40" i="5"/>
  <c r="AB40" i="5"/>
  <c r="AA40" i="5"/>
  <c r="X40" i="5"/>
  <c r="W40" i="5"/>
  <c r="V40" i="5"/>
  <c r="U40" i="5"/>
  <c r="T40" i="5"/>
  <c r="S40" i="5"/>
  <c r="P40" i="5"/>
  <c r="AG39" i="5"/>
  <c r="AD39" i="5"/>
  <c r="AC39" i="5"/>
  <c r="AB39" i="5"/>
  <c r="AA39" i="5"/>
  <c r="X39" i="5"/>
  <c r="W39" i="5"/>
  <c r="V39" i="5"/>
  <c r="U39" i="5"/>
  <c r="T39" i="5"/>
  <c r="S39" i="5"/>
  <c r="P39" i="5"/>
  <c r="Q39" i="5" s="1"/>
  <c r="R39" i="5" s="1"/>
  <c r="AG38" i="5"/>
  <c r="AD38" i="5"/>
  <c r="AC38" i="5"/>
  <c r="AB38" i="5"/>
  <c r="AA38" i="5"/>
  <c r="X38" i="5"/>
  <c r="W38" i="5"/>
  <c r="V38" i="5"/>
  <c r="U38" i="5"/>
  <c r="T38" i="5"/>
  <c r="S38" i="5"/>
  <c r="P38" i="5"/>
  <c r="AG37" i="5"/>
  <c r="AD37" i="5"/>
  <c r="AC37" i="5"/>
  <c r="AB37" i="5"/>
  <c r="AA37" i="5"/>
  <c r="X37" i="5"/>
  <c r="W37" i="5"/>
  <c r="V37" i="5"/>
  <c r="U37" i="5"/>
  <c r="T37" i="5"/>
  <c r="S37" i="5"/>
  <c r="P37" i="5"/>
  <c r="Q37" i="5" s="1"/>
  <c r="R37" i="5" s="1"/>
  <c r="AG36" i="5"/>
  <c r="AD36" i="5"/>
  <c r="AC36" i="5"/>
  <c r="AB36" i="5"/>
  <c r="AA36" i="5"/>
  <c r="X36" i="5"/>
  <c r="W36" i="5"/>
  <c r="V36" i="5"/>
  <c r="U36" i="5"/>
  <c r="T36" i="5"/>
  <c r="S36" i="5"/>
  <c r="P36" i="5"/>
  <c r="AG35" i="5"/>
  <c r="AD35" i="5"/>
  <c r="AC35" i="5"/>
  <c r="AB35" i="5"/>
  <c r="AA35" i="5"/>
  <c r="X35" i="5"/>
  <c r="W35" i="5"/>
  <c r="V35" i="5"/>
  <c r="U35" i="5"/>
  <c r="T35" i="5"/>
  <c r="S35" i="5"/>
  <c r="P35" i="5"/>
  <c r="Q35" i="5" s="1"/>
  <c r="R35" i="5" s="1"/>
  <c r="AG34" i="5"/>
  <c r="AD34" i="5"/>
  <c r="AC34" i="5"/>
  <c r="AB34" i="5"/>
  <c r="AA34" i="5"/>
  <c r="X34" i="5"/>
  <c r="W34" i="5"/>
  <c r="V34" i="5"/>
  <c r="U34" i="5"/>
  <c r="T34" i="5"/>
  <c r="S34" i="5"/>
  <c r="P34" i="5"/>
  <c r="AG33" i="5"/>
  <c r="AD33" i="5"/>
  <c r="AC33" i="5"/>
  <c r="AB33" i="5"/>
  <c r="AA33" i="5"/>
  <c r="X33" i="5"/>
  <c r="W33" i="5"/>
  <c r="V33" i="5"/>
  <c r="U33" i="5"/>
  <c r="T33" i="5"/>
  <c r="S33" i="5"/>
  <c r="P33" i="5"/>
  <c r="Q33" i="5" s="1"/>
  <c r="R33" i="5" s="1"/>
  <c r="AG32" i="5"/>
  <c r="AD32" i="5"/>
  <c r="AC32" i="5"/>
  <c r="AB32" i="5"/>
  <c r="AA32" i="5"/>
  <c r="X32" i="5"/>
  <c r="W32" i="5"/>
  <c r="V32" i="5"/>
  <c r="U32" i="5"/>
  <c r="T32" i="5"/>
  <c r="S32" i="5"/>
  <c r="P32" i="5"/>
  <c r="AG31" i="5"/>
  <c r="AD31" i="5"/>
  <c r="AC31" i="5"/>
  <c r="AB31" i="5"/>
  <c r="AA31" i="5"/>
  <c r="X31" i="5"/>
  <c r="W31" i="5"/>
  <c r="V31" i="5"/>
  <c r="U31" i="5"/>
  <c r="T31" i="5"/>
  <c r="S31" i="5"/>
  <c r="P31" i="5"/>
  <c r="Q31" i="5" s="1"/>
  <c r="AG30" i="5"/>
  <c r="AD30" i="5"/>
  <c r="AC30" i="5"/>
  <c r="AB30" i="5"/>
  <c r="AA30" i="5"/>
  <c r="X30" i="5"/>
  <c r="W30" i="5"/>
  <c r="V30" i="5"/>
  <c r="U30" i="5"/>
  <c r="T30" i="5"/>
  <c r="S30" i="5"/>
  <c r="P30" i="5"/>
  <c r="AG29" i="5"/>
  <c r="AD29" i="5"/>
  <c r="AC29" i="5"/>
  <c r="AB29" i="5"/>
  <c r="AA29" i="5"/>
  <c r="X29" i="5"/>
  <c r="W29" i="5"/>
  <c r="V29" i="5"/>
  <c r="U29" i="5"/>
  <c r="T29" i="5"/>
  <c r="S29" i="5"/>
  <c r="P29" i="5"/>
  <c r="Q29" i="5" s="1"/>
  <c r="R29" i="5" s="1"/>
  <c r="AG28" i="5"/>
  <c r="AD28" i="5"/>
  <c r="AC28" i="5"/>
  <c r="AB28" i="5"/>
  <c r="AA28" i="5"/>
  <c r="X28" i="5"/>
  <c r="W28" i="5"/>
  <c r="V28" i="5"/>
  <c r="U28" i="5"/>
  <c r="T28" i="5"/>
  <c r="S28" i="5"/>
  <c r="P28" i="5"/>
  <c r="AG27" i="5"/>
  <c r="AD27" i="5"/>
  <c r="AC27" i="5"/>
  <c r="AB27" i="5"/>
  <c r="AA27" i="5"/>
  <c r="X27" i="5"/>
  <c r="W27" i="5"/>
  <c r="V27" i="5"/>
  <c r="U27" i="5"/>
  <c r="T27" i="5"/>
  <c r="S27" i="5"/>
  <c r="P27" i="5"/>
  <c r="Q27" i="5" s="1"/>
  <c r="R27" i="5" s="1"/>
  <c r="AG26" i="5"/>
  <c r="AD26" i="5"/>
  <c r="AC26" i="5"/>
  <c r="AB26" i="5"/>
  <c r="AA26" i="5"/>
  <c r="X26" i="5"/>
  <c r="W26" i="5"/>
  <c r="V26" i="5"/>
  <c r="U26" i="5"/>
  <c r="T26" i="5"/>
  <c r="S26" i="5"/>
  <c r="P26" i="5"/>
  <c r="AG25" i="5"/>
  <c r="AD25" i="5"/>
  <c r="AC25" i="5"/>
  <c r="AB25" i="5"/>
  <c r="AA25" i="5"/>
  <c r="X25" i="5"/>
  <c r="W25" i="5"/>
  <c r="V25" i="5"/>
  <c r="U25" i="5"/>
  <c r="T25" i="5"/>
  <c r="S25" i="5"/>
  <c r="P25" i="5"/>
  <c r="Q25" i="5" s="1"/>
  <c r="R25" i="5" s="1"/>
  <c r="AG24" i="5"/>
  <c r="AD24" i="5"/>
  <c r="AC24" i="5"/>
  <c r="AB24" i="5"/>
  <c r="AA24" i="5"/>
  <c r="X24" i="5"/>
  <c r="W24" i="5"/>
  <c r="V24" i="5"/>
  <c r="U24" i="5"/>
  <c r="T24" i="5"/>
  <c r="S24" i="5"/>
  <c r="R24" i="5"/>
  <c r="P24" i="5"/>
  <c r="Q24" i="5" s="1"/>
  <c r="AG23" i="5"/>
  <c r="AD23" i="5"/>
  <c r="AC23" i="5"/>
  <c r="AB23" i="5"/>
  <c r="AA23" i="5"/>
  <c r="X23" i="5"/>
  <c r="W23" i="5"/>
  <c r="V23" i="5"/>
  <c r="U23" i="5"/>
  <c r="T23" i="5"/>
  <c r="S23" i="5"/>
  <c r="P23" i="5"/>
  <c r="Q23" i="5" s="1"/>
  <c r="R23" i="5" s="1"/>
  <c r="AG22" i="5"/>
  <c r="AD22" i="5"/>
  <c r="AC22" i="5"/>
  <c r="AB22" i="5"/>
  <c r="AA22" i="5"/>
  <c r="X22" i="5"/>
  <c r="W22" i="5"/>
  <c r="V22" i="5"/>
  <c r="U22" i="5"/>
  <c r="T22" i="5"/>
  <c r="S22" i="5"/>
  <c r="P22" i="5"/>
  <c r="AG21" i="5"/>
  <c r="AD21" i="5"/>
  <c r="AC21" i="5"/>
  <c r="AB21" i="5"/>
  <c r="AA21" i="5"/>
  <c r="X21" i="5"/>
  <c r="W21" i="5"/>
  <c r="V21" i="5"/>
  <c r="U21" i="5"/>
  <c r="T21" i="5"/>
  <c r="S21" i="5"/>
  <c r="P21" i="5"/>
  <c r="AG20" i="5"/>
  <c r="AD20" i="5"/>
  <c r="AC20" i="5"/>
  <c r="AB20" i="5"/>
  <c r="AA20" i="5"/>
  <c r="X20" i="5"/>
  <c r="W20" i="5"/>
  <c r="V20" i="5"/>
  <c r="U20" i="5"/>
  <c r="T20" i="5"/>
  <c r="S20" i="5"/>
  <c r="P20" i="5"/>
  <c r="AG19" i="5"/>
  <c r="AD19" i="5"/>
  <c r="AC19" i="5"/>
  <c r="AB19" i="5"/>
  <c r="AA19" i="5"/>
  <c r="X19" i="5"/>
  <c r="W19" i="5"/>
  <c r="V19" i="5"/>
  <c r="U19" i="5"/>
  <c r="T19" i="5"/>
  <c r="S19" i="5"/>
  <c r="P19" i="5"/>
  <c r="Q19" i="5" s="1"/>
  <c r="AG18" i="5"/>
  <c r="AD18" i="5"/>
  <c r="AC18" i="5"/>
  <c r="AB18" i="5"/>
  <c r="AA18" i="5"/>
  <c r="X18" i="5"/>
  <c r="W18" i="5"/>
  <c r="V18" i="5"/>
  <c r="U18" i="5"/>
  <c r="T18" i="5"/>
  <c r="S18" i="5"/>
  <c r="P18" i="5"/>
  <c r="AG17" i="5"/>
  <c r="AD17" i="5"/>
  <c r="AC17" i="5"/>
  <c r="AB17" i="5"/>
  <c r="AA17" i="5"/>
  <c r="X17" i="5"/>
  <c r="W17" i="5"/>
  <c r="V17" i="5"/>
  <c r="U17" i="5"/>
  <c r="T17" i="5"/>
  <c r="S17" i="5"/>
  <c r="P17" i="5"/>
  <c r="Q17" i="5" s="1"/>
  <c r="AG16" i="5"/>
  <c r="AD16" i="5"/>
  <c r="AC16" i="5"/>
  <c r="AB16" i="5"/>
  <c r="AA16" i="5"/>
  <c r="X16" i="5"/>
  <c r="W16" i="5"/>
  <c r="V16" i="5"/>
  <c r="U16" i="5"/>
  <c r="T16" i="5"/>
  <c r="S16" i="5"/>
  <c r="P16" i="5"/>
  <c r="Q16" i="5" s="1"/>
  <c r="AG15" i="5"/>
  <c r="AD15" i="5"/>
  <c r="AC15" i="5"/>
  <c r="AB15" i="5"/>
  <c r="AA15" i="5"/>
  <c r="X15" i="5"/>
  <c r="W15" i="5"/>
  <c r="V15" i="5"/>
  <c r="U15" i="5"/>
  <c r="T15" i="5"/>
  <c r="S15" i="5"/>
  <c r="P15" i="5"/>
  <c r="Q15" i="5" s="1"/>
  <c r="AG14" i="5"/>
  <c r="AD14" i="5"/>
  <c r="AC14" i="5"/>
  <c r="AB14" i="5"/>
  <c r="AA14" i="5"/>
  <c r="X14" i="5"/>
  <c r="W14" i="5"/>
  <c r="V14" i="5"/>
  <c r="U14" i="5"/>
  <c r="T14" i="5"/>
  <c r="S14" i="5"/>
  <c r="R14" i="5"/>
  <c r="P14" i="5"/>
  <c r="Q14" i="5" s="1"/>
  <c r="AG13" i="5"/>
  <c r="AD13" i="5"/>
  <c r="AC13" i="5"/>
  <c r="AB13" i="5"/>
  <c r="AA13" i="5"/>
  <c r="X13" i="5"/>
  <c r="W13" i="5"/>
  <c r="V13" i="5"/>
  <c r="U13" i="5"/>
  <c r="T13" i="5"/>
  <c r="S13" i="5"/>
  <c r="P13" i="5"/>
  <c r="Q13" i="5" s="1"/>
  <c r="R13" i="5" s="1"/>
  <c r="AG12" i="5"/>
  <c r="AD12" i="5"/>
  <c r="AC12" i="5"/>
  <c r="AB12" i="5"/>
  <c r="AA12" i="5"/>
  <c r="X12" i="5"/>
  <c r="W12" i="5"/>
  <c r="V12" i="5"/>
  <c r="U12" i="5"/>
  <c r="T12" i="5"/>
  <c r="S12" i="5"/>
  <c r="P12" i="5"/>
  <c r="Q12" i="5" s="1"/>
  <c r="AG11" i="5"/>
  <c r="AD11" i="5"/>
  <c r="AC11" i="5"/>
  <c r="AB11" i="5"/>
  <c r="AA11" i="5"/>
  <c r="X11" i="5"/>
  <c r="W11" i="5"/>
  <c r="V11" i="5"/>
  <c r="U11" i="5"/>
  <c r="T11" i="5"/>
  <c r="S11" i="5"/>
  <c r="P11" i="5"/>
  <c r="AG10" i="5"/>
  <c r="AD10" i="5"/>
  <c r="AC10" i="5"/>
  <c r="AB10" i="5"/>
  <c r="AA10" i="5"/>
  <c r="X10" i="5"/>
  <c r="W10" i="5"/>
  <c r="V10" i="5"/>
  <c r="U10" i="5"/>
  <c r="T10" i="5"/>
  <c r="S10" i="5"/>
  <c r="P10" i="5"/>
  <c r="AG9" i="5"/>
  <c r="AD9" i="5"/>
  <c r="AC9" i="5"/>
  <c r="AB9" i="5"/>
  <c r="AA9" i="5"/>
  <c r="X9" i="5"/>
  <c r="W9" i="5"/>
  <c r="V9" i="5"/>
  <c r="U9" i="5"/>
  <c r="T9" i="5"/>
  <c r="S9" i="5"/>
  <c r="P9" i="5"/>
  <c r="Q9" i="5" s="1"/>
  <c r="AG8" i="5"/>
  <c r="AD8" i="5"/>
  <c r="AC8" i="5"/>
  <c r="AB8" i="5"/>
  <c r="AA8" i="5"/>
  <c r="X8" i="5"/>
  <c r="W8" i="5"/>
  <c r="V8" i="5"/>
  <c r="U8" i="5"/>
  <c r="T8" i="5"/>
  <c r="S8" i="5"/>
  <c r="P8" i="5"/>
  <c r="AG7" i="5"/>
  <c r="AD7" i="5"/>
  <c r="AC7" i="5"/>
  <c r="AB7" i="5"/>
  <c r="AA7" i="5"/>
  <c r="X7" i="5"/>
  <c r="W7" i="5"/>
  <c r="V7" i="5"/>
  <c r="U7" i="5"/>
  <c r="T7" i="5"/>
  <c r="S7" i="5"/>
  <c r="P7" i="5"/>
  <c r="Q7" i="5" s="1"/>
  <c r="AG6" i="5"/>
  <c r="AD6" i="5"/>
  <c r="AC6" i="5"/>
  <c r="AB6" i="5"/>
  <c r="AA6" i="5"/>
  <c r="X6" i="5"/>
  <c r="W6" i="5"/>
  <c r="V6" i="5"/>
  <c r="U6" i="5"/>
  <c r="T6" i="5"/>
  <c r="S6" i="5"/>
  <c r="P6" i="5"/>
  <c r="Q6" i="5" s="1"/>
  <c r="AG5" i="5"/>
  <c r="AD5" i="5"/>
  <c r="AC5" i="5"/>
  <c r="AB5" i="5"/>
  <c r="AA5" i="5"/>
  <c r="X5" i="5"/>
  <c r="W5" i="5"/>
  <c r="V5" i="5"/>
  <c r="U5" i="5"/>
  <c r="T5" i="5"/>
  <c r="S5" i="5"/>
  <c r="R5" i="5"/>
  <c r="P5" i="5"/>
  <c r="Q5" i="5" s="1"/>
  <c r="AG4" i="5"/>
  <c r="AD4" i="5"/>
  <c r="AC4" i="5"/>
  <c r="AB4" i="5"/>
  <c r="AA4" i="5"/>
  <c r="X4" i="5"/>
  <c r="W4" i="5"/>
  <c r="V4" i="5"/>
  <c r="U4" i="5"/>
  <c r="T4" i="5"/>
  <c r="S4" i="5"/>
  <c r="P4" i="5"/>
  <c r="Q4" i="5" s="1"/>
  <c r="AG3" i="5"/>
  <c r="AD3" i="5"/>
  <c r="AC3" i="5"/>
  <c r="AB3" i="5"/>
  <c r="AA3" i="5"/>
  <c r="X3" i="5"/>
  <c r="W3" i="5"/>
  <c r="V3" i="5"/>
  <c r="U3" i="5"/>
  <c r="T3" i="5"/>
  <c r="S3" i="5"/>
  <c r="R3" i="5"/>
  <c r="P3" i="5"/>
  <c r="Q3" i="5" s="1"/>
  <c r="AG2" i="5"/>
  <c r="AD2" i="5"/>
  <c r="AC2" i="5"/>
  <c r="AB2" i="5"/>
  <c r="AA2" i="5"/>
  <c r="X2" i="5"/>
  <c r="W2" i="5"/>
  <c r="V2" i="5"/>
  <c r="U2" i="5"/>
  <c r="AF2" i="5" s="1"/>
  <c r="T2" i="5"/>
  <c r="S2" i="5"/>
  <c r="P2" i="5"/>
  <c r="Q2" i="5" s="1"/>
  <c r="I8" i="4"/>
  <c r="B6" i="4"/>
  <c r="B5" i="4"/>
  <c r="B4" i="4"/>
  <c r="A50" i="2"/>
  <c r="A49" i="2"/>
  <c r="D49" i="2" s="1"/>
  <c r="A48" i="2"/>
  <c r="D48" i="2" s="1"/>
  <c r="A47" i="2"/>
  <c r="A46" i="2"/>
  <c r="D46" i="2" s="1"/>
  <c r="A45" i="2"/>
  <c r="D45" i="2" s="1"/>
  <c r="A44" i="2"/>
  <c r="A43" i="2"/>
  <c r="D43" i="2" s="1"/>
  <c r="A42" i="2"/>
  <c r="A41" i="2"/>
  <c r="A40" i="2"/>
  <c r="D40" i="2" s="1"/>
  <c r="A39" i="2"/>
  <c r="A38" i="2"/>
  <c r="D38" i="2" s="1"/>
  <c r="A37" i="2"/>
  <c r="A36" i="2"/>
  <c r="A35" i="2"/>
  <c r="D35" i="2" s="1"/>
  <c r="A34" i="2"/>
  <c r="A33" i="2"/>
  <c r="D33" i="2" s="1"/>
  <c r="A32" i="2"/>
  <c r="D32" i="2" s="1"/>
  <c r="A31" i="2"/>
  <c r="A30" i="2"/>
  <c r="D30" i="2" s="1"/>
  <c r="A29" i="2"/>
  <c r="D29" i="2" s="1"/>
  <c r="A28" i="2"/>
  <c r="A27" i="2"/>
  <c r="D27" i="2" s="1"/>
  <c r="A26" i="2"/>
  <c r="D26" i="2" s="1"/>
  <c r="A25" i="2"/>
  <c r="D25" i="2" s="1"/>
  <c r="A24" i="2"/>
  <c r="D24" i="2" s="1"/>
  <c r="A23" i="2"/>
  <c r="A22" i="2"/>
  <c r="D22" i="2" s="1"/>
  <c r="A21" i="2"/>
  <c r="D21" i="2" s="1"/>
  <c r="F5" i="1"/>
  <c r="B3" i="4" s="1"/>
  <c r="B5" i="1"/>
  <c r="R300" i="5" l="1"/>
  <c r="R504" i="5"/>
  <c r="R19" i="5"/>
  <c r="A99" i="3"/>
  <c r="Q117" i="5"/>
  <c r="R117" i="5" s="1"/>
  <c r="R7" i="5"/>
  <c r="R277" i="5"/>
  <c r="O8" i="2"/>
  <c r="R4" i="5"/>
  <c r="Q107" i="5"/>
  <c r="R107" i="5" s="1"/>
  <c r="H5" i="2"/>
  <c r="A123" i="3"/>
  <c r="A57" i="2"/>
  <c r="Q111" i="5"/>
  <c r="R111" i="5" s="1"/>
  <c r="R217" i="5"/>
  <c r="Q273" i="5"/>
  <c r="R273" i="5" s="1"/>
  <c r="Q800" i="5"/>
  <c r="R800" i="5" s="1"/>
  <c r="Q874" i="5"/>
  <c r="R874" i="5" s="1"/>
  <c r="R185" i="5"/>
  <c r="A24" i="3"/>
  <c r="O16" i="2"/>
  <c r="R85" i="5"/>
  <c r="R716" i="5"/>
  <c r="A220" i="3"/>
  <c r="R16" i="5"/>
  <c r="Q185" i="5"/>
  <c r="A143" i="3"/>
  <c r="O15" i="2"/>
  <c r="AF6" i="5"/>
  <c r="R41" i="5"/>
  <c r="R249" i="5"/>
  <c r="R377" i="5"/>
  <c r="R31" i="5"/>
  <c r="Q113" i="5"/>
  <c r="R113" i="5" s="1"/>
  <c r="O2" i="2"/>
  <c r="A200" i="3"/>
  <c r="R145" i="5"/>
  <c r="A43" i="3"/>
  <c r="R2" i="5"/>
  <c r="W4" i="2"/>
  <c r="AF3" i="5"/>
  <c r="Q21" i="5"/>
  <c r="R21" i="5" s="1"/>
  <c r="Q45" i="5"/>
  <c r="R45" i="5" s="1"/>
  <c r="Q65" i="5"/>
  <c r="R65" i="5" s="1"/>
  <c r="R89" i="5"/>
  <c r="Q125" i="5"/>
  <c r="R125" i="5" s="1"/>
  <c r="Q157" i="5"/>
  <c r="R157" i="5" s="1"/>
  <c r="Q177" i="5"/>
  <c r="R177" i="5" s="1"/>
  <c r="Q197" i="5"/>
  <c r="R197" i="5" s="1"/>
  <c r="Q241" i="5"/>
  <c r="R241" i="5" s="1"/>
  <c r="R437" i="5"/>
  <c r="R514" i="5"/>
  <c r="R525" i="5"/>
  <c r="Q635" i="5"/>
  <c r="R635" i="5" s="1"/>
  <c r="Q854" i="5"/>
  <c r="R854" i="5" s="1"/>
  <c r="Q868" i="5"/>
  <c r="R868" i="5" s="1"/>
  <c r="Q886" i="5"/>
  <c r="R886" i="5" s="1"/>
  <c r="R6" i="5"/>
  <c r="Q101" i="5"/>
  <c r="R101" i="5" s="1"/>
  <c r="R15" i="5"/>
  <c r="R153" i="5"/>
  <c r="A279" i="3"/>
  <c r="A60" i="3"/>
  <c r="A264" i="3"/>
  <c r="R53" i="5"/>
  <c r="R421" i="5"/>
  <c r="R456" i="5"/>
  <c r="AF18" i="5"/>
  <c r="A79" i="3"/>
  <c r="A287" i="3"/>
  <c r="AF5" i="5"/>
  <c r="R550" i="5"/>
  <c r="R615" i="5"/>
  <c r="R720" i="5"/>
  <c r="R464" i="5"/>
  <c r="R500" i="5"/>
  <c r="AF36" i="5"/>
  <c r="R81" i="5"/>
  <c r="AF32" i="5"/>
  <c r="H2" i="2"/>
  <c r="Q173" i="5"/>
  <c r="R173" i="5" s="1"/>
  <c r="Q205" i="5"/>
  <c r="R205" i="5" s="1"/>
  <c r="Q225" i="5"/>
  <c r="R225" i="5" s="1"/>
  <c r="Q237" i="5"/>
  <c r="R237" i="5" s="1"/>
  <c r="A8" i="3"/>
  <c r="A163" i="3"/>
  <c r="H7" i="2"/>
  <c r="A281" i="3"/>
  <c r="R12" i="5"/>
  <c r="AF20" i="5"/>
  <c r="Q105" i="5"/>
  <c r="R105" i="5" s="1"/>
  <c r="R165" i="5"/>
  <c r="R429" i="5"/>
  <c r="R477" i="5"/>
  <c r="Q508" i="5"/>
  <c r="R508" i="5" s="1"/>
  <c r="Q582" i="5"/>
  <c r="R582" i="5" s="1"/>
  <c r="Q595" i="5"/>
  <c r="R595" i="5" s="1"/>
  <c r="A104" i="3"/>
  <c r="W2" i="2"/>
  <c r="O5" i="2"/>
  <c r="O9" i="2"/>
  <c r="O17" i="2"/>
  <c r="A56" i="2"/>
  <c r="A11" i="3"/>
  <c r="A27" i="3"/>
  <c r="A44" i="3"/>
  <c r="A63" i="3"/>
  <c r="A80" i="3"/>
  <c r="A103" i="3"/>
  <c r="A124" i="3"/>
  <c r="A144" i="3"/>
  <c r="A167" i="3"/>
  <c r="A206" i="3"/>
  <c r="A223" i="3"/>
  <c r="A267" i="3"/>
  <c r="AF11" i="5"/>
  <c r="AE14" i="5"/>
  <c r="AF63" i="5"/>
  <c r="Q69" i="5"/>
  <c r="R69" i="5" s="1"/>
  <c r="Q97" i="5"/>
  <c r="R97" i="5" s="1"/>
  <c r="Q129" i="5"/>
  <c r="R129" i="5" s="1"/>
  <c r="Q137" i="5"/>
  <c r="R137" i="5" s="1"/>
  <c r="R148" i="5"/>
  <c r="R156" i="5"/>
  <c r="Q189" i="5"/>
  <c r="R189" i="5" s="1"/>
  <c r="R208" i="5"/>
  <c r="R216" i="5"/>
  <c r="R224" i="5"/>
  <c r="R232" i="5"/>
  <c r="R248" i="5"/>
  <c r="R265" i="5"/>
  <c r="Q397" i="5"/>
  <c r="R397" i="5" s="1"/>
  <c r="Q439" i="5"/>
  <c r="R439" i="5" s="1"/>
  <c r="Q516" i="5"/>
  <c r="R516" i="5" s="1"/>
  <c r="R200" i="5"/>
  <c r="H3" i="2"/>
  <c r="W5" i="2"/>
  <c r="O10" i="2"/>
  <c r="O18" i="2"/>
  <c r="A12" i="3"/>
  <c r="A28" i="3"/>
  <c r="A47" i="3"/>
  <c r="A64" i="3"/>
  <c r="A83" i="3"/>
  <c r="A107" i="3"/>
  <c r="A127" i="3"/>
  <c r="A147" i="3"/>
  <c r="A171" i="3"/>
  <c r="A208" i="3"/>
  <c r="A229" i="3"/>
  <c r="A269" i="3"/>
  <c r="I4" i="4"/>
  <c r="A284" i="3"/>
  <c r="AF35" i="5"/>
  <c r="R164" i="5"/>
  <c r="R172" i="5"/>
  <c r="R180" i="5"/>
  <c r="R356" i="5"/>
  <c r="Q401" i="5"/>
  <c r="R401" i="5" s="1"/>
  <c r="O3" i="2"/>
  <c r="H6" i="2"/>
  <c r="O11" i="2"/>
  <c r="O19" i="2"/>
  <c r="A2" i="3"/>
  <c r="A15" i="3"/>
  <c r="A31" i="3"/>
  <c r="A48" i="3"/>
  <c r="A67" i="3"/>
  <c r="A87" i="3"/>
  <c r="A108" i="3"/>
  <c r="A128" i="3"/>
  <c r="A151" i="3"/>
  <c r="A172" i="3"/>
  <c r="A209" i="3"/>
  <c r="A232" i="3"/>
  <c r="A272" i="3"/>
  <c r="AF23" i="5"/>
  <c r="Q240" i="5"/>
  <c r="R240" i="5" s="1"/>
  <c r="R245" i="5"/>
  <c r="Q489" i="5"/>
  <c r="R489" i="5" s="1"/>
  <c r="E2" i="3"/>
  <c r="A16" i="3"/>
  <c r="A32" i="3"/>
  <c r="A51" i="3"/>
  <c r="A71" i="3"/>
  <c r="A91" i="3"/>
  <c r="A111" i="3"/>
  <c r="A131" i="3"/>
  <c r="A155" i="3"/>
  <c r="A176" i="3"/>
  <c r="A212" i="3"/>
  <c r="A235" i="3"/>
  <c r="A273" i="3"/>
  <c r="I5" i="4"/>
  <c r="AE288" i="5"/>
  <c r="AE23" i="5"/>
  <c r="R196" i="5"/>
  <c r="Q405" i="5"/>
  <c r="R405" i="5" s="1"/>
  <c r="Q451" i="5"/>
  <c r="R451" i="5" s="1"/>
  <c r="AF75" i="5"/>
  <c r="W3" i="2"/>
  <c r="O6" i="2"/>
  <c r="O12" i="2"/>
  <c r="H4" i="2"/>
  <c r="W6" i="2"/>
  <c r="O13" i="2"/>
  <c r="A3" i="3"/>
  <c r="A55" i="3"/>
  <c r="A112" i="3"/>
  <c r="A241" i="3"/>
  <c r="AF94" i="5"/>
  <c r="F7" i="4"/>
  <c r="Q317" i="5"/>
  <c r="R317" i="5" s="1"/>
  <c r="Q322" i="5"/>
  <c r="R322" i="5" s="1"/>
  <c r="Q353" i="5"/>
  <c r="R353" i="5" s="1"/>
  <c r="Q409" i="5"/>
  <c r="R409" i="5" s="1"/>
  <c r="Q486" i="5"/>
  <c r="R486" i="5" s="1"/>
  <c r="A19" i="3"/>
  <c r="A35" i="3"/>
  <c r="A72" i="3"/>
  <c r="A92" i="3"/>
  <c r="A135" i="3"/>
  <c r="A156" i="3"/>
  <c r="A179" i="3"/>
  <c r="A214" i="3"/>
  <c r="A275" i="3"/>
  <c r="O4" i="2"/>
  <c r="O14" i="2"/>
  <c r="A4" i="3"/>
  <c r="A20" i="3"/>
  <c r="A39" i="3"/>
  <c r="A56" i="3"/>
  <c r="A75" i="3"/>
  <c r="A95" i="3"/>
  <c r="A115" i="3"/>
  <c r="A139" i="3"/>
  <c r="A159" i="3"/>
  <c r="A184" i="3"/>
  <c r="A215" i="3"/>
  <c r="A247" i="3"/>
  <c r="AF109" i="5"/>
  <c r="Q152" i="5"/>
  <c r="R152" i="5" s="1"/>
  <c r="Q160" i="5"/>
  <c r="R160" i="5" s="1"/>
  <c r="R168" i="5"/>
  <c r="R176" i="5"/>
  <c r="R184" i="5"/>
  <c r="Q204" i="5"/>
  <c r="R204" i="5" s="1"/>
  <c r="Q212" i="5"/>
  <c r="R212" i="5" s="1"/>
  <c r="Q220" i="5"/>
  <c r="R220" i="5" s="1"/>
  <c r="Q228" i="5"/>
  <c r="R228" i="5" s="1"/>
  <c r="Q236" i="5"/>
  <c r="R236" i="5" s="1"/>
  <c r="R244" i="5"/>
  <c r="Q389" i="5"/>
  <c r="R389" i="5" s="1"/>
  <c r="R140" i="5"/>
  <c r="O7" i="2"/>
  <c r="A7" i="3"/>
  <c r="A23" i="3"/>
  <c r="A40" i="3"/>
  <c r="A59" i="3"/>
  <c r="A76" i="3"/>
  <c r="A96" i="3"/>
  <c r="A119" i="3"/>
  <c r="A140" i="3"/>
  <c r="A160" i="3"/>
  <c r="A188" i="3"/>
  <c r="A217" i="3"/>
  <c r="A261" i="3"/>
  <c r="I2" i="4"/>
  <c r="Q393" i="5"/>
  <c r="R393" i="5" s="1"/>
  <c r="Q413" i="5"/>
  <c r="R413" i="5" s="1"/>
  <c r="R639" i="5"/>
  <c r="R747" i="5"/>
  <c r="R778" i="5"/>
  <c r="R783" i="5"/>
  <c r="R813" i="5"/>
  <c r="R821" i="5"/>
  <c r="R853" i="5"/>
  <c r="R534" i="5"/>
  <c r="R546" i="5"/>
  <c r="Q591" i="5"/>
  <c r="R591" i="5" s="1"/>
  <c r="Q631" i="5"/>
  <c r="R631" i="5" s="1"/>
  <c r="Q346" i="5"/>
  <c r="R346" i="5" s="1"/>
  <c r="Q357" i="5"/>
  <c r="R357" i="5" s="1"/>
  <c r="Q536" i="5"/>
  <c r="R536" i="5" s="1"/>
  <c r="Q548" i="5"/>
  <c r="R548" i="5" s="1"/>
  <c r="R562" i="5"/>
  <c r="Q599" i="5"/>
  <c r="R599" i="5" s="1"/>
  <c r="R643" i="5"/>
  <c r="Q652" i="5"/>
  <c r="R652" i="5" s="1"/>
  <c r="Q676" i="5"/>
  <c r="R676" i="5" s="1"/>
  <c r="Q796" i="5"/>
  <c r="R796" i="5" s="1"/>
  <c r="Q864" i="5"/>
  <c r="R864" i="5" s="1"/>
  <c r="Q876" i="5"/>
  <c r="R876" i="5" s="1"/>
  <c r="R309" i="5"/>
  <c r="R328" i="5"/>
  <c r="Q334" i="5"/>
  <c r="R334" i="5" s="1"/>
  <c r="Q340" i="5"/>
  <c r="R340" i="5" s="1"/>
  <c r="R348" i="5"/>
  <c r="Q354" i="5"/>
  <c r="R354" i="5" s="1"/>
  <c r="Q415" i="5"/>
  <c r="R415" i="5" s="1"/>
  <c r="R423" i="5"/>
  <c r="R441" i="5"/>
  <c r="R443" i="5"/>
  <c r="R453" i="5"/>
  <c r="Q463" i="5"/>
  <c r="R463" i="5" s="1"/>
  <c r="R470" i="5"/>
  <c r="R518" i="5"/>
  <c r="R566" i="5"/>
  <c r="Q590" i="5"/>
  <c r="R590" i="5" s="1"/>
  <c r="Q613" i="5"/>
  <c r="R613" i="5" s="1"/>
  <c r="Q623" i="5"/>
  <c r="R623" i="5" s="1"/>
  <c r="Q670" i="5"/>
  <c r="R670" i="5" s="1"/>
  <c r="Q688" i="5"/>
  <c r="R688" i="5" s="1"/>
  <c r="Q730" i="5"/>
  <c r="R730" i="5" s="1"/>
  <c r="R771" i="5"/>
  <c r="R825" i="5"/>
  <c r="R833" i="5"/>
  <c r="Q861" i="5"/>
  <c r="R861" i="5" s="1"/>
  <c r="Q870" i="5"/>
  <c r="R870" i="5" s="1"/>
  <c r="Q882" i="5"/>
  <c r="R882" i="5" s="1"/>
  <c r="Q885" i="5"/>
  <c r="R885" i="5" s="1"/>
  <c r="R898" i="5"/>
  <c r="Q460" i="5"/>
  <c r="R460" i="5" s="1"/>
  <c r="Q672" i="5"/>
  <c r="R672" i="5" s="1"/>
  <c r="Q692" i="5"/>
  <c r="R692" i="5" s="1"/>
  <c r="Q740" i="5"/>
  <c r="R740" i="5" s="1"/>
  <c r="Q751" i="5"/>
  <c r="R751" i="5" s="1"/>
  <c r="Q779" i="5"/>
  <c r="R779" i="5" s="1"/>
  <c r="Q798" i="5"/>
  <c r="R798" i="5" s="1"/>
  <c r="Q830" i="5"/>
  <c r="R830" i="5" s="1"/>
  <c r="Q838" i="5"/>
  <c r="R838" i="5" s="1"/>
  <c r="Q846" i="5"/>
  <c r="R846" i="5" s="1"/>
  <c r="R857" i="5"/>
  <c r="Q860" i="5"/>
  <c r="R860" i="5" s="1"/>
  <c r="Q872" i="5"/>
  <c r="R872" i="5" s="1"/>
  <c r="Q884" i="5"/>
  <c r="R884" i="5" s="1"/>
  <c r="R411" i="5"/>
  <c r="Q417" i="5"/>
  <c r="R417" i="5" s="1"/>
  <c r="Q435" i="5"/>
  <c r="R435" i="5" s="1"/>
  <c r="R445" i="5"/>
  <c r="R447" i="5"/>
  <c r="R474" i="5"/>
  <c r="Q482" i="5"/>
  <c r="R482" i="5" s="1"/>
  <c r="Q512" i="5"/>
  <c r="R512" i="5" s="1"/>
  <c r="R530" i="5"/>
  <c r="R542" i="5"/>
  <c r="Q592" i="5"/>
  <c r="R592" i="5" s="1"/>
  <c r="Q609" i="5"/>
  <c r="R609" i="5" s="1"/>
  <c r="Q627" i="5"/>
  <c r="R627" i="5" s="1"/>
  <c r="Q770" i="5"/>
  <c r="R770" i="5" s="1"/>
  <c r="Q784" i="5"/>
  <c r="R784" i="5" s="1"/>
  <c r="Q787" i="5"/>
  <c r="R787" i="5" s="1"/>
  <c r="Q866" i="5"/>
  <c r="R866" i="5" s="1"/>
  <c r="Q869" i="5"/>
  <c r="R869" i="5" s="1"/>
  <c r="Q878" i="5"/>
  <c r="R878" i="5" s="1"/>
  <c r="Q881" i="5"/>
  <c r="R881" i="5" s="1"/>
  <c r="R344" i="5"/>
  <c r="R352" i="5"/>
  <c r="R419" i="5"/>
  <c r="R427" i="5"/>
  <c r="R459" i="5"/>
  <c r="R494" i="5"/>
  <c r="R554" i="5"/>
  <c r="R584" i="5"/>
  <c r="R712" i="5"/>
  <c r="Q767" i="5"/>
  <c r="R767" i="5" s="1"/>
  <c r="R775" i="5"/>
  <c r="R829" i="5"/>
  <c r="Y901" i="5"/>
  <c r="Z901" i="5" s="1"/>
  <c r="Y897" i="5"/>
  <c r="Z897" i="5" s="1"/>
  <c r="Y893" i="5"/>
  <c r="Z893" i="5" s="1"/>
  <c r="Y889" i="5"/>
  <c r="Z889" i="5" s="1"/>
  <c r="Y900" i="5"/>
  <c r="Z900" i="5" s="1"/>
  <c r="Y896" i="5"/>
  <c r="Z896" i="5" s="1"/>
  <c r="Y892" i="5"/>
  <c r="Z892" i="5" s="1"/>
  <c r="Y888" i="5"/>
  <c r="Z888" i="5" s="1"/>
  <c r="Y884" i="5"/>
  <c r="Z884" i="5" s="1"/>
  <c r="Y880" i="5"/>
  <c r="Z880" i="5" s="1"/>
  <c r="Y876" i="5"/>
  <c r="Z876" i="5" s="1"/>
  <c r="Y872" i="5"/>
  <c r="Z872" i="5" s="1"/>
  <c r="Y868" i="5"/>
  <c r="Z868" i="5" s="1"/>
  <c r="Y864" i="5"/>
  <c r="Z864" i="5" s="1"/>
  <c r="Y860" i="5"/>
  <c r="Z860" i="5" s="1"/>
  <c r="Y856" i="5"/>
  <c r="Z856" i="5" s="1"/>
  <c r="Y852" i="5"/>
  <c r="Z852" i="5" s="1"/>
  <c r="Y848" i="5"/>
  <c r="Z848" i="5" s="1"/>
  <c r="Y844" i="5"/>
  <c r="Z844" i="5" s="1"/>
  <c r="Y840" i="5"/>
  <c r="Z840" i="5" s="1"/>
  <c r="Y836" i="5"/>
  <c r="Z836" i="5" s="1"/>
  <c r="Y832" i="5"/>
  <c r="Z832" i="5" s="1"/>
  <c r="Y828" i="5"/>
  <c r="Z828" i="5" s="1"/>
  <c r="Y824" i="5"/>
  <c r="Z824" i="5" s="1"/>
  <c r="Y899" i="5"/>
  <c r="Z899" i="5" s="1"/>
  <c r="Y895" i="5"/>
  <c r="Z895" i="5" s="1"/>
  <c r="Y891" i="5"/>
  <c r="Z891" i="5" s="1"/>
  <c r="Y887" i="5"/>
  <c r="Z887" i="5" s="1"/>
  <c r="Y883" i="5"/>
  <c r="Z883" i="5" s="1"/>
  <c r="Y879" i="5"/>
  <c r="Z879" i="5" s="1"/>
  <c r="Y875" i="5"/>
  <c r="Z875" i="5" s="1"/>
  <c r="Y871" i="5"/>
  <c r="Z871" i="5" s="1"/>
  <c r="Y867" i="5"/>
  <c r="Z867" i="5" s="1"/>
  <c r="Y863" i="5"/>
  <c r="Z863" i="5" s="1"/>
  <c r="Y859" i="5"/>
  <c r="Z859" i="5" s="1"/>
  <c r="Y855" i="5"/>
  <c r="Z855" i="5" s="1"/>
  <c r="Y851" i="5"/>
  <c r="Z851" i="5" s="1"/>
  <c r="Y847" i="5"/>
  <c r="Z847" i="5" s="1"/>
  <c r="Y843" i="5"/>
  <c r="Z843" i="5" s="1"/>
  <c r="Y839" i="5"/>
  <c r="Z839" i="5" s="1"/>
  <c r="Y835" i="5"/>
  <c r="Z835" i="5" s="1"/>
  <c r="Y831" i="5"/>
  <c r="Z831" i="5" s="1"/>
  <c r="Y827" i="5"/>
  <c r="Z827" i="5" s="1"/>
  <c r="Y823" i="5"/>
  <c r="Z823" i="5" s="1"/>
  <c r="Y898" i="5"/>
  <c r="Z898" i="5" s="1"/>
  <c r="Y894" i="5"/>
  <c r="Z894" i="5" s="1"/>
  <c r="Y890" i="5"/>
  <c r="Z890" i="5" s="1"/>
  <c r="Y886" i="5"/>
  <c r="Z886" i="5" s="1"/>
  <c r="Y882" i="5"/>
  <c r="Z882" i="5" s="1"/>
  <c r="Y878" i="5"/>
  <c r="Z878" i="5" s="1"/>
  <c r="Y874" i="5"/>
  <c r="Z874" i="5" s="1"/>
  <c r="Y870" i="5"/>
  <c r="Z870" i="5" s="1"/>
  <c r="Y866" i="5"/>
  <c r="Z866" i="5" s="1"/>
  <c r="Y862" i="5"/>
  <c r="Z862" i="5" s="1"/>
  <c r="Y858" i="5"/>
  <c r="Z858" i="5" s="1"/>
  <c r="Y854" i="5"/>
  <c r="Z854" i="5" s="1"/>
  <c r="Y850" i="5"/>
  <c r="Z850" i="5" s="1"/>
  <c r="Y846" i="5"/>
  <c r="Z846" i="5" s="1"/>
  <c r="Y842" i="5"/>
  <c r="Z842" i="5" s="1"/>
  <c r="Y838" i="5"/>
  <c r="Z838" i="5" s="1"/>
  <c r="Y834" i="5"/>
  <c r="Z834" i="5" s="1"/>
  <c r="Y830" i="5"/>
  <c r="Z830" i="5" s="1"/>
  <c r="Y805" i="5"/>
  <c r="Z805" i="5" s="1"/>
  <c r="Y804" i="5"/>
  <c r="Z804" i="5" s="1"/>
  <c r="Y793" i="5"/>
  <c r="Z793" i="5" s="1"/>
  <c r="Y885" i="5"/>
  <c r="Z885" i="5" s="1"/>
  <c r="Y861" i="5"/>
  <c r="Z861" i="5" s="1"/>
  <c r="Y822" i="5"/>
  <c r="Z822" i="5" s="1"/>
  <c r="Y821" i="5"/>
  <c r="Z821" i="5" s="1"/>
  <c r="Y803" i="5"/>
  <c r="Z803" i="5" s="1"/>
  <c r="Y802" i="5"/>
  <c r="Z802" i="5" s="1"/>
  <c r="Y792" i="5"/>
  <c r="Z792" i="5" s="1"/>
  <c r="Y787" i="5"/>
  <c r="Z787" i="5" s="1"/>
  <c r="Y783" i="5"/>
  <c r="Z783" i="5" s="1"/>
  <c r="Y779" i="5"/>
  <c r="Z779" i="5" s="1"/>
  <c r="Y775" i="5"/>
  <c r="Z775" i="5" s="1"/>
  <c r="Y771" i="5"/>
  <c r="Z771" i="5" s="1"/>
  <c r="Y767" i="5"/>
  <c r="Z767" i="5" s="1"/>
  <c r="Y881" i="5"/>
  <c r="Z881" i="5" s="1"/>
  <c r="Y857" i="5"/>
  <c r="Z857" i="5" s="1"/>
  <c r="Y801" i="5"/>
  <c r="Z801" i="5" s="1"/>
  <c r="Y800" i="5"/>
  <c r="Z800" i="5" s="1"/>
  <c r="Y791" i="5"/>
  <c r="Z791" i="5" s="1"/>
  <c r="Y877" i="5"/>
  <c r="Z877" i="5" s="1"/>
  <c r="Y853" i="5"/>
  <c r="Z853" i="5" s="1"/>
  <c r="Y799" i="5"/>
  <c r="Z799" i="5" s="1"/>
  <c r="Y798" i="5"/>
  <c r="Z798" i="5" s="1"/>
  <c r="Y790" i="5"/>
  <c r="Z790" i="5" s="1"/>
  <c r="Y786" i="5"/>
  <c r="Z786" i="5" s="1"/>
  <c r="Y782" i="5"/>
  <c r="Y778" i="5"/>
  <c r="Z778" i="5" s="1"/>
  <c r="Y774" i="5"/>
  <c r="Z774" i="5" s="1"/>
  <c r="Y770" i="5"/>
  <c r="Z770" i="5" s="1"/>
  <c r="Y766" i="5"/>
  <c r="Z766" i="5" s="1"/>
  <c r="Y762" i="5"/>
  <c r="Z762" i="5" s="1"/>
  <c r="Y758" i="5"/>
  <c r="Z758" i="5" s="1"/>
  <c r="Y754" i="5"/>
  <c r="Z754" i="5" s="1"/>
  <c r="Y849" i="5"/>
  <c r="Z849" i="5" s="1"/>
  <c r="Y845" i="5"/>
  <c r="Z845" i="5" s="1"/>
  <c r="Y841" i="5"/>
  <c r="Z841" i="5" s="1"/>
  <c r="Y837" i="5"/>
  <c r="Z837" i="5" s="1"/>
  <c r="Y833" i="5"/>
  <c r="Z833" i="5" s="1"/>
  <c r="Y829" i="5"/>
  <c r="Z829" i="5" s="1"/>
  <c r="Y797" i="5"/>
  <c r="Z797" i="5" s="1"/>
  <c r="Y796" i="5"/>
  <c r="Z796" i="5" s="1"/>
  <c r="Y873" i="5"/>
  <c r="Z873" i="5" s="1"/>
  <c r="Y812" i="5"/>
  <c r="Y811" i="5"/>
  <c r="Z811" i="5" s="1"/>
  <c r="Y810" i="5"/>
  <c r="Z810" i="5" s="1"/>
  <c r="Y795" i="5"/>
  <c r="Z795" i="5" s="1"/>
  <c r="Y789" i="5"/>
  <c r="Z789" i="5" s="1"/>
  <c r="Y785" i="5"/>
  <c r="Z785" i="5" s="1"/>
  <c r="Y781" i="5"/>
  <c r="Z781" i="5" s="1"/>
  <c r="Y777" i="5"/>
  <c r="Z777" i="5" s="1"/>
  <c r="Y773" i="5"/>
  <c r="Z773" i="5" s="1"/>
  <c r="Y769" i="5"/>
  <c r="Z769" i="5" s="1"/>
  <c r="Y765" i="5"/>
  <c r="Z765" i="5" s="1"/>
  <c r="Y761" i="5"/>
  <c r="Z761" i="5" s="1"/>
  <c r="Y757" i="5"/>
  <c r="Z757" i="5" s="1"/>
  <c r="Y865" i="5"/>
  <c r="Z865" i="5" s="1"/>
  <c r="Y826" i="5"/>
  <c r="Z826" i="5" s="1"/>
  <c r="Y820" i="5"/>
  <c r="Z820" i="5" s="1"/>
  <c r="Y819" i="5"/>
  <c r="Z819" i="5" s="1"/>
  <c r="Y818" i="5"/>
  <c r="Z818" i="5" s="1"/>
  <c r="Y817" i="5"/>
  <c r="Z817" i="5" s="1"/>
  <c r="Y807" i="5"/>
  <c r="Z807" i="5" s="1"/>
  <c r="Y806" i="5"/>
  <c r="Z806" i="5" s="1"/>
  <c r="Y788" i="5"/>
  <c r="Z788" i="5" s="1"/>
  <c r="Y784" i="5"/>
  <c r="Z784" i="5" s="1"/>
  <c r="Y814" i="5"/>
  <c r="Z814" i="5" s="1"/>
  <c r="Y763" i="5"/>
  <c r="Z763" i="5" s="1"/>
  <c r="Y764" i="5"/>
  <c r="Z764" i="5" s="1"/>
  <c r="Y750" i="5"/>
  <c r="Z750" i="5" s="1"/>
  <c r="Y749" i="5"/>
  <c r="Z749" i="5" s="1"/>
  <c r="Y746" i="5"/>
  <c r="Z746" i="5" s="1"/>
  <c r="Y745" i="5"/>
  <c r="Z745" i="5" s="1"/>
  <c r="Y744" i="5"/>
  <c r="Z744" i="5" s="1"/>
  <c r="Y733" i="5"/>
  <c r="Z733" i="5" s="1"/>
  <c r="Y727" i="5"/>
  <c r="Z727" i="5" s="1"/>
  <c r="Y723" i="5"/>
  <c r="Z723" i="5" s="1"/>
  <c r="Y719" i="5"/>
  <c r="Z719" i="5" s="1"/>
  <c r="Y715" i="5"/>
  <c r="Z715" i="5" s="1"/>
  <c r="Y711" i="5"/>
  <c r="Z711" i="5" s="1"/>
  <c r="Y707" i="5"/>
  <c r="Z707" i="5" s="1"/>
  <c r="Y703" i="5"/>
  <c r="Z703" i="5" s="1"/>
  <c r="Y699" i="5"/>
  <c r="Z699" i="5" s="1"/>
  <c r="Y695" i="5"/>
  <c r="Z695" i="5" s="1"/>
  <c r="Y691" i="5"/>
  <c r="Z691" i="5" s="1"/>
  <c r="Y687" i="5"/>
  <c r="Z687" i="5" s="1"/>
  <c r="Y683" i="5"/>
  <c r="Z683" i="5" s="1"/>
  <c r="Y679" i="5"/>
  <c r="Z679" i="5" s="1"/>
  <c r="Y675" i="5"/>
  <c r="Z675" i="5" s="1"/>
  <c r="Y671" i="5"/>
  <c r="Z671" i="5" s="1"/>
  <c r="Y667" i="5"/>
  <c r="Z667" i="5" s="1"/>
  <c r="Y809" i="5"/>
  <c r="Z809" i="5" s="1"/>
  <c r="Y759" i="5"/>
  <c r="Z759" i="5" s="1"/>
  <c r="Y751" i="5"/>
  <c r="Z751" i="5" s="1"/>
  <c r="Y748" i="5"/>
  <c r="Z748" i="5" s="1"/>
  <c r="Y747" i="5"/>
  <c r="Z747" i="5" s="1"/>
  <c r="Y743" i="5"/>
  <c r="Z743" i="5" s="1"/>
  <c r="Y742" i="5"/>
  <c r="Z742" i="5" s="1"/>
  <c r="Y732" i="5"/>
  <c r="Z732" i="5" s="1"/>
  <c r="Y815" i="5"/>
  <c r="Z815" i="5" s="1"/>
  <c r="Y760" i="5"/>
  <c r="Z760" i="5" s="1"/>
  <c r="Y753" i="5"/>
  <c r="Z753" i="5" s="1"/>
  <c r="Y752" i="5"/>
  <c r="Y741" i="5"/>
  <c r="Z741" i="5" s="1"/>
  <c r="Y740" i="5"/>
  <c r="Z740" i="5" s="1"/>
  <c r="Y731" i="5"/>
  <c r="Z731" i="5" s="1"/>
  <c r="Y726" i="5"/>
  <c r="Z726" i="5" s="1"/>
  <c r="Y722" i="5"/>
  <c r="Z722" i="5" s="1"/>
  <c r="Y718" i="5"/>
  <c r="Z718" i="5" s="1"/>
  <c r="Y714" i="5"/>
  <c r="Z714" i="5" s="1"/>
  <c r="Y710" i="5"/>
  <c r="Z710" i="5" s="1"/>
  <c r="Y706" i="5"/>
  <c r="Z706" i="5" s="1"/>
  <c r="Y702" i="5"/>
  <c r="Z702" i="5" s="1"/>
  <c r="Y698" i="5"/>
  <c r="Z698" i="5" s="1"/>
  <c r="Y694" i="5"/>
  <c r="Z694" i="5" s="1"/>
  <c r="Y690" i="5"/>
  <c r="Z690" i="5" s="1"/>
  <c r="Y686" i="5"/>
  <c r="Z686" i="5" s="1"/>
  <c r="Y682" i="5"/>
  <c r="Z682" i="5" s="1"/>
  <c r="Y678" i="5"/>
  <c r="Z678" i="5" s="1"/>
  <c r="Y674" i="5"/>
  <c r="Z674" i="5" s="1"/>
  <c r="Y670" i="5"/>
  <c r="Z670" i="5" s="1"/>
  <c r="Y666" i="5"/>
  <c r="Z666" i="5" s="1"/>
  <c r="Y662" i="5"/>
  <c r="Z662" i="5" s="1"/>
  <c r="Y780" i="5"/>
  <c r="Z780" i="5" s="1"/>
  <c r="Y739" i="5"/>
  <c r="Z739" i="5" s="1"/>
  <c r="Y738" i="5"/>
  <c r="Z738" i="5" s="1"/>
  <c r="Y730" i="5"/>
  <c r="Z730" i="5" s="1"/>
  <c r="Y825" i="5"/>
  <c r="Z825" i="5" s="1"/>
  <c r="Y816" i="5"/>
  <c r="Z816" i="5" s="1"/>
  <c r="Y794" i="5"/>
  <c r="Z794" i="5" s="1"/>
  <c r="Y776" i="5"/>
  <c r="Z776" i="5" s="1"/>
  <c r="Y755" i="5"/>
  <c r="Z755" i="5" s="1"/>
  <c r="Y737" i="5"/>
  <c r="Z737" i="5" s="1"/>
  <c r="Y736" i="5"/>
  <c r="Z736" i="5" s="1"/>
  <c r="Y725" i="5"/>
  <c r="Z725" i="5" s="1"/>
  <c r="Y721" i="5"/>
  <c r="Z721" i="5" s="1"/>
  <c r="Y717" i="5"/>
  <c r="Z717" i="5" s="1"/>
  <c r="Y713" i="5"/>
  <c r="Z713" i="5" s="1"/>
  <c r="Y709" i="5"/>
  <c r="Z709" i="5" s="1"/>
  <c r="Y705" i="5"/>
  <c r="Z705" i="5" s="1"/>
  <c r="Y701" i="5"/>
  <c r="Z701" i="5" s="1"/>
  <c r="Y697" i="5"/>
  <c r="Z697" i="5" s="1"/>
  <c r="Y693" i="5"/>
  <c r="Z693" i="5" s="1"/>
  <c r="Y689" i="5"/>
  <c r="Z689" i="5" s="1"/>
  <c r="Y685" i="5"/>
  <c r="Z685" i="5" s="1"/>
  <c r="Y681" i="5"/>
  <c r="Z681" i="5" s="1"/>
  <c r="Y677" i="5"/>
  <c r="Z677" i="5" s="1"/>
  <c r="Y673" i="5"/>
  <c r="Z673" i="5" s="1"/>
  <c r="Y869" i="5"/>
  <c r="Z869" i="5" s="1"/>
  <c r="Y808" i="5"/>
  <c r="Z808" i="5" s="1"/>
  <c r="Y768" i="5"/>
  <c r="Z768" i="5" s="1"/>
  <c r="Y734" i="5"/>
  <c r="Z734" i="5" s="1"/>
  <c r="Y728" i="5"/>
  <c r="Z728" i="5" s="1"/>
  <c r="Y724" i="5"/>
  <c r="Z724" i="5" s="1"/>
  <c r="Y720" i="5"/>
  <c r="Z720" i="5" s="1"/>
  <c r="Y716" i="5"/>
  <c r="Z716" i="5" s="1"/>
  <c r="Y712" i="5"/>
  <c r="Z712" i="5" s="1"/>
  <c r="Y708" i="5"/>
  <c r="Z708" i="5" s="1"/>
  <c r="Y704" i="5"/>
  <c r="Z704" i="5" s="1"/>
  <c r="Y700" i="5"/>
  <c r="Z700" i="5" s="1"/>
  <c r="Y696" i="5"/>
  <c r="Z696" i="5" s="1"/>
  <c r="Y692" i="5"/>
  <c r="Z692" i="5" s="1"/>
  <c r="Y688" i="5"/>
  <c r="Z688" i="5" s="1"/>
  <c r="Y684" i="5"/>
  <c r="Z684" i="5" s="1"/>
  <c r="Y680" i="5"/>
  <c r="Z680" i="5" s="1"/>
  <c r="Y676" i="5"/>
  <c r="Z676" i="5" s="1"/>
  <c r="Y672" i="5"/>
  <c r="Z672" i="5" s="1"/>
  <c r="Y651" i="5"/>
  <c r="Z651" i="5" s="1"/>
  <c r="Y756" i="5"/>
  <c r="Z756" i="5" s="1"/>
  <c r="B284" i="3" s="1"/>
  <c r="C284" i="3" s="1"/>
  <c r="Y735" i="5"/>
  <c r="Z735" i="5" s="1"/>
  <c r="Y650" i="5"/>
  <c r="Z650" i="5" s="1"/>
  <c r="Y646" i="5"/>
  <c r="Z646" i="5" s="1"/>
  <c r="Y642" i="5"/>
  <c r="Z642" i="5" s="1"/>
  <c r="Y638" i="5"/>
  <c r="Z638" i="5" s="1"/>
  <c r="Y634" i="5"/>
  <c r="Z634" i="5" s="1"/>
  <c r="Y630" i="5"/>
  <c r="Z630" i="5" s="1"/>
  <c r="Y626" i="5"/>
  <c r="Z626" i="5" s="1"/>
  <c r="Y622" i="5"/>
  <c r="Z622" i="5" s="1"/>
  <c r="Y618" i="5"/>
  <c r="Z618" i="5" s="1"/>
  <c r="Y614" i="5"/>
  <c r="Z614" i="5" s="1"/>
  <c r="Y813" i="5"/>
  <c r="Z813" i="5" s="1"/>
  <c r="Y729" i="5"/>
  <c r="Z729" i="5" s="1"/>
  <c r="Y665" i="5"/>
  <c r="Z665" i="5" s="1"/>
  <c r="Y664" i="5"/>
  <c r="Z664" i="5" s="1"/>
  <c r="Y663" i="5"/>
  <c r="Z663" i="5" s="1"/>
  <c r="Y661" i="5"/>
  <c r="Z661" i="5" s="1"/>
  <c r="Y660" i="5"/>
  <c r="Z660" i="5" s="1"/>
  <c r="Y649" i="5"/>
  <c r="Z649" i="5" s="1"/>
  <c r="Y645" i="5"/>
  <c r="Z645" i="5" s="1"/>
  <c r="Y641" i="5"/>
  <c r="Z641" i="5" s="1"/>
  <c r="Y637" i="5"/>
  <c r="Z637" i="5" s="1"/>
  <c r="Y633" i="5"/>
  <c r="Z633" i="5" s="1"/>
  <c r="Y629" i="5"/>
  <c r="Z629" i="5" s="1"/>
  <c r="Y625" i="5"/>
  <c r="Z625" i="5" s="1"/>
  <c r="Y621" i="5"/>
  <c r="Z621" i="5" s="1"/>
  <c r="Y617" i="5"/>
  <c r="Z617" i="5" s="1"/>
  <c r="Y613" i="5"/>
  <c r="Z613" i="5" s="1"/>
  <c r="Y609" i="5"/>
  <c r="Z609" i="5" s="1"/>
  <c r="Y772" i="5"/>
  <c r="Z772" i="5" s="1"/>
  <c r="Y659" i="5"/>
  <c r="Z659" i="5" s="1"/>
  <c r="Y658" i="5"/>
  <c r="Z658" i="5" s="1"/>
  <c r="Y668" i="5"/>
  <c r="Z668" i="5" s="1"/>
  <c r="Y657" i="5"/>
  <c r="Z657" i="5" s="1"/>
  <c r="Y656" i="5"/>
  <c r="Z656" i="5" s="1"/>
  <c r="Y648" i="5"/>
  <c r="Z648" i="5" s="1"/>
  <c r="Y644" i="5"/>
  <c r="Z644" i="5" s="1"/>
  <c r="Y640" i="5"/>
  <c r="Z640" i="5" s="1"/>
  <c r="Y636" i="5"/>
  <c r="Z636" i="5" s="1"/>
  <c r="Y632" i="5"/>
  <c r="Z632" i="5" s="1"/>
  <c r="Y628" i="5"/>
  <c r="Z628" i="5" s="1"/>
  <c r="Y624" i="5"/>
  <c r="Z624" i="5" s="1"/>
  <c r="Y620" i="5"/>
  <c r="Z620" i="5" s="1"/>
  <c r="Y616" i="5"/>
  <c r="Z616" i="5" s="1"/>
  <c r="Y653" i="5"/>
  <c r="Z653" i="5" s="1"/>
  <c r="Y652" i="5"/>
  <c r="Z652" i="5" s="1"/>
  <c r="Y647" i="5"/>
  <c r="Z647" i="5" s="1"/>
  <c r="Y643" i="5"/>
  <c r="Z643" i="5" s="1"/>
  <c r="Y639" i="5"/>
  <c r="Z639" i="5" s="1"/>
  <c r="Y635" i="5"/>
  <c r="Z635" i="5" s="1"/>
  <c r="Y631" i="5"/>
  <c r="Z631" i="5" s="1"/>
  <c r="Y627" i="5"/>
  <c r="Z627" i="5" s="1"/>
  <c r="Y623" i="5"/>
  <c r="Z623" i="5" s="1"/>
  <c r="Y619" i="5"/>
  <c r="Z619" i="5" s="1"/>
  <c r="Y615" i="5"/>
  <c r="Z615" i="5" s="1"/>
  <c r="Y611" i="5"/>
  <c r="Z611" i="5" s="1"/>
  <c r="Y592" i="5"/>
  <c r="Z592" i="5" s="1"/>
  <c r="Y586" i="5"/>
  <c r="Z586" i="5" s="1"/>
  <c r="Y612" i="5"/>
  <c r="Z612" i="5" s="1"/>
  <c r="Y585" i="5"/>
  <c r="Z585" i="5" s="1"/>
  <c r="Y579" i="5"/>
  <c r="Z579" i="5" s="1"/>
  <c r="Y575" i="5"/>
  <c r="Z575" i="5" s="1"/>
  <c r="Y571" i="5"/>
  <c r="Z571" i="5" s="1"/>
  <c r="Y567" i="5"/>
  <c r="Z567" i="5" s="1"/>
  <c r="Y563" i="5"/>
  <c r="Z563" i="5" s="1"/>
  <c r="Y559" i="5"/>
  <c r="Z559" i="5" s="1"/>
  <c r="Y555" i="5"/>
  <c r="Z555" i="5" s="1"/>
  <c r="Y551" i="5"/>
  <c r="Z551" i="5" s="1"/>
  <c r="Y547" i="5"/>
  <c r="Z547" i="5" s="1"/>
  <c r="Y543" i="5"/>
  <c r="Z543" i="5" s="1"/>
  <c r="Y539" i="5"/>
  <c r="Z539" i="5" s="1"/>
  <c r="Y535" i="5"/>
  <c r="Z535" i="5" s="1"/>
  <c r="Y591" i="5"/>
  <c r="Z591" i="5" s="1"/>
  <c r="Y584" i="5"/>
  <c r="Z584" i="5" s="1"/>
  <c r="Y654" i="5"/>
  <c r="Z654" i="5" s="1"/>
  <c r="Y605" i="5"/>
  <c r="Z605" i="5" s="1"/>
  <c r="Y590" i="5"/>
  <c r="Z590" i="5" s="1"/>
  <c r="Y578" i="5"/>
  <c r="Z578" i="5" s="1"/>
  <c r="Y574" i="5"/>
  <c r="Z574" i="5" s="1"/>
  <c r="Y570" i="5"/>
  <c r="Z570" i="5" s="1"/>
  <c r="Y566" i="5"/>
  <c r="Z566" i="5" s="1"/>
  <c r="Y562" i="5"/>
  <c r="Z562" i="5" s="1"/>
  <c r="Y558" i="5"/>
  <c r="Z558" i="5" s="1"/>
  <c r="Y554" i="5"/>
  <c r="Z554" i="5" s="1"/>
  <c r="Y550" i="5"/>
  <c r="Z550" i="5" s="1"/>
  <c r="Y546" i="5"/>
  <c r="Z546" i="5" s="1"/>
  <c r="Y542" i="5"/>
  <c r="Y538" i="5"/>
  <c r="Z538" i="5" s="1"/>
  <c r="Y534" i="5"/>
  <c r="Z534" i="5" s="1"/>
  <c r="Y530" i="5"/>
  <c r="Z530" i="5" s="1"/>
  <c r="Y526" i="5"/>
  <c r="Z526" i="5" s="1"/>
  <c r="Y522" i="5"/>
  <c r="Z522" i="5" s="1"/>
  <c r="Y518" i="5"/>
  <c r="Z518" i="5" s="1"/>
  <c r="Y514" i="5"/>
  <c r="Z514" i="5" s="1"/>
  <c r="Y510" i="5"/>
  <c r="Z510" i="5" s="1"/>
  <c r="Y669" i="5"/>
  <c r="Z669" i="5" s="1"/>
  <c r="Y608" i="5"/>
  <c r="Z608" i="5" s="1"/>
  <c r="Y607" i="5"/>
  <c r="Z607" i="5" s="1"/>
  <c r="Y606" i="5"/>
  <c r="Z606" i="5" s="1"/>
  <c r="Y604" i="5"/>
  <c r="Z604" i="5" s="1"/>
  <c r="Y603" i="5"/>
  <c r="Z603" i="5" s="1"/>
  <c r="Y602" i="5"/>
  <c r="Z602" i="5" s="1"/>
  <c r="Y601" i="5"/>
  <c r="Z601" i="5" s="1"/>
  <c r="Y589" i="5"/>
  <c r="Z589" i="5" s="1"/>
  <c r="B267" i="3" s="1"/>
  <c r="C267" i="3" s="1"/>
  <c r="Y583" i="5"/>
  <c r="Z583" i="5" s="1"/>
  <c r="Y600" i="5"/>
  <c r="Z600" i="5" s="1"/>
  <c r="Y599" i="5"/>
  <c r="Z599" i="5" s="1"/>
  <c r="Y598" i="5"/>
  <c r="Z598" i="5" s="1"/>
  <c r="Y597" i="5"/>
  <c r="Z597" i="5" s="1"/>
  <c r="Y588" i="5"/>
  <c r="Z588" i="5" s="1"/>
  <c r="Y582" i="5"/>
  <c r="Z582" i="5" s="1"/>
  <c r="Y577" i="5"/>
  <c r="Z577" i="5" s="1"/>
  <c r="Y573" i="5"/>
  <c r="Z573" i="5" s="1"/>
  <c r="Y569" i="5"/>
  <c r="Z569" i="5" s="1"/>
  <c r="Y565" i="5"/>
  <c r="Z565" i="5" s="1"/>
  <c r="Y561" i="5"/>
  <c r="Z561" i="5" s="1"/>
  <c r="Y557" i="5"/>
  <c r="Z557" i="5" s="1"/>
  <c r="Y553" i="5"/>
  <c r="Z553" i="5" s="1"/>
  <c r="Y549" i="5"/>
  <c r="Z549" i="5" s="1"/>
  <c r="Y545" i="5"/>
  <c r="Z545" i="5" s="1"/>
  <c r="Y541" i="5"/>
  <c r="Z541" i="5" s="1"/>
  <c r="Y537" i="5"/>
  <c r="Z537" i="5" s="1"/>
  <c r="Y533" i="5"/>
  <c r="Z533" i="5" s="1"/>
  <c r="Y529" i="5"/>
  <c r="Z529" i="5" s="1"/>
  <c r="Y525" i="5"/>
  <c r="Z525" i="5" s="1"/>
  <c r="Y521" i="5"/>
  <c r="Z521" i="5" s="1"/>
  <c r="Y517" i="5"/>
  <c r="Z517" i="5" s="1"/>
  <c r="Y513" i="5"/>
  <c r="Z513" i="5" s="1"/>
  <c r="Y509" i="5"/>
  <c r="Z509" i="5" s="1"/>
  <c r="Y655" i="5"/>
  <c r="Z655" i="5" s="1"/>
  <c r="Y596" i="5"/>
  <c r="Z596" i="5" s="1"/>
  <c r="Y581" i="5"/>
  <c r="Z581" i="5" s="1"/>
  <c r="Y610" i="5"/>
  <c r="Z610" i="5" s="1"/>
  <c r="Y595" i="5"/>
  <c r="Z595" i="5" s="1"/>
  <c r="Y594" i="5"/>
  <c r="Z594" i="5" s="1"/>
  <c r="Y593" i="5"/>
  <c r="Z593" i="5" s="1"/>
  <c r="Y587" i="5"/>
  <c r="Z587" i="5" s="1"/>
  <c r="Y580" i="5"/>
  <c r="Z580" i="5" s="1"/>
  <c r="Y576" i="5"/>
  <c r="Z576" i="5" s="1"/>
  <c r="Y572" i="5"/>
  <c r="Y568" i="5"/>
  <c r="Z568" i="5" s="1"/>
  <c r="Y564" i="5"/>
  <c r="Z564" i="5" s="1"/>
  <c r="Y560" i="5"/>
  <c r="Z560" i="5" s="1"/>
  <c r="Y556" i="5"/>
  <c r="Z556" i="5" s="1"/>
  <c r="Y552" i="5"/>
  <c r="Z552" i="5" s="1"/>
  <c r="Y548" i="5"/>
  <c r="Z548" i="5" s="1"/>
  <c r="Y544" i="5"/>
  <c r="Z544" i="5" s="1"/>
  <c r="Y540" i="5"/>
  <c r="Z540" i="5" s="1"/>
  <c r="Y536" i="5"/>
  <c r="Z536" i="5" s="1"/>
  <c r="Y532" i="5"/>
  <c r="Z532" i="5" s="1"/>
  <c r="Y528" i="5"/>
  <c r="Z528" i="5" s="1"/>
  <c r="Y524" i="5"/>
  <c r="Z524" i="5" s="1"/>
  <c r="Y520" i="5"/>
  <c r="Z520" i="5" s="1"/>
  <c r="Y516" i="5"/>
  <c r="Z516" i="5" s="1"/>
  <c r="Y512" i="5"/>
  <c r="Y508" i="5"/>
  <c r="Z508" i="5" s="1"/>
  <c r="Y504" i="5"/>
  <c r="Z504" i="5" s="1"/>
  <c r="Y500" i="5"/>
  <c r="Z500" i="5" s="1"/>
  <c r="Y531" i="5"/>
  <c r="Z531" i="5" s="1"/>
  <c r="Y523" i="5"/>
  <c r="Z523" i="5" s="1"/>
  <c r="Y503" i="5"/>
  <c r="Z503" i="5" s="1"/>
  <c r="Y494" i="5"/>
  <c r="Z494" i="5" s="1"/>
  <c r="Y488" i="5"/>
  <c r="Z488" i="5" s="1"/>
  <c r="Y482" i="5"/>
  <c r="Z482" i="5" s="1"/>
  <c r="Y476" i="5"/>
  <c r="Z476" i="5" s="1"/>
  <c r="Y470" i="5"/>
  <c r="Z470" i="5" s="1"/>
  <c r="Y502" i="5"/>
  <c r="Z502" i="5" s="1"/>
  <c r="Y487" i="5"/>
  <c r="Z487" i="5" s="1"/>
  <c r="Y475" i="5"/>
  <c r="Z475" i="5" s="1"/>
  <c r="Y464" i="5"/>
  <c r="Z464" i="5" s="1"/>
  <c r="Y460" i="5"/>
  <c r="Z460" i="5" s="1"/>
  <c r="Y456" i="5"/>
  <c r="Z456" i="5" s="1"/>
  <c r="Y452" i="5"/>
  <c r="Z452" i="5" s="1"/>
  <c r="Y448" i="5"/>
  <c r="Z448" i="5" s="1"/>
  <c r="Y444" i="5"/>
  <c r="Z444" i="5" s="1"/>
  <c r="Y440" i="5"/>
  <c r="Z440" i="5" s="1"/>
  <c r="Y436" i="5"/>
  <c r="Z436" i="5" s="1"/>
  <c r="Y432" i="5"/>
  <c r="Z432" i="5" s="1"/>
  <c r="Y428" i="5"/>
  <c r="Z428" i="5" s="1"/>
  <c r="Y424" i="5"/>
  <c r="Z424" i="5" s="1"/>
  <c r="Y420" i="5"/>
  <c r="Z420" i="5" s="1"/>
  <c r="Y416" i="5"/>
  <c r="Z416" i="5" s="1"/>
  <c r="Y412" i="5"/>
  <c r="Z412" i="5" s="1"/>
  <c r="Y408" i="5"/>
  <c r="Z408" i="5" s="1"/>
  <c r="Y404" i="5"/>
  <c r="Z404" i="5" s="1"/>
  <c r="Y400" i="5"/>
  <c r="Z400" i="5" s="1"/>
  <c r="Y396" i="5"/>
  <c r="Z396" i="5" s="1"/>
  <c r="Y392" i="5"/>
  <c r="Z392" i="5" s="1"/>
  <c r="Y515" i="5"/>
  <c r="Z515" i="5" s="1"/>
  <c r="Y501" i="5"/>
  <c r="Z501" i="5" s="1"/>
  <c r="Y493" i="5"/>
  <c r="Z493" i="5" s="1"/>
  <c r="Y481" i="5"/>
  <c r="Z481" i="5" s="1"/>
  <c r="Y469" i="5"/>
  <c r="Z469" i="5" s="1"/>
  <c r="Y527" i="5"/>
  <c r="Z527" i="5" s="1"/>
  <c r="Y499" i="5"/>
  <c r="Z499" i="5" s="1"/>
  <c r="Y492" i="5"/>
  <c r="Z492" i="5" s="1"/>
  <c r="Y486" i="5"/>
  <c r="Z486" i="5" s="1"/>
  <c r="Y480" i="5"/>
  <c r="Z480" i="5" s="1"/>
  <c r="Y474" i="5"/>
  <c r="Z474" i="5" s="1"/>
  <c r="Y468" i="5"/>
  <c r="Z468" i="5" s="1"/>
  <c r="Y463" i="5"/>
  <c r="Z463" i="5" s="1"/>
  <c r="Y459" i="5"/>
  <c r="Z459" i="5" s="1"/>
  <c r="Y455" i="5"/>
  <c r="Z455" i="5" s="1"/>
  <c r="Y451" i="5"/>
  <c r="Z451" i="5" s="1"/>
  <c r="Y447" i="5"/>
  <c r="Z447" i="5" s="1"/>
  <c r="Y443" i="5"/>
  <c r="Z443" i="5" s="1"/>
  <c r="Y439" i="5"/>
  <c r="Z439" i="5" s="1"/>
  <c r="Y435" i="5"/>
  <c r="Z435" i="5" s="1"/>
  <c r="Y431" i="5"/>
  <c r="Z431" i="5" s="1"/>
  <c r="Y427" i="5"/>
  <c r="Z427" i="5" s="1"/>
  <c r="Y423" i="5"/>
  <c r="Z423" i="5" s="1"/>
  <c r="Y419" i="5"/>
  <c r="Z419" i="5" s="1"/>
  <c r="Y415" i="5"/>
  <c r="Z415" i="5" s="1"/>
  <c r="Y411" i="5"/>
  <c r="Z411" i="5" s="1"/>
  <c r="Y407" i="5"/>
  <c r="Z407" i="5" s="1"/>
  <c r="Y403" i="5"/>
  <c r="Z403" i="5" s="1"/>
  <c r="Y498" i="5"/>
  <c r="Z498" i="5" s="1"/>
  <c r="Y491" i="5"/>
  <c r="Z491" i="5" s="1"/>
  <c r="Y479" i="5"/>
  <c r="Z479" i="5" s="1"/>
  <c r="Y467" i="5"/>
  <c r="Z467" i="5" s="1"/>
  <c r="Y519" i="5"/>
  <c r="Z519" i="5" s="1"/>
  <c r="Y507" i="5"/>
  <c r="Z507" i="5" s="1"/>
  <c r="Y497" i="5"/>
  <c r="Z497" i="5" s="1"/>
  <c r="Y490" i="5"/>
  <c r="Z490" i="5" s="1"/>
  <c r="Y485" i="5"/>
  <c r="Z485" i="5" s="1"/>
  <c r="Y478" i="5"/>
  <c r="Z478" i="5" s="1"/>
  <c r="Y473" i="5"/>
  <c r="Z473" i="5" s="1"/>
  <c r="Y466" i="5"/>
  <c r="Z466" i="5" s="1"/>
  <c r="Y462" i="5"/>
  <c r="Z462" i="5" s="1"/>
  <c r="Y458" i="5"/>
  <c r="Z458" i="5" s="1"/>
  <c r="Y454" i="5"/>
  <c r="Z454" i="5" s="1"/>
  <c r="Y450" i="5"/>
  <c r="Z450" i="5" s="1"/>
  <c r="Y446" i="5"/>
  <c r="Z446" i="5" s="1"/>
  <c r="Y442" i="5"/>
  <c r="Z442" i="5" s="1"/>
  <c r="Y438" i="5"/>
  <c r="Z438" i="5" s="1"/>
  <c r="Y434" i="5"/>
  <c r="Z434" i="5" s="1"/>
  <c r="Y430" i="5"/>
  <c r="Z430" i="5" s="1"/>
  <c r="Y426" i="5"/>
  <c r="Z426" i="5" s="1"/>
  <c r="Y422" i="5"/>
  <c r="Z422" i="5" s="1"/>
  <c r="Y418" i="5"/>
  <c r="Z418" i="5" s="1"/>
  <c r="Y414" i="5"/>
  <c r="Z414" i="5" s="1"/>
  <c r="Y410" i="5"/>
  <c r="Z410" i="5" s="1"/>
  <c r="Y406" i="5"/>
  <c r="Z406" i="5" s="1"/>
  <c r="Y402" i="5"/>
  <c r="Z402" i="5" s="1"/>
  <c r="Y398" i="5"/>
  <c r="Z398" i="5" s="1"/>
  <c r="Y394" i="5"/>
  <c r="Z394" i="5" s="1"/>
  <c r="Y390" i="5"/>
  <c r="Z390" i="5" s="1"/>
  <c r="Y511" i="5"/>
  <c r="Z511" i="5" s="1"/>
  <c r="Y505" i="5"/>
  <c r="Z505" i="5" s="1"/>
  <c r="Y495" i="5"/>
  <c r="Z495" i="5" s="1"/>
  <c r="Y489" i="5"/>
  <c r="Z489" i="5" s="1"/>
  <c r="Y483" i="5"/>
  <c r="Z483" i="5" s="1"/>
  <c r="Y477" i="5"/>
  <c r="Z477" i="5" s="1"/>
  <c r="Y471" i="5"/>
  <c r="Z471" i="5" s="1"/>
  <c r="Y465" i="5"/>
  <c r="Z465" i="5" s="1"/>
  <c r="Y461" i="5"/>
  <c r="Z461" i="5" s="1"/>
  <c r="Y457" i="5"/>
  <c r="Z457" i="5" s="1"/>
  <c r="Y453" i="5"/>
  <c r="Z453" i="5" s="1"/>
  <c r="Y449" i="5"/>
  <c r="Z449" i="5" s="1"/>
  <c r="Y445" i="5"/>
  <c r="Z445" i="5" s="1"/>
  <c r="Y441" i="5"/>
  <c r="Z441" i="5" s="1"/>
  <c r="Y437" i="5"/>
  <c r="Z437" i="5" s="1"/>
  <c r="Y433" i="5"/>
  <c r="Z433" i="5" s="1"/>
  <c r="Y429" i="5"/>
  <c r="Z429" i="5" s="1"/>
  <c r="Y425" i="5"/>
  <c r="Z425" i="5" s="1"/>
  <c r="Y421" i="5"/>
  <c r="Z421" i="5" s="1"/>
  <c r="Y417" i="5"/>
  <c r="Z417" i="5" s="1"/>
  <c r="Y413" i="5"/>
  <c r="Z413" i="5" s="1"/>
  <c r="Y409" i="5"/>
  <c r="Z409" i="5" s="1"/>
  <c r="Y405" i="5"/>
  <c r="Z405" i="5" s="1"/>
  <c r="Y401" i="5"/>
  <c r="Z401" i="5" s="1"/>
  <c r="Y397" i="5"/>
  <c r="Z397" i="5" s="1"/>
  <c r="Y393" i="5"/>
  <c r="Z393" i="5" s="1"/>
  <c r="Y389" i="5"/>
  <c r="Z389" i="5" s="1"/>
  <c r="Y385" i="5"/>
  <c r="Z385" i="5" s="1"/>
  <c r="Y506" i="5"/>
  <c r="Z506" i="5" s="1"/>
  <c r="Y386" i="5"/>
  <c r="Z386" i="5" s="1"/>
  <c r="Y357" i="5"/>
  <c r="Z357" i="5" s="1"/>
  <c r="Y353" i="5"/>
  <c r="Z353" i="5" s="1"/>
  <c r="Y349" i="5"/>
  <c r="Z349" i="5" s="1"/>
  <c r="Y345" i="5"/>
  <c r="Z345" i="5" s="1"/>
  <c r="Y341" i="5"/>
  <c r="Z341" i="5" s="1"/>
  <c r="Y337" i="5"/>
  <c r="Z337" i="5" s="1"/>
  <c r="Y333" i="5"/>
  <c r="Z333" i="5" s="1"/>
  <c r="Y329" i="5"/>
  <c r="Z329" i="5" s="1"/>
  <c r="Y325" i="5"/>
  <c r="Z325" i="5" s="1"/>
  <c r="Y321" i="5"/>
  <c r="Z321" i="5" s="1"/>
  <c r="Y317" i="5"/>
  <c r="Z317" i="5" s="1"/>
  <c r="Y387" i="5"/>
  <c r="Z387" i="5" s="1"/>
  <c r="B223" i="3" s="1"/>
  <c r="C223" i="3" s="1"/>
  <c r="Y472" i="5"/>
  <c r="Z472" i="5" s="1"/>
  <c r="Y388" i="5"/>
  <c r="Z388" i="5" s="1"/>
  <c r="Y363" i="5"/>
  <c r="Z363" i="5" s="1"/>
  <c r="Y362" i="5"/>
  <c r="Z362" i="5" s="1"/>
  <c r="Y356" i="5"/>
  <c r="Z356" i="5" s="1"/>
  <c r="Y352" i="5"/>
  <c r="Z352" i="5" s="1"/>
  <c r="Y348" i="5"/>
  <c r="Z348" i="5" s="1"/>
  <c r="Y344" i="5"/>
  <c r="Z344" i="5" s="1"/>
  <c r="Y340" i="5"/>
  <c r="Z340" i="5" s="1"/>
  <c r="Y336" i="5"/>
  <c r="Z336" i="5" s="1"/>
  <c r="Y332" i="5"/>
  <c r="Y328" i="5"/>
  <c r="Z328" i="5" s="1"/>
  <c r="Y324" i="5"/>
  <c r="Z324" i="5" s="1"/>
  <c r="Y320" i="5"/>
  <c r="Z320" i="5" s="1"/>
  <c r="Y496" i="5"/>
  <c r="Z496" i="5" s="1"/>
  <c r="Y484" i="5"/>
  <c r="Z484" i="5" s="1"/>
  <c r="Y367" i="5"/>
  <c r="Z367" i="5" s="1"/>
  <c r="Y366" i="5"/>
  <c r="Z366" i="5" s="1"/>
  <c r="Y365" i="5"/>
  <c r="Z365" i="5" s="1"/>
  <c r="Y364" i="5"/>
  <c r="Z364" i="5" s="1"/>
  <c r="Y361" i="5"/>
  <c r="Z361" i="5" s="1"/>
  <c r="Y375" i="5"/>
  <c r="Z375" i="5" s="1"/>
  <c r="Y374" i="5"/>
  <c r="Z374" i="5" s="1"/>
  <c r="Y373" i="5"/>
  <c r="Z373" i="5" s="1"/>
  <c r="Y372" i="5"/>
  <c r="Z372" i="5" s="1"/>
  <c r="Y371" i="5"/>
  <c r="Z371" i="5" s="1"/>
  <c r="Y370" i="5"/>
  <c r="Z370" i="5" s="1"/>
  <c r="Y369" i="5"/>
  <c r="Z369" i="5" s="1"/>
  <c r="Y368" i="5"/>
  <c r="Z368" i="5" s="1"/>
  <c r="Y355" i="5"/>
  <c r="Z355" i="5" s="1"/>
  <c r="Y351" i="5"/>
  <c r="Z351" i="5" s="1"/>
  <c r="Y347" i="5"/>
  <c r="Z347" i="5" s="1"/>
  <c r="Y343" i="5"/>
  <c r="Z343" i="5" s="1"/>
  <c r="Y339" i="5"/>
  <c r="Z339" i="5" s="1"/>
  <c r="Y335" i="5"/>
  <c r="Z335" i="5" s="1"/>
  <c r="Y331" i="5"/>
  <c r="Z331" i="5" s="1"/>
  <c r="Y327" i="5"/>
  <c r="Z327" i="5" s="1"/>
  <c r="Y323" i="5"/>
  <c r="Z323" i="5" s="1"/>
  <c r="Y319" i="5"/>
  <c r="Z319" i="5" s="1"/>
  <c r="Y379" i="5"/>
  <c r="Z379" i="5" s="1"/>
  <c r="Y378" i="5"/>
  <c r="Z378" i="5" s="1"/>
  <c r="Y377" i="5"/>
  <c r="Z377" i="5" s="1"/>
  <c r="Y376" i="5"/>
  <c r="Z376" i="5" s="1"/>
  <c r="Y360" i="5"/>
  <c r="Z360" i="5" s="1"/>
  <c r="Y399" i="5"/>
  <c r="Z399" i="5" s="1"/>
  <c r="Y395" i="5"/>
  <c r="Z395" i="5" s="1"/>
  <c r="Y391" i="5"/>
  <c r="Z391" i="5" s="1"/>
  <c r="Y384" i="5"/>
  <c r="Z384" i="5" s="1"/>
  <c r="Y358" i="5"/>
  <c r="Z358" i="5" s="1"/>
  <c r="Y350" i="5"/>
  <c r="Z350" i="5" s="1"/>
  <c r="Y326" i="5"/>
  <c r="Z326" i="5" s="1"/>
  <c r="Y315" i="5"/>
  <c r="Z315" i="5" s="1"/>
  <c r="Y306" i="5"/>
  <c r="Z306" i="5" s="1"/>
  <c r="Y300" i="5"/>
  <c r="Z300" i="5" s="1"/>
  <c r="Y299" i="5"/>
  <c r="Z299" i="5" s="1"/>
  <c r="Y294" i="5"/>
  <c r="Z294" i="5" s="1"/>
  <c r="Y290" i="5"/>
  <c r="Z290" i="5" s="1"/>
  <c r="Y286" i="5"/>
  <c r="Z286" i="5" s="1"/>
  <c r="Y282" i="5"/>
  <c r="Z282" i="5" s="1"/>
  <c r="Y278" i="5"/>
  <c r="Z278" i="5" s="1"/>
  <c r="Y274" i="5"/>
  <c r="Z274" i="5" s="1"/>
  <c r="Y270" i="5"/>
  <c r="Z270" i="5" s="1"/>
  <c r="Y266" i="5"/>
  <c r="Z266" i="5" s="1"/>
  <c r="Y262" i="5"/>
  <c r="Z262" i="5" s="1"/>
  <c r="Y258" i="5"/>
  <c r="Z258" i="5" s="1"/>
  <c r="Y254" i="5"/>
  <c r="Z254" i="5" s="1"/>
  <c r="Y250" i="5"/>
  <c r="Z250" i="5" s="1"/>
  <c r="B176" i="3" s="1"/>
  <c r="C176" i="3" s="1"/>
  <c r="Y246" i="5"/>
  <c r="Z246" i="5" s="1"/>
  <c r="Y242" i="5"/>
  <c r="Z242" i="5" s="1"/>
  <c r="Y238" i="5"/>
  <c r="Z238" i="5" s="1"/>
  <c r="Y234" i="5"/>
  <c r="Z234" i="5" s="1"/>
  <c r="Y230" i="5"/>
  <c r="Z230" i="5" s="1"/>
  <c r="Y226" i="5"/>
  <c r="Z226" i="5" s="1"/>
  <c r="Y222" i="5"/>
  <c r="Z222" i="5" s="1"/>
  <c r="Y218" i="5"/>
  <c r="Z218" i="5" s="1"/>
  <c r="Y214" i="5"/>
  <c r="Z214" i="5" s="1"/>
  <c r="Y210" i="5"/>
  <c r="Z210" i="5" s="1"/>
  <c r="Y206" i="5"/>
  <c r="Z206" i="5" s="1"/>
  <c r="Y202" i="5"/>
  <c r="Z202" i="5" s="1"/>
  <c r="Y198" i="5"/>
  <c r="Z198" i="5" s="1"/>
  <c r="Y194" i="5"/>
  <c r="Z194" i="5" s="1"/>
  <c r="Y190" i="5"/>
  <c r="Z190" i="5" s="1"/>
  <c r="Y186" i="5"/>
  <c r="Z186" i="5" s="1"/>
  <c r="Y182" i="5"/>
  <c r="Z182" i="5" s="1"/>
  <c r="Y178" i="5"/>
  <c r="Z178" i="5" s="1"/>
  <c r="Y174" i="5"/>
  <c r="Z174" i="5" s="1"/>
  <c r="Y170" i="5"/>
  <c r="Z170" i="5" s="1"/>
  <c r="Y166" i="5"/>
  <c r="Z166" i="5" s="1"/>
  <c r="Y162" i="5"/>
  <c r="Z162" i="5" s="1"/>
  <c r="Y158" i="5"/>
  <c r="Z158" i="5" s="1"/>
  <c r="Y154" i="5"/>
  <c r="Z154" i="5" s="1"/>
  <c r="Y150" i="5"/>
  <c r="Z150" i="5" s="1"/>
  <c r="Y146" i="5"/>
  <c r="Z146" i="5" s="1"/>
  <c r="Y142" i="5"/>
  <c r="Z142" i="5" s="1"/>
  <c r="Y354" i="5"/>
  <c r="Z354" i="5" s="1"/>
  <c r="Y316" i="5"/>
  <c r="Z316" i="5" s="1"/>
  <c r="Y307" i="5"/>
  <c r="Z307" i="5" s="1"/>
  <c r="Y298" i="5"/>
  <c r="Z298" i="5" s="1"/>
  <c r="Y382" i="5"/>
  <c r="Z382" i="5" s="1"/>
  <c r="Y330" i="5"/>
  <c r="Z330" i="5" s="1"/>
  <c r="Y308" i="5"/>
  <c r="Z308" i="5" s="1"/>
  <c r="Y297" i="5"/>
  <c r="Z297" i="5" s="1"/>
  <c r="Y293" i="5"/>
  <c r="Z293" i="5" s="1"/>
  <c r="Y289" i="5"/>
  <c r="Z289" i="5" s="1"/>
  <c r="Y285" i="5"/>
  <c r="Z285" i="5" s="1"/>
  <c r="Y281" i="5"/>
  <c r="Z281" i="5" s="1"/>
  <c r="Y277" i="5"/>
  <c r="Z277" i="5" s="1"/>
  <c r="Y273" i="5"/>
  <c r="Z273" i="5" s="1"/>
  <c r="Y269" i="5"/>
  <c r="Z269" i="5" s="1"/>
  <c r="Y265" i="5"/>
  <c r="Z265" i="5" s="1"/>
  <c r="Y261" i="5"/>
  <c r="Z261" i="5" s="1"/>
  <c r="Y257" i="5"/>
  <c r="Z257" i="5" s="1"/>
  <c r="Y253" i="5"/>
  <c r="Z253" i="5" s="1"/>
  <c r="Y249" i="5"/>
  <c r="Z249" i="5" s="1"/>
  <c r="Y245" i="5"/>
  <c r="Z245" i="5" s="1"/>
  <c r="Y241" i="5"/>
  <c r="Z241" i="5" s="1"/>
  <c r="Y237" i="5"/>
  <c r="Z237" i="5" s="1"/>
  <c r="Y233" i="5"/>
  <c r="Z233" i="5" s="1"/>
  <c r="Y229" i="5"/>
  <c r="Z229" i="5" s="1"/>
  <c r="Y225" i="5"/>
  <c r="Z225" i="5" s="1"/>
  <c r="Y221" i="5"/>
  <c r="Z221" i="5" s="1"/>
  <c r="Y217" i="5"/>
  <c r="Z217" i="5" s="1"/>
  <c r="Y213" i="5"/>
  <c r="Z213" i="5" s="1"/>
  <c r="Y209" i="5"/>
  <c r="Z209" i="5" s="1"/>
  <c r="Y205" i="5"/>
  <c r="Z205" i="5" s="1"/>
  <c r="Y201" i="5"/>
  <c r="Z201" i="5" s="1"/>
  <c r="Y197" i="5"/>
  <c r="Z197" i="5" s="1"/>
  <c r="Y193" i="5"/>
  <c r="Z193" i="5" s="1"/>
  <c r="Y189" i="5"/>
  <c r="Z189" i="5" s="1"/>
  <c r="Y185" i="5"/>
  <c r="Z185" i="5" s="1"/>
  <c r="Y181" i="5"/>
  <c r="Z181" i="5" s="1"/>
  <c r="Y177" i="5"/>
  <c r="Z177" i="5" s="1"/>
  <c r="Y173" i="5"/>
  <c r="Z173" i="5" s="1"/>
  <c r="Y169" i="5"/>
  <c r="Z169" i="5" s="1"/>
  <c r="Y165" i="5"/>
  <c r="Z165" i="5" s="1"/>
  <c r="Y161" i="5"/>
  <c r="Z161" i="5" s="1"/>
  <c r="Y157" i="5"/>
  <c r="Z157" i="5" s="1"/>
  <c r="Y153" i="5"/>
  <c r="Z153" i="5" s="1"/>
  <c r="Y149" i="5"/>
  <c r="Z149" i="5" s="1"/>
  <c r="Y338" i="5"/>
  <c r="Z338" i="5" s="1"/>
  <c r="Y334" i="5"/>
  <c r="Z334" i="5" s="1"/>
  <c r="Y309" i="5"/>
  <c r="Z309" i="5" s="1"/>
  <c r="Y383" i="5"/>
  <c r="Z383" i="5" s="1"/>
  <c r="Y342" i="5"/>
  <c r="Z342" i="5" s="1"/>
  <c r="Y318" i="5"/>
  <c r="Z318" i="5" s="1"/>
  <c r="Y310" i="5"/>
  <c r="Z310" i="5" s="1"/>
  <c r="Y296" i="5"/>
  <c r="Z296" i="5" s="1"/>
  <c r="Y292" i="5"/>
  <c r="Z292" i="5" s="1"/>
  <c r="Y288" i="5"/>
  <c r="Z288" i="5" s="1"/>
  <c r="Y284" i="5"/>
  <c r="Z284" i="5" s="1"/>
  <c r="Y280" i="5"/>
  <c r="Z280" i="5" s="1"/>
  <c r="Y276" i="5"/>
  <c r="Z276" i="5" s="1"/>
  <c r="Y272" i="5"/>
  <c r="Y268" i="5"/>
  <c r="Z268" i="5" s="1"/>
  <c r="Y264" i="5"/>
  <c r="Z264" i="5" s="1"/>
  <c r="Y260" i="5"/>
  <c r="Z260" i="5" s="1"/>
  <c r="Y256" i="5"/>
  <c r="Z256" i="5" s="1"/>
  <c r="Y252" i="5"/>
  <c r="Z252" i="5" s="1"/>
  <c r="Y248" i="5"/>
  <c r="Z248" i="5" s="1"/>
  <c r="Y244" i="5"/>
  <c r="Z244" i="5" s="1"/>
  <c r="Y240" i="5"/>
  <c r="Z240" i="5" s="1"/>
  <c r="Y236" i="5"/>
  <c r="Z236" i="5" s="1"/>
  <c r="Y232" i="5"/>
  <c r="Z232" i="5" s="1"/>
  <c r="Y228" i="5"/>
  <c r="Z228" i="5" s="1"/>
  <c r="Y224" i="5"/>
  <c r="Z224" i="5" s="1"/>
  <c r="Y220" i="5"/>
  <c r="Z220" i="5" s="1"/>
  <c r="Y216" i="5"/>
  <c r="Z216" i="5" s="1"/>
  <c r="Y212" i="5"/>
  <c r="Z212" i="5" s="1"/>
  <c r="Y208" i="5"/>
  <c r="Z208" i="5" s="1"/>
  <c r="Y204" i="5"/>
  <c r="Z204" i="5" s="1"/>
  <c r="Y200" i="5"/>
  <c r="Z200" i="5" s="1"/>
  <c r="Y196" i="5"/>
  <c r="Z196" i="5" s="1"/>
  <c r="Y192" i="5"/>
  <c r="Z192" i="5" s="1"/>
  <c r="Y188" i="5"/>
  <c r="Z188" i="5" s="1"/>
  <c r="Y184" i="5"/>
  <c r="Z184" i="5" s="1"/>
  <c r="Y180" i="5"/>
  <c r="Z180" i="5" s="1"/>
  <c r="Y176" i="5"/>
  <c r="Z176" i="5" s="1"/>
  <c r="Y172" i="5"/>
  <c r="Z172" i="5" s="1"/>
  <c r="Y168" i="5"/>
  <c r="Z168" i="5" s="1"/>
  <c r="Y164" i="5"/>
  <c r="Z164" i="5" s="1"/>
  <c r="Y160" i="5"/>
  <c r="Z160" i="5" s="1"/>
  <c r="Y156" i="5"/>
  <c r="Z156" i="5" s="1"/>
  <c r="Y152" i="5"/>
  <c r="Z152" i="5" s="1"/>
  <c r="Y148" i="5"/>
  <c r="Z148" i="5" s="1"/>
  <c r="Y144" i="5"/>
  <c r="Z144" i="5" s="1"/>
  <c r="Y140" i="5"/>
  <c r="Z140" i="5" s="1"/>
  <c r="Y380" i="5"/>
  <c r="Z380" i="5" s="1"/>
  <c r="Y359" i="5"/>
  <c r="Z359" i="5" s="1"/>
  <c r="B215" i="3" s="1"/>
  <c r="C215" i="3" s="1"/>
  <c r="Y311" i="5"/>
  <c r="Z311" i="5" s="1"/>
  <c r="Y381" i="5"/>
  <c r="Z381" i="5" s="1"/>
  <c r="Y314" i="5"/>
  <c r="Z314" i="5" s="1"/>
  <c r="Y313" i="5"/>
  <c r="Z313" i="5" s="1"/>
  <c r="Y305" i="5"/>
  <c r="Z305" i="5" s="1"/>
  <c r="Y301" i="5"/>
  <c r="Z301" i="5" s="1"/>
  <c r="Y322" i="5"/>
  <c r="Z322" i="5" s="1"/>
  <c r="Y295" i="5"/>
  <c r="Z295" i="5" s="1"/>
  <c r="Y255" i="5"/>
  <c r="Z255" i="5" s="1"/>
  <c r="Y223" i="5"/>
  <c r="Z223" i="5" s="1"/>
  <c r="Y207" i="5"/>
  <c r="Z207" i="5" s="1"/>
  <c r="Y151" i="5"/>
  <c r="Z151" i="5" s="1"/>
  <c r="Y147" i="5"/>
  <c r="Z147" i="5" s="1"/>
  <c r="Y141" i="5"/>
  <c r="Z141" i="5" s="1"/>
  <c r="Y119" i="5"/>
  <c r="Z119" i="5" s="1"/>
  <c r="Y118" i="5"/>
  <c r="Z118" i="5" s="1"/>
  <c r="Y117" i="5"/>
  <c r="Z117" i="5" s="1"/>
  <c r="Y116" i="5"/>
  <c r="Z116" i="5" s="1"/>
  <c r="Y112" i="5"/>
  <c r="Z112" i="5" s="1"/>
  <c r="Y111" i="5"/>
  <c r="Z111" i="5" s="1"/>
  <c r="Y267" i="5"/>
  <c r="Z267" i="5" s="1"/>
  <c r="Y243" i="5"/>
  <c r="Z243" i="5" s="1"/>
  <c r="Y187" i="5"/>
  <c r="Z187" i="5" s="1"/>
  <c r="Y171" i="5"/>
  <c r="Z171" i="5" s="1"/>
  <c r="Y123" i="5"/>
  <c r="Z123" i="5" s="1"/>
  <c r="Y122" i="5"/>
  <c r="Z122" i="5" s="1"/>
  <c r="Y121" i="5"/>
  <c r="Z121" i="5" s="1"/>
  <c r="Y120" i="5"/>
  <c r="Z120" i="5" s="1"/>
  <c r="Y110" i="5"/>
  <c r="Z110" i="5" s="1"/>
  <c r="Y104" i="5"/>
  <c r="Z104" i="5" s="1"/>
  <c r="Y100" i="5"/>
  <c r="Z100" i="5" s="1"/>
  <c r="Y96" i="5"/>
  <c r="Z96" i="5" s="1"/>
  <c r="Y92" i="5"/>
  <c r="Y88" i="5"/>
  <c r="Z88" i="5" s="1"/>
  <c r="Y84" i="5"/>
  <c r="Z84" i="5" s="1"/>
  <c r="Y80" i="5"/>
  <c r="Z80" i="5" s="1"/>
  <c r="Y76" i="5"/>
  <c r="Z76" i="5" s="1"/>
  <c r="Y72" i="5"/>
  <c r="Z72" i="5" s="1"/>
  <c r="Y68" i="5"/>
  <c r="Z68" i="5" s="1"/>
  <c r="Y64" i="5"/>
  <c r="Z64" i="5" s="1"/>
  <c r="Y60" i="5"/>
  <c r="Z60" i="5" s="1"/>
  <c r="Y56" i="5"/>
  <c r="Z56" i="5" s="1"/>
  <c r="Y52" i="5"/>
  <c r="Z52" i="5" s="1"/>
  <c r="Y48" i="5"/>
  <c r="Z48" i="5" s="1"/>
  <c r="Y44" i="5"/>
  <c r="Z44" i="5" s="1"/>
  <c r="Y40" i="5"/>
  <c r="Z40" i="5" s="1"/>
  <c r="Y36" i="5"/>
  <c r="Z36" i="5" s="1"/>
  <c r="Y32" i="5"/>
  <c r="Y28" i="5"/>
  <c r="Z28" i="5" s="1"/>
  <c r="Y24" i="5"/>
  <c r="Z24" i="5" s="1"/>
  <c r="Y20" i="5"/>
  <c r="Z20" i="5" s="1"/>
  <c r="Y16" i="5"/>
  <c r="Z16" i="5" s="1"/>
  <c r="Y12" i="5"/>
  <c r="Z12" i="5" s="1"/>
  <c r="Y8" i="5"/>
  <c r="Z8" i="5" s="1"/>
  <c r="Y4" i="5"/>
  <c r="Y346" i="5"/>
  <c r="Z346" i="5" s="1"/>
  <c r="Y279" i="5"/>
  <c r="Z279" i="5" s="1"/>
  <c r="Y227" i="5"/>
  <c r="Z227" i="5" s="1"/>
  <c r="Y211" i="5"/>
  <c r="Z211" i="5" s="1"/>
  <c r="Y191" i="5"/>
  <c r="Z191" i="5" s="1"/>
  <c r="Y155" i="5"/>
  <c r="Z155" i="5" s="1"/>
  <c r="Y127" i="5"/>
  <c r="Z127" i="5" s="1"/>
  <c r="Y126" i="5"/>
  <c r="Z126" i="5" s="1"/>
  <c r="Y125" i="5"/>
  <c r="Z125" i="5" s="1"/>
  <c r="Y124" i="5"/>
  <c r="Z124" i="5" s="1"/>
  <c r="Y109" i="5"/>
  <c r="Z109" i="5" s="1"/>
  <c r="Y302" i="5"/>
  <c r="Y291" i="5"/>
  <c r="Z291" i="5" s="1"/>
  <c r="Y259" i="5"/>
  <c r="Z259" i="5" s="1"/>
  <c r="Y247" i="5"/>
  <c r="Z247" i="5" s="1"/>
  <c r="Y195" i="5"/>
  <c r="Z195" i="5" s="1"/>
  <c r="Y175" i="5"/>
  <c r="Z175" i="5" s="1"/>
  <c r="Y143" i="5"/>
  <c r="Z143" i="5" s="1"/>
  <c r="Y131" i="5"/>
  <c r="Z131" i="5" s="1"/>
  <c r="Y130" i="5"/>
  <c r="Z130" i="5" s="1"/>
  <c r="Y129" i="5"/>
  <c r="Z129" i="5" s="1"/>
  <c r="Y128" i="5"/>
  <c r="Z128" i="5" s="1"/>
  <c r="Y103" i="5"/>
  <c r="Z103" i="5" s="1"/>
  <c r="Y99" i="5"/>
  <c r="Z99" i="5" s="1"/>
  <c r="Y95" i="5"/>
  <c r="Z95" i="5" s="1"/>
  <c r="Y91" i="5"/>
  <c r="Z91" i="5" s="1"/>
  <c r="Y87" i="5"/>
  <c r="Z87" i="5" s="1"/>
  <c r="Y83" i="5"/>
  <c r="Z83" i="5" s="1"/>
  <c r="Y79" i="5"/>
  <c r="Z79" i="5" s="1"/>
  <c r="Y75" i="5"/>
  <c r="Z75" i="5" s="1"/>
  <c r="Y71" i="5"/>
  <c r="Z71" i="5" s="1"/>
  <c r="Y67" i="5"/>
  <c r="Z67" i="5" s="1"/>
  <c r="Y63" i="5"/>
  <c r="Z63" i="5" s="1"/>
  <c r="Y59" i="5"/>
  <c r="Z59" i="5" s="1"/>
  <c r="Y55" i="5"/>
  <c r="Z55" i="5" s="1"/>
  <c r="Y51" i="5"/>
  <c r="Z51" i="5" s="1"/>
  <c r="Y47" i="5"/>
  <c r="Z47" i="5" s="1"/>
  <c r="Y43" i="5"/>
  <c r="Z43" i="5" s="1"/>
  <c r="Y39" i="5"/>
  <c r="Z39" i="5" s="1"/>
  <c r="Y35" i="5"/>
  <c r="Z35" i="5" s="1"/>
  <c r="Y31" i="5"/>
  <c r="Z31" i="5" s="1"/>
  <c r="Y27" i="5"/>
  <c r="Z27" i="5" s="1"/>
  <c r="Y23" i="5"/>
  <c r="Z23" i="5" s="1"/>
  <c r="Y19" i="5"/>
  <c r="Z19" i="5" s="1"/>
  <c r="Y15" i="5"/>
  <c r="Z15" i="5" s="1"/>
  <c r="Y11" i="5"/>
  <c r="Z11" i="5" s="1"/>
  <c r="Y7" i="5"/>
  <c r="Z7" i="5" s="1"/>
  <c r="Y3" i="5"/>
  <c r="Y283" i="5"/>
  <c r="Z283" i="5" s="1"/>
  <c r="Y271" i="5"/>
  <c r="Z271" i="5" s="1"/>
  <c r="Y231" i="5"/>
  <c r="Z231" i="5" s="1"/>
  <c r="Y215" i="5"/>
  <c r="Z215" i="5" s="1"/>
  <c r="Y159" i="5"/>
  <c r="Z159" i="5" s="1"/>
  <c r="Y135" i="5"/>
  <c r="Z135" i="5" s="1"/>
  <c r="Y134" i="5"/>
  <c r="Z134" i="5" s="1"/>
  <c r="Y133" i="5"/>
  <c r="Z133" i="5" s="1"/>
  <c r="Y132" i="5"/>
  <c r="Z132" i="5" s="1"/>
  <c r="Y108" i="5"/>
  <c r="Z108" i="5" s="1"/>
  <c r="Y312" i="5"/>
  <c r="Z312" i="5" s="1"/>
  <c r="Y303" i="5"/>
  <c r="Z303" i="5" s="1"/>
  <c r="Y251" i="5"/>
  <c r="Z251" i="5" s="1"/>
  <c r="Y199" i="5"/>
  <c r="Z199" i="5" s="1"/>
  <c r="Y179" i="5"/>
  <c r="Z179" i="5" s="1"/>
  <c r="Y163" i="5"/>
  <c r="Z163" i="5" s="1"/>
  <c r="Y145" i="5"/>
  <c r="Z145" i="5" s="1"/>
  <c r="Y139" i="5"/>
  <c r="Z139" i="5" s="1"/>
  <c r="Y138" i="5"/>
  <c r="Z138" i="5" s="1"/>
  <c r="Y137" i="5"/>
  <c r="Z137" i="5" s="1"/>
  <c r="Y136" i="5"/>
  <c r="Z136" i="5" s="1"/>
  <c r="Y107" i="5"/>
  <c r="Z107" i="5" s="1"/>
  <c r="Y102" i="5"/>
  <c r="Z102" i="5" s="1"/>
  <c r="Y98" i="5"/>
  <c r="Z98" i="5" s="1"/>
  <c r="Y94" i="5"/>
  <c r="Z94" i="5" s="1"/>
  <c r="Y90" i="5"/>
  <c r="Z90" i="5" s="1"/>
  <c r="Y86" i="5"/>
  <c r="Z86" i="5" s="1"/>
  <c r="Y82" i="5"/>
  <c r="Z82" i="5" s="1"/>
  <c r="Y78" i="5"/>
  <c r="Z78" i="5" s="1"/>
  <c r="Y74" i="5"/>
  <c r="Z74" i="5" s="1"/>
  <c r="Y70" i="5"/>
  <c r="Z70" i="5" s="1"/>
  <c r="Y66" i="5"/>
  <c r="Z66" i="5" s="1"/>
  <c r="Y62" i="5"/>
  <c r="Z62" i="5" s="1"/>
  <c r="Y58" i="5"/>
  <c r="Z58" i="5" s="1"/>
  <c r="Y54" i="5"/>
  <c r="Z54" i="5" s="1"/>
  <c r="Y50" i="5"/>
  <c r="Z50" i="5" s="1"/>
  <c r="Y46" i="5"/>
  <c r="Z46" i="5" s="1"/>
  <c r="Y42" i="5"/>
  <c r="Z42" i="5" s="1"/>
  <c r="Y38" i="5"/>
  <c r="Z38" i="5" s="1"/>
  <c r="Y34" i="5"/>
  <c r="Z34" i="5" s="1"/>
  <c r="Y30" i="5"/>
  <c r="Z30" i="5" s="1"/>
  <c r="Y26" i="5"/>
  <c r="Z26" i="5" s="1"/>
  <c r="Y22" i="5"/>
  <c r="Z22" i="5" s="1"/>
  <c r="Y18" i="5"/>
  <c r="Z18" i="5" s="1"/>
  <c r="Y14" i="5"/>
  <c r="Y10" i="5"/>
  <c r="Z10" i="5" s="1"/>
  <c r="Y6" i="5"/>
  <c r="Y2" i="5"/>
  <c r="B2" i="4"/>
  <c r="Y304" i="5"/>
  <c r="Z304" i="5" s="1"/>
  <c r="Y287" i="5"/>
  <c r="Z287" i="5" s="1"/>
  <c r="Y275" i="5"/>
  <c r="Z275" i="5" s="1"/>
  <c r="Y239" i="5"/>
  <c r="Z239" i="5" s="1"/>
  <c r="Y183" i="5"/>
  <c r="Z183" i="5" s="1"/>
  <c r="Y167" i="5"/>
  <c r="Z167" i="5" s="1"/>
  <c r="Y115" i="5"/>
  <c r="Z115" i="5" s="1"/>
  <c r="Y114" i="5"/>
  <c r="Z114" i="5" s="1"/>
  <c r="Y113" i="5"/>
  <c r="Z113" i="5" s="1"/>
  <c r="Y105" i="5"/>
  <c r="Z105" i="5" s="1"/>
  <c r="Y101" i="5"/>
  <c r="Z101" i="5" s="1"/>
  <c r="Y97" i="5"/>
  <c r="Z97" i="5" s="1"/>
  <c r="Y93" i="5"/>
  <c r="Z93" i="5" s="1"/>
  <c r="Y89" i="5"/>
  <c r="Z89" i="5" s="1"/>
  <c r="Y85" i="5"/>
  <c r="Z85" i="5" s="1"/>
  <c r="Y81" i="5"/>
  <c r="Z81" i="5" s="1"/>
  <c r="Y77" i="5"/>
  <c r="Z77" i="5" s="1"/>
  <c r="Y73" i="5"/>
  <c r="Z73" i="5" s="1"/>
  <c r="Y69" i="5"/>
  <c r="Z69" i="5" s="1"/>
  <c r="Y65" i="5"/>
  <c r="Z65" i="5" s="1"/>
  <c r="Y61" i="5"/>
  <c r="Z61" i="5" s="1"/>
  <c r="Y57" i="5"/>
  <c r="Z57" i="5" s="1"/>
  <c r="Y53" i="5"/>
  <c r="Z53" i="5" s="1"/>
  <c r="Y49" i="5"/>
  <c r="Z49" i="5" s="1"/>
  <c r="Y45" i="5"/>
  <c r="Z45" i="5" s="1"/>
  <c r="Y41" i="5"/>
  <c r="Z41" i="5" s="1"/>
  <c r="Y219" i="5"/>
  <c r="Z219" i="5" s="1"/>
  <c r="Y17" i="5"/>
  <c r="Z17" i="5" s="1"/>
  <c r="Y203" i="5"/>
  <c r="Z203" i="5" s="1"/>
  <c r="Y263" i="5"/>
  <c r="Z263" i="5" s="1"/>
  <c r="Y33" i="5"/>
  <c r="Z33" i="5" s="1"/>
  <c r="Y29" i="5"/>
  <c r="Z29" i="5" s="1"/>
  <c r="Y5" i="5"/>
  <c r="Z5" i="5" s="1"/>
  <c r="Y21" i="5"/>
  <c r="A36" i="3"/>
  <c r="A52" i="3"/>
  <c r="A68" i="3"/>
  <c r="A84" i="3"/>
  <c r="A100" i="3"/>
  <c r="A116" i="3"/>
  <c r="A132" i="3"/>
  <c r="A148" i="3"/>
  <c r="A164" i="3"/>
  <c r="A197" i="3"/>
  <c r="A205" i="3"/>
  <c r="A238" i="3"/>
  <c r="A270" i="3"/>
  <c r="A278" i="3"/>
  <c r="AE10" i="5"/>
  <c r="AF26" i="5"/>
  <c r="AE56" i="5"/>
  <c r="AE59" i="5"/>
  <c r="AE195" i="5"/>
  <c r="Q8" i="5"/>
  <c r="R8" i="5" s="1"/>
  <c r="Q11" i="5"/>
  <c r="R11" i="5" s="1"/>
  <c r="AE31" i="5"/>
  <c r="AE37" i="5"/>
  <c r="AE44" i="5"/>
  <c r="AE73" i="5"/>
  <c r="Q74" i="5"/>
  <c r="R74" i="5" s="1"/>
  <c r="AF126" i="5"/>
  <c r="AE507" i="5"/>
  <c r="AE2" i="5"/>
  <c r="AE3" i="5"/>
  <c r="AE28" i="5"/>
  <c r="AE30" i="5"/>
  <c r="AE39" i="5"/>
  <c r="AE51" i="5"/>
  <c r="Q62" i="5"/>
  <c r="R62" i="5" s="1"/>
  <c r="AF82" i="5"/>
  <c r="AF105" i="5"/>
  <c r="Y106" i="5"/>
  <c r="Z106" i="5" s="1"/>
  <c r="AF108" i="5"/>
  <c r="AE108" i="5"/>
  <c r="AE115" i="5"/>
  <c r="AE123" i="5"/>
  <c r="AE175" i="5"/>
  <c r="AE291" i="5"/>
  <c r="AF308" i="5"/>
  <c r="D23" i="2"/>
  <c r="D41" i="2"/>
  <c r="AE881" i="5"/>
  <c r="AE877" i="5"/>
  <c r="AE873" i="5"/>
  <c r="AE869" i="5"/>
  <c r="AE865" i="5"/>
  <c r="AE861" i="5"/>
  <c r="AE857" i="5"/>
  <c r="AE853" i="5"/>
  <c r="AE849" i="5"/>
  <c r="AE845" i="5"/>
  <c r="AE841" i="5"/>
  <c r="AE837" i="5"/>
  <c r="AE833" i="5"/>
  <c r="AE829" i="5"/>
  <c r="AE825" i="5"/>
  <c r="AE883" i="5"/>
  <c r="AE879" i="5"/>
  <c r="AE875" i="5"/>
  <c r="AE871" i="5"/>
  <c r="AE867" i="5"/>
  <c r="AE863" i="5"/>
  <c r="AE859" i="5"/>
  <c r="AE855" i="5"/>
  <c r="AE851" i="5"/>
  <c r="AE847" i="5"/>
  <c r="AE843" i="5"/>
  <c r="AE839" i="5"/>
  <c r="AE835" i="5"/>
  <c r="AE831" i="5"/>
  <c r="AE850" i="5"/>
  <c r="AE846" i="5"/>
  <c r="AE842" i="5"/>
  <c r="AE838" i="5"/>
  <c r="AE834" i="5"/>
  <c r="AE830" i="5"/>
  <c r="AE814" i="5"/>
  <c r="AE811" i="5"/>
  <c r="AE874" i="5"/>
  <c r="AE826" i="5"/>
  <c r="AE818" i="5"/>
  <c r="AE815" i="5"/>
  <c r="AE813" i="5"/>
  <c r="AE809" i="5"/>
  <c r="AE806" i="5"/>
  <c r="AE788" i="5"/>
  <c r="AE784" i="5"/>
  <c r="AE780" i="5"/>
  <c r="AE776" i="5"/>
  <c r="AE772" i="5"/>
  <c r="AE768" i="5"/>
  <c r="AE870" i="5"/>
  <c r="AE819" i="5"/>
  <c r="AE817" i="5"/>
  <c r="AE807" i="5"/>
  <c r="AE804" i="5"/>
  <c r="AE793" i="5"/>
  <c r="AE866" i="5"/>
  <c r="AE822" i="5"/>
  <c r="AE805" i="5"/>
  <c r="AE783" i="5"/>
  <c r="AE779" i="5"/>
  <c r="AE775" i="5"/>
  <c r="AE771" i="5"/>
  <c r="AE767" i="5"/>
  <c r="AE763" i="5"/>
  <c r="AE759" i="5"/>
  <c r="AE755" i="5"/>
  <c r="AE751" i="5"/>
  <c r="AE827" i="5"/>
  <c r="AE821" i="5"/>
  <c r="AE803" i="5"/>
  <c r="AE886" i="5"/>
  <c r="AE862" i="5"/>
  <c r="AE801" i="5"/>
  <c r="AE878" i="5"/>
  <c r="AE854" i="5"/>
  <c r="AE810" i="5"/>
  <c r="AE797" i="5"/>
  <c r="AE789" i="5"/>
  <c r="AE785" i="5"/>
  <c r="AE761" i="5"/>
  <c r="AE756" i="5"/>
  <c r="AE737" i="5"/>
  <c r="AE729" i="5"/>
  <c r="AE735" i="5"/>
  <c r="AE781" i="5"/>
  <c r="AE882" i="5"/>
  <c r="AE777" i="5"/>
  <c r="AE764" i="5"/>
  <c r="AE757" i="5"/>
  <c r="AE733" i="5"/>
  <c r="AE675" i="5"/>
  <c r="AE671" i="5"/>
  <c r="AE667" i="5"/>
  <c r="AE663" i="5"/>
  <c r="AE823" i="5"/>
  <c r="AE799" i="5"/>
  <c r="AE773" i="5"/>
  <c r="AE749" i="5"/>
  <c r="AE748" i="5"/>
  <c r="AE745" i="5"/>
  <c r="AE742" i="5"/>
  <c r="AE769" i="5"/>
  <c r="AE760" i="5"/>
  <c r="AE752" i="5"/>
  <c r="AE747" i="5"/>
  <c r="AE743" i="5"/>
  <c r="AE858" i="5"/>
  <c r="AE739" i="5"/>
  <c r="AE701" i="5"/>
  <c r="AE697" i="5"/>
  <c r="AE693" i="5"/>
  <c r="AE689" i="5"/>
  <c r="AE685" i="5"/>
  <c r="AE681" i="5"/>
  <c r="AE677" i="5"/>
  <c r="AE673" i="5"/>
  <c r="AE669" i="5"/>
  <c r="AE657" i="5"/>
  <c r="AE730" i="5"/>
  <c r="AE655" i="5"/>
  <c r="AE652" i="5"/>
  <c r="AE647" i="5"/>
  <c r="AE643" i="5"/>
  <c r="AE639" i="5"/>
  <c r="AE635" i="5"/>
  <c r="AE631" i="5"/>
  <c r="AE627" i="5"/>
  <c r="AE623" i="5"/>
  <c r="AE619" i="5"/>
  <c r="AE615" i="5"/>
  <c r="AE653" i="5"/>
  <c r="AE741" i="5"/>
  <c r="AE731" i="5"/>
  <c r="AE610" i="5"/>
  <c r="AE738" i="5"/>
  <c r="AE796" i="5"/>
  <c r="AE753" i="5"/>
  <c r="AE765" i="5"/>
  <c r="AE659" i="5"/>
  <c r="AE632" i="5"/>
  <c r="AE628" i="5"/>
  <c r="AE624" i="5"/>
  <c r="AE620" i="5"/>
  <c r="AE616" i="5"/>
  <c r="AE612" i="5"/>
  <c r="AE608" i="5"/>
  <c r="AE600" i="5"/>
  <c r="AE596" i="5"/>
  <c r="AE658" i="5"/>
  <c r="AE595" i="5"/>
  <c r="AE587" i="5"/>
  <c r="AE661" i="5"/>
  <c r="AE592" i="5"/>
  <c r="AE586" i="5"/>
  <c r="AE611" i="5"/>
  <c r="AE591" i="5"/>
  <c r="AE584" i="5"/>
  <c r="AE665" i="5"/>
  <c r="AE607" i="5"/>
  <c r="AE603" i="5"/>
  <c r="AE583" i="5"/>
  <c r="AE606" i="5"/>
  <c r="AE604" i="5"/>
  <c r="AE602" i="5"/>
  <c r="AE599" i="5"/>
  <c r="AE553" i="5"/>
  <c r="AE549" i="5"/>
  <c r="AE545" i="5"/>
  <c r="AE541" i="5"/>
  <c r="AE537" i="5"/>
  <c r="AE533" i="5"/>
  <c r="AE529" i="5"/>
  <c r="AE525" i="5"/>
  <c r="AE521" i="5"/>
  <c r="AE517" i="5"/>
  <c r="AE513" i="5"/>
  <c r="AE509" i="5"/>
  <c r="AE505" i="5"/>
  <c r="AE501" i="5"/>
  <c r="AE497" i="5"/>
  <c r="AE506" i="5"/>
  <c r="AE496" i="5"/>
  <c r="AE484" i="5"/>
  <c r="AE472" i="5"/>
  <c r="AE489" i="5"/>
  <c r="AE477" i="5"/>
  <c r="AE465" i="5"/>
  <c r="AE461" i="5"/>
  <c r="AE457" i="5"/>
  <c r="AE453" i="5"/>
  <c r="AE449" i="5"/>
  <c r="AE445" i="5"/>
  <c r="AE441" i="5"/>
  <c r="AE437" i="5"/>
  <c r="AE433" i="5"/>
  <c r="AE429" i="5"/>
  <c r="AE425" i="5"/>
  <c r="AE421" i="5"/>
  <c r="AE417" i="5"/>
  <c r="AE413" i="5"/>
  <c r="AE409" i="5"/>
  <c r="AE405" i="5"/>
  <c r="AE401" i="5"/>
  <c r="AE397" i="5"/>
  <c r="AE393" i="5"/>
  <c r="AE389" i="5"/>
  <c r="AE502" i="5"/>
  <c r="AE464" i="5"/>
  <c r="AE460" i="5"/>
  <c r="AE456" i="5"/>
  <c r="AE452" i="5"/>
  <c r="AE448" i="5"/>
  <c r="AE444" i="5"/>
  <c r="AE440" i="5"/>
  <c r="AE436" i="5"/>
  <c r="AE432" i="5"/>
  <c r="AE428" i="5"/>
  <c r="AE424" i="5"/>
  <c r="AE420" i="5"/>
  <c r="AE416" i="5"/>
  <c r="AE412" i="5"/>
  <c r="AE408" i="5"/>
  <c r="AE404" i="5"/>
  <c r="AE493" i="5"/>
  <c r="AE481" i="5"/>
  <c r="AE469" i="5"/>
  <c r="AE485" i="5"/>
  <c r="AE473" i="5"/>
  <c r="AE422" i="5"/>
  <c r="AE418" i="5"/>
  <c r="AE414" i="5"/>
  <c r="AE410" i="5"/>
  <c r="AE406" i="5"/>
  <c r="AE402" i="5"/>
  <c r="AE398" i="5"/>
  <c r="AE394" i="5"/>
  <c r="AE390" i="5"/>
  <c r="AE386" i="5"/>
  <c r="AE381" i="5"/>
  <c r="AE378" i="5"/>
  <c r="AE376" i="5"/>
  <c r="AE354" i="5"/>
  <c r="AE350" i="5"/>
  <c r="AE346" i="5"/>
  <c r="AE342" i="5"/>
  <c r="AE338" i="5"/>
  <c r="AE334" i="5"/>
  <c r="AE330" i="5"/>
  <c r="AE326" i="5"/>
  <c r="AE322" i="5"/>
  <c r="AE318" i="5"/>
  <c r="AE382" i="5"/>
  <c r="AE380" i="5"/>
  <c r="AE385" i="5"/>
  <c r="AE384" i="5"/>
  <c r="AE357" i="5"/>
  <c r="AE353" i="5"/>
  <c r="AE349" i="5"/>
  <c r="AE345" i="5"/>
  <c r="AE341" i="5"/>
  <c r="AE337" i="5"/>
  <c r="AE333" i="5"/>
  <c r="AE329" i="5"/>
  <c r="AE325" i="5"/>
  <c r="AE321" i="5"/>
  <c r="AE356" i="5"/>
  <c r="AE352" i="5"/>
  <c r="AE348" i="5"/>
  <c r="AE344" i="5"/>
  <c r="AE340" i="5"/>
  <c r="AE336" i="5"/>
  <c r="AE332" i="5"/>
  <c r="AE328" i="5"/>
  <c r="AE324" i="5"/>
  <c r="AE320" i="5"/>
  <c r="AE498" i="5"/>
  <c r="AE400" i="5"/>
  <c r="AE396" i="5"/>
  <c r="AE392" i="5"/>
  <c r="AE388" i="5"/>
  <c r="AE365" i="5"/>
  <c r="AE377" i="5"/>
  <c r="AE374" i="5"/>
  <c r="AE372" i="5"/>
  <c r="AE370" i="5"/>
  <c r="AE368" i="5"/>
  <c r="AE360" i="5"/>
  <c r="AE331" i="5"/>
  <c r="AE311" i="5"/>
  <c r="AE364" i="5"/>
  <c r="AE339" i="5"/>
  <c r="AE335" i="5"/>
  <c r="AE312" i="5"/>
  <c r="AE304" i="5"/>
  <c r="AE301" i="5"/>
  <c r="AE343" i="5"/>
  <c r="AE319" i="5"/>
  <c r="AE314" i="5"/>
  <c r="AE313" i="5"/>
  <c r="AE305" i="5"/>
  <c r="AE300" i="5"/>
  <c r="AE278" i="5"/>
  <c r="AE274" i="5"/>
  <c r="AE270" i="5"/>
  <c r="AE266" i="5"/>
  <c r="AE262" i="5"/>
  <c r="AE258" i="5"/>
  <c r="AE254" i="5"/>
  <c r="AE250" i="5"/>
  <c r="AE246" i="5"/>
  <c r="AE242" i="5"/>
  <c r="AE238" i="5"/>
  <c r="AE234" i="5"/>
  <c r="AE230" i="5"/>
  <c r="AE226" i="5"/>
  <c r="AE222" i="5"/>
  <c r="AE218" i="5"/>
  <c r="AE214" i="5"/>
  <c r="AE210" i="5"/>
  <c r="AE206" i="5"/>
  <c r="AE202" i="5"/>
  <c r="AE198" i="5"/>
  <c r="AE194" i="5"/>
  <c r="AE190" i="5"/>
  <c r="AE186" i="5"/>
  <c r="AE182" i="5"/>
  <c r="AE178" i="5"/>
  <c r="AE174" i="5"/>
  <c r="AE170" i="5"/>
  <c r="AE166" i="5"/>
  <c r="AE162" i="5"/>
  <c r="AE158" i="5"/>
  <c r="AE154" i="5"/>
  <c r="AE150" i="5"/>
  <c r="AE315" i="5"/>
  <c r="AE306" i="5"/>
  <c r="AE369" i="5"/>
  <c r="AE347" i="5"/>
  <c r="AE323" i="5"/>
  <c r="AE316" i="5"/>
  <c r="AE307" i="5"/>
  <c r="AE245" i="5"/>
  <c r="AE241" i="5"/>
  <c r="AE237" i="5"/>
  <c r="AE233" i="5"/>
  <c r="AE229" i="5"/>
  <c r="AE225" i="5"/>
  <c r="AE221" i="5"/>
  <c r="AE217" i="5"/>
  <c r="AE213" i="5"/>
  <c r="AE209" i="5"/>
  <c r="AE205" i="5"/>
  <c r="AE201" i="5"/>
  <c r="AE197" i="5"/>
  <c r="AE193" i="5"/>
  <c r="AE189" i="5"/>
  <c r="AE185" i="5"/>
  <c r="AE181" i="5"/>
  <c r="AE177" i="5"/>
  <c r="AE173" i="5"/>
  <c r="AE169" i="5"/>
  <c r="AE165" i="5"/>
  <c r="AE161" i="5"/>
  <c r="AE157" i="5"/>
  <c r="AE153" i="5"/>
  <c r="AE149" i="5"/>
  <c r="AE145" i="5"/>
  <c r="AE141" i="5"/>
  <c r="AE366" i="5"/>
  <c r="AE308" i="5"/>
  <c r="AE355" i="5"/>
  <c r="AE310" i="5"/>
  <c r="AE280" i="5"/>
  <c r="AE268" i="5"/>
  <c r="AE228" i="5"/>
  <c r="AE212" i="5"/>
  <c r="AE156" i="5"/>
  <c r="AE144" i="5"/>
  <c r="AE138" i="5"/>
  <c r="AE136" i="5"/>
  <c r="AE309" i="5"/>
  <c r="AE248" i="5"/>
  <c r="AE196" i="5"/>
  <c r="AE176" i="5"/>
  <c r="AE327" i="5"/>
  <c r="AE292" i="5"/>
  <c r="AE260" i="5"/>
  <c r="AE232" i="5"/>
  <c r="AE216" i="5"/>
  <c r="AE160" i="5"/>
  <c r="AE117" i="5"/>
  <c r="AE114" i="5"/>
  <c r="AE111" i="5"/>
  <c r="AE284" i="5"/>
  <c r="AE272" i="5"/>
  <c r="AE200" i="5"/>
  <c r="AE180" i="5"/>
  <c r="AE164" i="5"/>
  <c r="AE146" i="5"/>
  <c r="AE140" i="5"/>
  <c r="AE121" i="5"/>
  <c r="AE118" i="5"/>
  <c r="AE116" i="5"/>
  <c r="AE112" i="5"/>
  <c r="AE351" i="5"/>
  <c r="AE252" i="5"/>
  <c r="AE236" i="5"/>
  <c r="AE220" i="5"/>
  <c r="AE204" i="5"/>
  <c r="AE125" i="5"/>
  <c r="AE122" i="5"/>
  <c r="AE120" i="5"/>
  <c r="AE109" i="5"/>
  <c r="AE373" i="5"/>
  <c r="AE264" i="5"/>
  <c r="AE240" i="5"/>
  <c r="AE184" i="5"/>
  <c r="AE168" i="5"/>
  <c r="AE129" i="5"/>
  <c r="AE126" i="5"/>
  <c r="AE124" i="5"/>
  <c r="AE296" i="5"/>
  <c r="AE256" i="5"/>
  <c r="AE244" i="5"/>
  <c r="AE192" i="5"/>
  <c r="AE172" i="5"/>
  <c r="AE137" i="5"/>
  <c r="AE134" i="5"/>
  <c r="AE132" i="5"/>
  <c r="AE107" i="5"/>
  <c r="AE102" i="5"/>
  <c r="AE98" i="5"/>
  <c r="AE94" i="5"/>
  <c r="AE90" i="5"/>
  <c r="AE86" i="5"/>
  <c r="AE82" i="5"/>
  <c r="AE78" i="5"/>
  <c r="AE74" i="5"/>
  <c r="AE70" i="5"/>
  <c r="AE66" i="5"/>
  <c r="AE62" i="5"/>
  <c r="AE58" i="5"/>
  <c r="AE54" i="5"/>
  <c r="AE50" i="5"/>
  <c r="AE46" i="5"/>
  <c r="AE42" i="5"/>
  <c r="AE38" i="5"/>
  <c r="AE317" i="5"/>
  <c r="AE148" i="5"/>
  <c r="AE142" i="5"/>
  <c r="AE130" i="5"/>
  <c r="AE276" i="5"/>
  <c r="AE34" i="5"/>
  <c r="AE224" i="5"/>
  <c r="AE131" i="5"/>
  <c r="AE152" i="5"/>
  <c r="AE26" i="5"/>
  <c r="AE208" i="5"/>
  <c r="AE188" i="5"/>
  <c r="AE128" i="5"/>
  <c r="AE133" i="5"/>
  <c r="AE6" i="5"/>
  <c r="I3" i="4"/>
  <c r="F5" i="4"/>
  <c r="AE22" i="5"/>
  <c r="AE48" i="5"/>
  <c r="AF67" i="5"/>
  <c r="AF102" i="5"/>
  <c r="AE105" i="5"/>
  <c r="B217" i="3"/>
  <c r="C217" i="3" s="1"/>
  <c r="F8" i="4"/>
  <c r="Q10" i="5"/>
  <c r="R10" i="5" s="1"/>
  <c r="AE18" i="5"/>
  <c r="AE19" i="5"/>
  <c r="Q20" i="5"/>
  <c r="R20" i="5" s="1"/>
  <c r="AE33" i="5"/>
  <c r="Y37" i="5"/>
  <c r="Z37" i="5" s="1"/>
  <c r="AE55" i="5"/>
  <c r="Q66" i="5"/>
  <c r="R66" i="5" s="1"/>
  <c r="AE67" i="5"/>
  <c r="AF74" i="5"/>
  <c r="AE77" i="5"/>
  <c r="Q146" i="5"/>
  <c r="R146" i="5" s="1"/>
  <c r="Y235" i="5"/>
  <c r="Z235" i="5" s="1"/>
  <c r="D44" i="2"/>
  <c r="D31" i="2"/>
  <c r="D39" i="2"/>
  <c r="B7" i="3"/>
  <c r="C7" i="3" s="1"/>
  <c r="B119" i="3"/>
  <c r="C119" i="3" s="1"/>
  <c r="F3" i="4"/>
  <c r="Y13" i="5"/>
  <c r="Z13" i="5" s="1"/>
  <c r="Q26" i="5"/>
  <c r="R26" i="5" s="1"/>
  <c r="AE32" i="5"/>
  <c r="AE43" i="5"/>
  <c r="AE97" i="5"/>
  <c r="D36" i="2"/>
  <c r="D47" i="2"/>
  <c r="D34" i="2"/>
  <c r="D42" i="2"/>
  <c r="D50" i="2"/>
  <c r="A88" i="3"/>
  <c r="A120" i="3"/>
  <c r="B120" i="3" s="1"/>
  <c r="C120" i="3" s="1"/>
  <c r="A136" i="3"/>
  <c r="A152" i="3"/>
  <c r="A168" i="3"/>
  <c r="A180" i="3"/>
  <c r="A187" i="3"/>
  <c r="B187" i="3" s="1"/>
  <c r="C187" i="3" s="1"/>
  <c r="A203" i="3"/>
  <c r="A211" i="3"/>
  <c r="A244" i="3"/>
  <c r="A276" i="3"/>
  <c r="A282" i="3"/>
  <c r="R9" i="5"/>
  <c r="Y9" i="5"/>
  <c r="AF15" i="5"/>
  <c r="AF134" i="5"/>
  <c r="Q28" i="5"/>
  <c r="R28" i="5" s="1"/>
  <c r="AE40" i="5"/>
  <c r="AE52" i="5"/>
  <c r="AE64" i="5"/>
  <c r="Q70" i="5"/>
  <c r="R70" i="5" s="1"/>
  <c r="D28" i="2"/>
  <c r="D37" i="2"/>
  <c r="B220" i="3"/>
  <c r="C220" i="3" s="1"/>
  <c r="B261" i="3"/>
  <c r="C261" i="3" s="1"/>
  <c r="B269" i="3"/>
  <c r="C269" i="3" s="1"/>
  <c r="D3" i="4"/>
  <c r="A231" i="3"/>
  <c r="B231" i="3" s="1"/>
  <c r="C231" i="3" s="1"/>
  <c r="A228" i="3"/>
  <c r="A225" i="3"/>
  <c r="A222" i="3"/>
  <c r="B222" i="3" s="1"/>
  <c r="C222" i="3" s="1"/>
  <c r="A219" i="3"/>
  <c r="A216" i="3"/>
  <c r="B216" i="3" s="1"/>
  <c r="C216" i="3" s="1"/>
  <c r="A213" i="3"/>
  <c r="A186" i="3"/>
  <c r="A178" i="3"/>
  <c r="B178" i="3" s="1"/>
  <c r="C178" i="3" s="1"/>
  <c r="A170" i="3"/>
  <c r="A162" i="3"/>
  <c r="A154" i="3"/>
  <c r="A146" i="3"/>
  <c r="A138" i="3"/>
  <c r="A130" i="3"/>
  <c r="A122" i="3"/>
  <c r="A114" i="3"/>
  <c r="A106" i="3"/>
  <c r="A98" i="3"/>
  <c r="A90" i="3"/>
  <c r="A82" i="3"/>
  <c r="A74" i="3"/>
  <c r="A66" i="3"/>
  <c r="A58" i="3"/>
  <c r="B58" i="3" s="1"/>
  <c r="C58" i="3" s="1"/>
  <c r="A50" i="3"/>
  <c r="A42" i="3"/>
  <c r="A34" i="3"/>
  <c r="A26" i="3"/>
  <c r="A18" i="3"/>
  <c r="A10" i="3"/>
  <c r="A255" i="3"/>
  <c r="B255" i="3" s="1"/>
  <c r="C255" i="3" s="1"/>
  <c r="A252" i="3"/>
  <c r="A249" i="3"/>
  <c r="A246" i="3"/>
  <c r="A243" i="3"/>
  <c r="A240" i="3"/>
  <c r="A237" i="3"/>
  <c r="A191" i="3"/>
  <c r="A183" i="3"/>
  <c r="B183" i="3" s="1"/>
  <c r="C183" i="3" s="1"/>
  <c r="A175" i="3"/>
  <c r="A288" i="3"/>
  <c r="A285" i="3"/>
  <c r="B285" i="3" s="1"/>
  <c r="C285" i="3" s="1"/>
  <c r="A239" i="3"/>
  <c r="A236" i="3"/>
  <c r="A233" i="3"/>
  <c r="A230" i="3"/>
  <c r="A227" i="3"/>
  <c r="A224" i="3"/>
  <c r="A221" i="3"/>
  <c r="A185" i="3"/>
  <c r="A177" i="3"/>
  <c r="A169" i="3"/>
  <c r="B169" i="3" s="1"/>
  <c r="C169" i="3" s="1"/>
  <c r="A161" i="3"/>
  <c r="B161" i="3" s="1"/>
  <c r="C161" i="3" s="1"/>
  <c r="A153" i="3"/>
  <c r="A145" i="3"/>
  <c r="B145" i="3" s="1"/>
  <c r="C145" i="3" s="1"/>
  <c r="A137" i="3"/>
  <c r="B137" i="3" s="1"/>
  <c r="C137" i="3" s="1"/>
  <c r="A129" i="3"/>
  <c r="B129" i="3" s="1"/>
  <c r="C129" i="3" s="1"/>
  <c r="A121" i="3"/>
  <c r="A113" i="3"/>
  <c r="B113" i="3" s="1"/>
  <c r="C113" i="3" s="1"/>
  <c r="A105" i="3"/>
  <c r="B105" i="3" s="1"/>
  <c r="C105" i="3" s="1"/>
  <c r="A97" i="3"/>
  <c r="A89" i="3"/>
  <c r="B89" i="3" s="1"/>
  <c r="C89" i="3" s="1"/>
  <c r="A81" i="3"/>
  <c r="A73" i="3"/>
  <c r="A65" i="3"/>
  <c r="A57" i="3"/>
  <c r="A49" i="3"/>
  <c r="A41" i="3"/>
  <c r="B41" i="3" s="1"/>
  <c r="C41" i="3" s="1"/>
  <c r="A33" i="3"/>
  <c r="A25" i="3"/>
  <c r="A17" i="3"/>
  <c r="A9" i="3"/>
  <c r="A263" i="3"/>
  <c r="A260" i="3"/>
  <c r="B260" i="3" s="1"/>
  <c r="C260" i="3" s="1"/>
  <c r="A257" i="3"/>
  <c r="B257" i="3" s="1"/>
  <c r="C257" i="3" s="1"/>
  <c r="A254" i="3"/>
  <c r="A251" i="3"/>
  <c r="A248" i="3"/>
  <c r="B248" i="3" s="1"/>
  <c r="C248" i="3" s="1"/>
  <c r="A245" i="3"/>
  <c r="A199" i="3"/>
  <c r="A196" i="3"/>
  <c r="A193" i="3"/>
  <c r="A190" i="3"/>
  <c r="B190" i="3" s="1"/>
  <c r="C190" i="3" s="1"/>
  <c r="A182" i="3"/>
  <c r="A174" i="3"/>
  <c r="B174" i="3" s="1"/>
  <c r="C174" i="3" s="1"/>
  <c r="A166" i="3"/>
  <c r="A158" i="3"/>
  <c r="B158" i="3" s="1"/>
  <c r="C158" i="3" s="1"/>
  <c r="A150" i="3"/>
  <c r="A142" i="3"/>
  <c r="B142" i="3" s="1"/>
  <c r="C142" i="3" s="1"/>
  <c r="A134" i="3"/>
  <c r="A126" i="3"/>
  <c r="B126" i="3" s="1"/>
  <c r="C126" i="3" s="1"/>
  <c r="A118" i="3"/>
  <c r="A110" i="3"/>
  <c r="A102" i="3"/>
  <c r="A94" i="3"/>
  <c r="A86" i="3"/>
  <c r="A78" i="3"/>
  <c r="A70" i="3"/>
  <c r="B70" i="3" s="1"/>
  <c r="C70" i="3" s="1"/>
  <c r="A62" i="3"/>
  <c r="B62" i="3" s="1"/>
  <c r="C62" i="3" s="1"/>
  <c r="A54" i="3"/>
  <c r="B54" i="3" s="1"/>
  <c r="C54" i="3" s="1"/>
  <c r="A46" i="3"/>
  <c r="A38" i="3"/>
  <c r="B38" i="3" s="1"/>
  <c r="C38" i="3" s="1"/>
  <c r="A30" i="3"/>
  <c r="B30" i="3" s="1"/>
  <c r="C30" i="3" s="1"/>
  <c r="A22" i="3"/>
  <c r="A14" i="3"/>
  <c r="A6" i="3"/>
  <c r="A271" i="3"/>
  <c r="A268" i="3"/>
  <c r="A265" i="3"/>
  <c r="A262" i="3"/>
  <c r="B262" i="3" s="1"/>
  <c r="C262" i="3" s="1"/>
  <c r="A259" i="3"/>
  <c r="A256" i="3"/>
  <c r="B256" i="3" s="1"/>
  <c r="C256" i="3" s="1"/>
  <c r="A253" i="3"/>
  <c r="B253" i="3" s="1"/>
  <c r="C253" i="3" s="1"/>
  <c r="A207" i="3"/>
  <c r="A204" i="3"/>
  <c r="A201" i="3"/>
  <c r="B201" i="3" s="1"/>
  <c r="C201" i="3" s="1"/>
  <c r="A198" i="3"/>
  <c r="B198" i="3" s="1"/>
  <c r="C198" i="3" s="1"/>
  <c r="A195" i="3"/>
  <c r="A192" i="3"/>
  <c r="A189" i="3"/>
  <c r="A181" i="3"/>
  <c r="B181" i="3" s="1"/>
  <c r="C181" i="3" s="1"/>
  <c r="A173" i="3"/>
  <c r="B173" i="3" s="1"/>
  <c r="C173" i="3" s="1"/>
  <c r="A165" i="3"/>
  <c r="A157" i="3"/>
  <c r="B157" i="3" s="1"/>
  <c r="C157" i="3" s="1"/>
  <c r="A149" i="3"/>
  <c r="A141" i="3"/>
  <c r="A133" i="3"/>
  <c r="B133" i="3" s="1"/>
  <c r="C133" i="3" s="1"/>
  <c r="A125" i="3"/>
  <c r="A117" i="3"/>
  <c r="B117" i="3" s="1"/>
  <c r="C117" i="3" s="1"/>
  <c r="A109" i="3"/>
  <c r="A101" i="3"/>
  <c r="B101" i="3" s="1"/>
  <c r="C101" i="3" s="1"/>
  <c r="A93" i="3"/>
  <c r="B93" i="3" s="1"/>
  <c r="C93" i="3" s="1"/>
  <c r="A85" i="3"/>
  <c r="A77" i="3"/>
  <c r="A69" i="3"/>
  <c r="A61" i="3"/>
  <c r="A53" i="3"/>
  <c r="B53" i="3" s="1"/>
  <c r="C53" i="3" s="1"/>
  <c r="A45" i="3"/>
  <c r="B45" i="3" s="1"/>
  <c r="C45" i="3" s="1"/>
  <c r="A37" i="3"/>
  <c r="B37" i="3" s="1"/>
  <c r="C37" i="3" s="1"/>
  <c r="A29" i="3"/>
  <c r="B29" i="3" s="1"/>
  <c r="C29" i="3" s="1"/>
  <c r="A21" i="3"/>
  <c r="A13" i="3"/>
  <c r="A5" i="3"/>
  <c r="B5" i="3" s="1"/>
  <c r="C5" i="3" s="1"/>
  <c r="AE21" i="5"/>
  <c r="Y25" i="5"/>
  <c r="Z25" i="5" s="1"/>
  <c r="Q30" i="5"/>
  <c r="R30" i="5" s="1"/>
  <c r="AE47" i="5"/>
  <c r="AF59" i="5"/>
  <c r="AF78" i="5"/>
  <c r="AE81" i="5"/>
  <c r="Q82" i="5"/>
  <c r="R82" i="5" s="1"/>
  <c r="AF86" i="5"/>
  <c r="AE89" i="5"/>
  <c r="D4" i="4"/>
  <c r="AF150" i="5"/>
  <c r="AF17" i="5"/>
  <c r="AE4" i="5"/>
  <c r="AF4" i="5"/>
  <c r="AE5" i="5"/>
  <c r="AE7" i="5"/>
  <c r="AF7" i="5"/>
  <c r="AF9" i="5"/>
  <c r="AF10" i="5"/>
  <c r="R17" i="5"/>
  <c r="AF19" i="5"/>
  <c r="AE24" i="5"/>
  <c r="AF28" i="5"/>
  <c r="AE29" i="5"/>
  <c r="Q42" i="5"/>
  <c r="R42" i="5" s="1"/>
  <c r="AF43" i="5"/>
  <c r="Q50" i="5"/>
  <c r="R50" i="5" s="1"/>
  <c r="AF51" i="5"/>
  <c r="AF62" i="5"/>
  <c r="AE65" i="5"/>
  <c r="AF70" i="5"/>
  <c r="AE84" i="5"/>
  <c r="AE87" i="5"/>
  <c r="AE92" i="5"/>
  <c r="AE95" i="5"/>
  <c r="AE100" i="5"/>
  <c r="AE103" i="5"/>
  <c r="D5" i="4"/>
  <c r="AF22" i="5"/>
  <c r="AF27" i="5"/>
  <c r="Q34" i="5"/>
  <c r="R34" i="5" s="1"/>
  <c r="AE36" i="5"/>
  <c r="AF42" i="5"/>
  <c r="AE45" i="5"/>
  <c r="AF50" i="5"/>
  <c r="AE53" i="5"/>
  <c r="AE72" i="5"/>
  <c r="AE75" i="5"/>
  <c r="AE80" i="5"/>
  <c r="AF83" i="5"/>
  <c r="Q90" i="5"/>
  <c r="R90" i="5" s="1"/>
  <c r="AF91" i="5"/>
  <c r="Q98" i="5"/>
  <c r="R98" i="5" s="1"/>
  <c r="AF99" i="5"/>
  <c r="Q106" i="5"/>
  <c r="R106" i="5" s="1"/>
  <c r="AF188" i="5"/>
  <c r="AF191" i="5"/>
  <c r="AF208" i="5"/>
  <c r="AF211" i="5"/>
  <c r="AF265" i="5"/>
  <c r="AF358" i="5"/>
  <c r="A226" i="3"/>
  <c r="A218" i="3"/>
  <c r="B218" i="3" s="1"/>
  <c r="C218" i="3" s="1"/>
  <c r="A210" i="3"/>
  <c r="A202" i="3"/>
  <c r="A194" i="3"/>
  <c r="AE16" i="5"/>
  <c r="AF16" i="5"/>
  <c r="AE17" i="5"/>
  <c r="AE27" i="5"/>
  <c r="AF31" i="5"/>
  <c r="Q38" i="5"/>
  <c r="R38" i="5" s="1"/>
  <c r="AF39" i="5"/>
  <c r="Q46" i="5"/>
  <c r="R46" i="5" s="1"/>
  <c r="AF47" i="5"/>
  <c r="Q54" i="5"/>
  <c r="R54" i="5" s="1"/>
  <c r="AF55" i="5"/>
  <c r="AF58" i="5"/>
  <c r="AE61" i="5"/>
  <c r="AF66" i="5"/>
  <c r="AE69" i="5"/>
  <c r="AE83" i="5"/>
  <c r="AE88" i="5"/>
  <c r="AE91" i="5"/>
  <c r="AE96" i="5"/>
  <c r="AE99" i="5"/>
  <c r="AE104" i="5"/>
  <c r="AF125" i="5"/>
  <c r="AE135" i="5"/>
  <c r="AF152" i="5"/>
  <c r="AF155" i="5"/>
  <c r="AF169" i="5"/>
  <c r="AF185" i="5"/>
  <c r="AE247" i="5"/>
  <c r="AE302" i="5"/>
  <c r="AF224" i="5"/>
  <c r="AF227" i="5"/>
  <c r="D7" i="4"/>
  <c r="AE12" i="5"/>
  <c r="AF12" i="5"/>
  <c r="AE13" i="5"/>
  <c r="AE15" i="5"/>
  <c r="Q18" i="5"/>
  <c r="R18" i="5" s="1"/>
  <c r="AE20" i="5"/>
  <c r="AF30" i="5"/>
  <c r="Q32" i="5"/>
  <c r="R32" i="5" s="1"/>
  <c r="AE35" i="5"/>
  <c r="AE60" i="5"/>
  <c r="AE63" i="5"/>
  <c r="AE68" i="5"/>
  <c r="AF71" i="5"/>
  <c r="Q78" i="5"/>
  <c r="R78" i="5" s="1"/>
  <c r="AF79" i="5"/>
  <c r="AE85" i="5"/>
  <c r="AF90" i="5"/>
  <c r="AE93" i="5"/>
  <c r="AF98" i="5"/>
  <c r="AE101" i="5"/>
  <c r="AF106" i="5"/>
  <c r="AE110" i="5"/>
  <c r="AF124" i="5"/>
  <c r="AF127" i="5"/>
  <c r="AE143" i="5"/>
  <c r="AF241" i="5"/>
  <c r="AE259" i="5"/>
  <c r="AE277" i="5"/>
  <c r="AF279" i="5"/>
  <c r="A277" i="3"/>
  <c r="B277" i="3" s="1"/>
  <c r="C277" i="3" s="1"/>
  <c r="A280" i="3"/>
  <c r="B280" i="3" s="1"/>
  <c r="C280" i="3" s="1"/>
  <c r="A283" i="3"/>
  <c r="B283" i="3" s="1"/>
  <c r="C283" i="3" s="1"/>
  <c r="A286" i="3"/>
  <c r="B286" i="3" s="1"/>
  <c r="C286" i="3" s="1"/>
  <c r="A289" i="3"/>
  <c r="B289" i="3" s="1"/>
  <c r="C289" i="3" s="1"/>
  <c r="D6" i="4"/>
  <c r="F6" i="4"/>
  <c r="AE8" i="5"/>
  <c r="AF8" i="5"/>
  <c r="AE9" i="5"/>
  <c r="AE11" i="5"/>
  <c r="AF13" i="5"/>
  <c r="AF14" i="5"/>
  <c r="Q22" i="5"/>
  <c r="R22" i="5" s="1"/>
  <c r="AF24" i="5"/>
  <c r="AE25" i="5"/>
  <c r="AF34" i="5"/>
  <c r="Q36" i="5"/>
  <c r="R36" i="5" s="1"/>
  <c r="AF38" i="5"/>
  <c r="AE41" i="5"/>
  <c r="AF46" i="5"/>
  <c r="AE49" i="5"/>
  <c r="AF54" i="5"/>
  <c r="AE57" i="5"/>
  <c r="AE71" i="5"/>
  <c r="AE76" i="5"/>
  <c r="AE79" i="5"/>
  <c r="Q86" i="5"/>
  <c r="R86" i="5" s="1"/>
  <c r="AF87" i="5"/>
  <c r="Q94" i="5"/>
  <c r="R94" i="5" s="1"/>
  <c r="AF95" i="5"/>
  <c r="Q102" i="5"/>
  <c r="R102" i="5" s="1"/>
  <c r="AF103" i="5"/>
  <c r="AE106" i="5"/>
  <c r="AE113" i="5"/>
  <c r="AE119" i="5"/>
  <c r="AE127" i="5"/>
  <c r="AF130" i="5"/>
  <c r="AF148" i="5"/>
  <c r="AF317" i="5"/>
  <c r="R114" i="5"/>
  <c r="AF128" i="5"/>
  <c r="AF129" i="5"/>
  <c r="AF131" i="5"/>
  <c r="AF138" i="5"/>
  <c r="AF143" i="5"/>
  <c r="AF149" i="5"/>
  <c r="AF153" i="5"/>
  <c r="AE159" i="5"/>
  <c r="AF172" i="5"/>
  <c r="AF175" i="5"/>
  <c r="AF189" i="5"/>
  <c r="AF192" i="5"/>
  <c r="AF195" i="5"/>
  <c r="AF209" i="5"/>
  <c r="AE215" i="5"/>
  <c r="AF225" i="5"/>
  <c r="AE231" i="5"/>
  <c r="AF244" i="5"/>
  <c r="AF247" i="5"/>
  <c r="AF256" i="5"/>
  <c r="AE257" i="5"/>
  <c r="AF259" i="5"/>
  <c r="AE271" i="5"/>
  <c r="AF277" i="5"/>
  <c r="AE283" i="5"/>
  <c r="AE286" i="5"/>
  <c r="AF291" i="5"/>
  <c r="AE299" i="5"/>
  <c r="AF302" i="5"/>
  <c r="A234" i="3"/>
  <c r="B234" i="3" s="1"/>
  <c r="C234" i="3" s="1"/>
  <c r="A242" i="3"/>
  <c r="B242" i="3" s="1"/>
  <c r="C242" i="3" s="1"/>
  <c r="A250" i="3"/>
  <c r="B250" i="3" s="1"/>
  <c r="C250" i="3" s="1"/>
  <c r="A258" i="3"/>
  <c r="B258" i="3" s="1"/>
  <c r="C258" i="3" s="1"/>
  <c r="A266" i="3"/>
  <c r="B266" i="3" s="1"/>
  <c r="C266" i="3" s="1"/>
  <c r="A274" i="3"/>
  <c r="B274" i="3" s="1"/>
  <c r="C274" i="3" s="1"/>
  <c r="F4" i="4"/>
  <c r="AF120" i="5"/>
  <c r="AF121" i="5"/>
  <c r="AF123" i="5"/>
  <c r="R136" i="5"/>
  <c r="R138" i="5"/>
  <c r="AF142" i="5"/>
  <c r="Q150" i="5"/>
  <c r="R150" i="5" s="1"/>
  <c r="AE155" i="5"/>
  <c r="AF168" i="5"/>
  <c r="AF171" i="5"/>
  <c r="AF184" i="5"/>
  <c r="AF187" i="5"/>
  <c r="AE191" i="5"/>
  <c r="AF205" i="5"/>
  <c r="AE211" i="5"/>
  <c r="AF221" i="5"/>
  <c r="AE227" i="5"/>
  <c r="AF237" i="5"/>
  <c r="AF240" i="5"/>
  <c r="AF243" i="5"/>
  <c r="AF253" i="5"/>
  <c r="AF264" i="5"/>
  <c r="AE265" i="5"/>
  <c r="AF267" i="5"/>
  <c r="AE279" i="5"/>
  <c r="AF293" i="5"/>
  <c r="AE298" i="5"/>
  <c r="AF111" i="5"/>
  <c r="AF116" i="5"/>
  <c r="AF117" i="5"/>
  <c r="AF119" i="5"/>
  <c r="R132" i="5"/>
  <c r="AF141" i="5"/>
  <c r="AF147" i="5"/>
  <c r="AF151" i="5"/>
  <c r="AF165" i="5"/>
  <c r="AE171" i="5"/>
  <c r="AF181" i="5"/>
  <c r="AE187" i="5"/>
  <c r="AF201" i="5"/>
  <c r="AF204" i="5"/>
  <c r="AF207" i="5"/>
  <c r="AF220" i="5"/>
  <c r="AF223" i="5"/>
  <c r="AF236" i="5"/>
  <c r="AE243" i="5"/>
  <c r="AF252" i="5"/>
  <c r="AE253" i="5"/>
  <c r="AF255" i="5"/>
  <c r="AE267" i="5"/>
  <c r="AF273" i="5"/>
  <c r="AE282" i="5"/>
  <c r="AF285" i="5"/>
  <c r="AE290" i="5"/>
  <c r="AE293" i="5"/>
  <c r="AF295" i="5"/>
  <c r="AF301" i="5"/>
  <c r="AF351" i="5"/>
  <c r="AF110" i="5"/>
  <c r="AF113" i="5"/>
  <c r="AF115" i="5"/>
  <c r="AF122" i="5"/>
  <c r="R128" i="5"/>
  <c r="R130" i="5"/>
  <c r="Q134" i="5"/>
  <c r="R134" i="5" s="1"/>
  <c r="AF140" i="5"/>
  <c r="AE147" i="5"/>
  <c r="AE151" i="5"/>
  <c r="AF161" i="5"/>
  <c r="AF164" i="5"/>
  <c r="AF167" i="5"/>
  <c r="AF180" i="5"/>
  <c r="AF183" i="5"/>
  <c r="AF200" i="5"/>
  <c r="AE207" i="5"/>
  <c r="AF217" i="5"/>
  <c r="AE223" i="5"/>
  <c r="AF233" i="5"/>
  <c r="AF239" i="5"/>
  <c r="AE255" i="5"/>
  <c r="AF261" i="5"/>
  <c r="AE273" i="5"/>
  <c r="AF275" i="5"/>
  <c r="AE285" i="5"/>
  <c r="AF287" i="5"/>
  <c r="AE295" i="5"/>
  <c r="AF348" i="5"/>
  <c r="AF40" i="5"/>
  <c r="AF44" i="5"/>
  <c r="AF48" i="5"/>
  <c r="AF52" i="5"/>
  <c r="AF56" i="5"/>
  <c r="AF60" i="5"/>
  <c r="AF64" i="5"/>
  <c r="AF68" i="5"/>
  <c r="AF72" i="5"/>
  <c r="AF76" i="5"/>
  <c r="AF80" i="5"/>
  <c r="AF84" i="5"/>
  <c r="AF88" i="5"/>
  <c r="AF92" i="5"/>
  <c r="AF96" i="5"/>
  <c r="AF100" i="5"/>
  <c r="AF104" i="5"/>
  <c r="AF112" i="5"/>
  <c r="AF118" i="5"/>
  <c r="R124" i="5"/>
  <c r="R126" i="5"/>
  <c r="AF146" i="5"/>
  <c r="AF160" i="5"/>
  <c r="AE167" i="5"/>
  <c r="AF177" i="5"/>
  <c r="AE183" i="5"/>
  <c r="AF197" i="5"/>
  <c r="AF203" i="5"/>
  <c r="AF216" i="5"/>
  <c r="AF219" i="5"/>
  <c r="AF232" i="5"/>
  <c r="AF235" i="5"/>
  <c r="AE239" i="5"/>
  <c r="AF249" i="5"/>
  <c r="AF260" i="5"/>
  <c r="AE261" i="5"/>
  <c r="AF263" i="5"/>
  <c r="AE275" i="5"/>
  <c r="AE287" i="5"/>
  <c r="AF297" i="5"/>
  <c r="Q302" i="5"/>
  <c r="R302" i="5" s="1"/>
  <c r="AF327" i="5"/>
  <c r="AF330" i="5"/>
  <c r="AE367" i="5"/>
  <c r="Q406" i="5"/>
  <c r="R406" i="5" s="1"/>
  <c r="AF898" i="5"/>
  <c r="AF894" i="5"/>
  <c r="AF890" i="5"/>
  <c r="AF886" i="5"/>
  <c r="AF897" i="5"/>
  <c r="AF893" i="5"/>
  <c r="AF889" i="5"/>
  <c r="AF885" i="5"/>
  <c r="AF881" i="5"/>
  <c r="AF877" i="5"/>
  <c r="AF873" i="5"/>
  <c r="AF869" i="5"/>
  <c r="AF865" i="5"/>
  <c r="AF861" i="5"/>
  <c r="AF857" i="5"/>
  <c r="AF853" i="5"/>
  <c r="AF849" i="5"/>
  <c r="AF845" i="5"/>
  <c r="AF895" i="5"/>
  <c r="AF819" i="5"/>
  <c r="AF807" i="5"/>
  <c r="AF793" i="5"/>
  <c r="AF805" i="5"/>
  <c r="AF787" i="5"/>
  <c r="AF783" i="5"/>
  <c r="AF891" i="5"/>
  <c r="AF811" i="5"/>
  <c r="AF795" i="5"/>
  <c r="AF794" i="5"/>
  <c r="AF797" i="5"/>
  <c r="AF724" i="5"/>
  <c r="AF720" i="5"/>
  <c r="AF716" i="5"/>
  <c r="AF712" i="5"/>
  <c r="AF708" i="5"/>
  <c r="AF704" i="5"/>
  <c r="AF700" i="5"/>
  <c r="AF696" i="5"/>
  <c r="AF692" i="5"/>
  <c r="AF688" i="5"/>
  <c r="AF684" i="5"/>
  <c r="AF680" i="5"/>
  <c r="AF781" i="5"/>
  <c r="AF789" i="5"/>
  <c r="AF785" i="5"/>
  <c r="AF777" i="5"/>
  <c r="AF757" i="5"/>
  <c r="AF733" i="5"/>
  <c r="AF727" i="5"/>
  <c r="AF723" i="5"/>
  <c r="AF719" i="5"/>
  <c r="AF715" i="5"/>
  <c r="AF711" i="5"/>
  <c r="AF707" i="5"/>
  <c r="AF703" i="5"/>
  <c r="AF699" i="5"/>
  <c r="AF695" i="5"/>
  <c r="AF691" i="5"/>
  <c r="AF687" i="5"/>
  <c r="AF773" i="5"/>
  <c r="AF769" i="5"/>
  <c r="AF726" i="5"/>
  <c r="AF722" i="5"/>
  <c r="AF718" i="5"/>
  <c r="AF714" i="5"/>
  <c r="AF710" i="5"/>
  <c r="AF753" i="5"/>
  <c r="AF741" i="5"/>
  <c r="AF731" i="5"/>
  <c r="AF761" i="5"/>
  <c r="AF737" i="5"/>
  <c r="AF701" i="5"/>
  <c r="AF693" i="5"/>
  <c r="AF685" i="5"/>
  <c r="AF655" i="5"/>
  <c r="AF647" i="5"/>
  <c r="AF643" i="5"/>
  <c r="AF639" i="5"/>
  <c r="AF717" i="5"/>
  <c r="AF669" i="5"/>
  <c r="AF653" i="5"/>
  <c r="AF673" i="5"/>
  <c r="AF725" i="5"/>
  <c r="AF705" i="5"/>
  <c r="AF677" i="5"/>
  <c r="AF713" i="5"/>
  <c r="AF697" i="5"/>
  <c r="AF689" i="5"/>
  <c r="AF681" i="5"/>
  <c r="AF649" i="5"/>
  <c r="AF645" i="5"/>
  <c r="AF641" i="5"/>
  <c r="AF637" i="5"/>
  <c r="AF633" i="5"/>
  <c r="AF629" i="5"/>
  <c r="AF625" i="5"/>
  <c r="AF621" i="5"/>
  <c r="AF899" i="5"/>
  <c r="AF739" i="5"/>
  <c r="AF709" i="5"/>
  <c r="AF721" i="5"/>
  <c r="AF640" i="5"/>
  <c r="AF620" i="5"/>
  <c r="AF632" i="5"/>
  <c r="AF644" i="5"/>
  <c r="AF585" i="5"/>
  <c r="AF659" i="5"/>
  <c r="AF636" i="5"/>
  <c r="AF624" i="5"/>
  <c r="AF612" i="5"/>
  <c r="AF578" i="5"/>
  <c r="AF574" i="5"/>
  <c r="AF570" i="5"/>
  <c r="AF566" i="5"/>
  <c r="AF562" i="5"/>
  <c r="AF558" i="5"/>
  <c r="AF554" i="5"/>
  <c r="AF550" i="5"/>
  <c r="AF546" i="5"/>
  <c r="AF542" i="5"/>
  <c r="AF538" i="5"/>
  <c r="AF616" i="5"/>
  <c r="AF604" i="5"/>
  <c r="AF589" i="5"/>
  <c r="AF588" i="5"/>
  <c r="AF577" i="5"/>
  <c r="AF573" i="5"/>
  <c r="AF569" i="5"/>
  <c r="AF565" i="5"/>
  <c r="AF561" i="5"/>
  <c r="AF557" i="5"/>
  <c r="AF553" i="5"/>
  <c r="AF549" i="5"/>
  <c r="AF545" i="5"/>
  <c r="AF541" i="5"/>
  <c r="AF537" i="5"/>
  <c r="AF663" i="5"/>
  <c r="AF648" i="5"/>
  <c r="AF628" i="5"/>
  <c r="AF608" i="5"/>
  <c r="AF575" i="5"/>
  <c r="AF543" i="5"/>
  <c r="AF519" i="5"/>
  <c r="AF509" i="5"/>
  <c r="AF563" i="5"/>
  <c r="AF555" i="5"/>
  <c r="AF510" i="5"/>
  <c r="AF535" i="5"/>
  <c r="AF530" i="5"/>
  <c r="AF522" i="5"/>
  <c r="AF511" i="5"/>
  <c r="AF503" i="5"/>
  <c r="AF502" i="5"/>
  <c r="AF571" i="5"/>
  <c r="AF547" i="5"/>
  <c r="AF531" i="5"/>
  <c r="AF523" i="5"/>
  <c r="AF513" i="5"/>
  <c r="AF487" i="5"/>
  <c r="AF475" i="5"/>
  <c r="AF559" i="5"/>
  <c r="AF514" i="5"/>
  <c r="AF486" i="5"/>
  <c r="AF474" i="5"/>
  <c r="AF463" i="5"/>
  <c r="AF459" i="5"/>
  <c r="AF455" i="5"/>
  <c r="AF451" i="5"/>
  <c r="AF579" i="5"/>
  <c r="AF539" i="5"/>
  <c r="AF526" i="5"/>
  <c r="AF515" i="5"/>
  <c r="AF499" i="5"/>
  <c r="AF498" i="5"/>
  <c r="AF534" i="5"/>
  <c r="AF518" i="5"/>
  <c r="AF506" i="5"/>
  <c r="AF479" i="5"/>
  <c r="AF454" i="5"/>
  <c r="AF418" i="5"/>
  <c r="AF382" i="5"/>
  <c r="AF491" i="5"/>
  <c r="AF473" i="5"/>
  <c r="AF458" i="5"/>
  <c r="AF434" i="5"/>
  <c r="AF402" i="5"/>
  <c r="AF398" i="5"/>
  <c r="AF394" i="5"/>
  <c r="AF390" i="5"/>
  <c r="AF527" i="5"/>
  <c r="AF485" i="5"/>
  <c r="AF446" i="5"/>
  <c r="AF422" i="5"/>
  <c r="AF462" i="5"/>
  <c r="AF406" i="5"/>
  <c r="AF438" i="5"/>
  <c r="AF426" i="5"/>
  <c r="AF517" i="5"/>
  <c r="AF466" i="5"/>
  <c r="AF450" i="5"/>
  <c r="AF410" i="5"/>
  <c r="AF567" i="5"/>
  <c r="AF551" i="5"/>
  <c r="AF490" i="5"/>
  <c r="AF467" i="5"/>
  <c r="AF442" i="5"/>
  <c r="AF430" i="5"/>
  <c r="AF414" i="5"/>
  <c r="AF378" i="5"/>
  <c r="AF374" i="5"/>
  <c r="AF294" i="5"/>
  <c r="AF290" i="5"/>
  <c r="AF286" i="5"/>
  <c r="AF282" i="5"/>
  <c r="AF278" i="5"/>
  <c r="AF274" i="5"/>
  <c r="AF270" i="5"/>
  <c r="AF266" i="5"/>
  <c r="AF262" i="5"/>
  <c r="AF258" i="5"/>
  <c r="AF254" i="5"/>
  <c r="AF250" i="5"/>
  <c r="AF246" i="5"/>
  <c r="AF242" i="5"/>
  <c r="AF238" i="5"/>
  <c r="AF234" i="5"/>
  <c r="AF230" i="5"/>
  <c r="AF226" i="5"/>
  <c r="AF222" i="5"/>
  <c r="AF218" i="5"/>
  <c r="AF214" i="5"/>
  <c r="AF210" i="5"/>
  <c r="AF206" i="5"/>
  <c r="AF202" i="5"/>
  <c r="AF198" i="5"/>
  <c r="AF194" i="5"/>
  <c r="AF190" i="5"/>
  <c r="AF186" i="5"/>
  <c r="AF182" i="5"/>
  <c r="AF178" i="5"/>
  <c r="AF174" i="5"/>
  <c r="AF170" i="5"/>
  <c r="AF166" i="5"/>
  <c r="AF162" i="5"/>
  <c r="AF158" i="5"/>
  <c r="AF154" i="5"/>
  <c r="AF478" i="5"/>
  <c r="AF298" i="5"/>
  <c r="AF360" i="5"/>
  <c r="AF296" i="5"/>
  <c r="AF292" i="5"/>
  <c r="AF288" i="5"/>
  <c r="AF284" i="5"/>
  <c r="AF280" i="5"/>
  <c r="AF276" i="5"/>
  <c r="AF272" i="5"/>
  <c r="AF268" i="5"/>
  <c r="AF370" i="5"/>
  <c r="Q40" i="5"/>
  <c r="R40" i="5" s="1"/>
  <c r="Q44" i="5"/>
  <c r="R44" i="5" s="1"/>
  <c r="Q48" i="5"/>
  <c r="R48" i="5" s="1"/>
  <c r="Q52" i="5"/>
  <c r="R52" i="5" s="1"/>
  <c r="Q56" i="5"/>
  <c r="R56" i="5" s="1"/>
  <c r="Q60" i="5"/>
  <c r="R60" i="5" s="1"/>
  <c r="Q64" i="5"/>
  <c r="R64" i="5" s="1"/>
  <c r="Q68" i="5"/>
  <c r="R68" i="5" s="1"/>
  <c r="Q72" i="5"/>
  <c r="R72" i="5" s="1"/>
  <c r="Q76" i="5"/>
  <c r="R76" i="5" s="1"/>
  <c r="Q80" i="5"/>
  <c r="R80" i="5" s="1"/>
  <c r="Q84" i="5"/>
  <c r="R84" i="5" s="1"/>
  <c r="Q88" i="5"/>
  <c r="R88" i="5" s="1"/>
  <c r="Q92" i="5"/>
  <c r="R92" i="5" s="1"/>
  <c r="Q96" i="5"/>
  <c r="R96" i="5" s="1"/>
  <c r="Q100" i="5"/>
  <c r="R100" i="5" s="1"/>
  <c r="Q104" i="5"/>
  <c r="R104" i="5" s="1"/>
  <c r="AF107" i="5"/>
  <c r="AF114" i="5"/>
  <c r="R120" i="5"/>
  <c r="AF136" i="5"/>
  <c r="AF137" i="5"/>
  <c r="AF139" i="5"/>
  <c r="Q142" i="5"/>
  <c r="R142" i="5" s="1"/>
  <c r="AF145" i="5"/>
  <c r="AF157" i="5"/>
  <c r="AF163" i="5"/>
  <c r="AF176" i="5"/>
  <c r="AF179" i="5"/>
  <c r="AF196" i="5"/>
  <c r="AF199" i="5"/>
  <c r="AE203" i="5"/>
  <c r="AF213" i="5"/>
  <c r="AE219" i="5"/>
  <c r="AF229" i="5"/>
  <c r="AE235" i="5"/>
  <c r="AF248" i="5"/>
  <c r="AE249" i="5"/>
  <c r="AF251" i="5"/>
  <c r="AE263" i="5"/>
  <c r="AF269" i="5"/>
  <c r="AF281" i="5"/>
  <c r="AF289" i="5"/>
  <c r="AE297" i="5"/>
  <c r="AF324" i="5"/>
  <c r="AF21" i="5"/>
  <c r="AF25" i="5"/>
  <c r="AF29" i="5"/>
  <c r="AF33" i="5"/>
  <c r="AF37" i="5"/>
  <c r="AF41" i="5"/>
  <c r="AF45" i="5"/>
  <c r="AF49" i="5"/>
  <c r="AF53" i="5"/>
  <c r="AF57" i="5"/>
  <c r="AF61" i="5"/>
  <c r="AF65" i="5"/>
  <c r="AF69" i="5"/>
  <c r="AF73" i="5"/>
  <c r="AF77" i="5"/>
  <c r="AF81" i="5"/>
  <c r="AF85" i="5"/>
  <c r="AF89" i="5"/>
  <c r="AF93" i="5"/>
  <c r="AF97" i="5"/>
  <c r="AF101" i="5"/>
  <c r="Q110" i="5"/>
  <c r="R110" i="5" s="1"/>
  <c r="R112" i="5"/>
  <c r="R116" i="5"/>
  <c r="R118" i="5"/>
  <c r="Q122" i="5"/>
  <c r="R122" i="5" s="1"/>
  <c r="AF132" i="5"/>
  <c r="AF133" i="5"/>
  <c r="AF135" i="5"/>
  <c r="AE139" i="5"/>
  <c r="AF144" i="5"/>
  <c r="AF156" i="5"/>
  <c r="AF159" i="5"/>
  <c r="AE163" i="5"/>
  <c r="AF173" i="5"/>
  <c r="AE179" i="5"/>
  <c r="AF193" i="5"/>
  <c r="AE199" i="5"/>
  <c r="AF212" i="5"/>
  <c r="AF215" i="5"/>
  <c r="AF228" i="5"/>
  <c r="AF231" i="5"/>
  <c r="AF245" i="5"/>
  <c r="AE251" i="5"/>
  <c r="AF257" i="5"/>
  <c r="AE269" i="5"/>
  <c r="AF271" i="5"/>
  <c r="AE281" i="5"/>
  <c r="AF283" i="5"/>
  <c r="AE289" i="5"/>
  <c r="AE294" i="5"/>
  <c r="AE303" i="5"/>
  <c r="AE361" i="5"/>
  <c r="AF363" i="5"/>
  <c r="R154" i="5"/>
  <c r="R158" i="5"/>
  <c r="R162" i="5"/>
  <c r="R166" i="5"/>
  <c r="R170" i="5"/>
  <c r="R174" i="5"/>
  <c r="R178" i="5"/>
  <c r="R182" i="5"/>
  <c r="R186" i="5"/>
  <c r="R190" i="5"/>
  <c r="R194" i="5"/>
  <c r="R198" i="5"/>
  <c r="R202" i="5"/>
  <c r="R206" i="5"/>
  <c r="R210" i="5"/>
  <c r="R214" i="5"/>
  <c r="R218" i="5"/>
  <c r="R222" i="5"/>
  <c r="R226" i="5"/>
  <c r="R230" i="5"/>
  <c r="R234" i="5"/>
  <c r="R242" i="5"/>
  <c r="R246" i="5"/>
  <c r="R250" i="5"/>
  <c r="R254" i="5"/>
  <c r="R258" i="5"/>
  <c r="R262" i="5"/>
  <c r="R266" i="5"/>
  <c r="R270" i="5"/>
  <c r="R274" i="5"/>
  <c r="R278" i="5"/>
  <c r="R282" i="5"/>
  <c r="R286" i="5"/>
  <c r="R290" i="5"/>
  <c r="R294" i="5"/>
  <c r="R305" i="5"/>
  <c r="AF309" i="5"/>
  <c r="R313" i="5"/>
  <c r="AF321" i="5"/>
  <c r="AF334" i="5"/>
  <c r="AF338" i="5"/>
  <c r="AF345" i="5"/>
  <c r="AF355" i="5"/>
  <c r="Q360" i="5"/>
  <c r="R360" i="5" s="1"/>
  <c r="AF361" i="5"/>
  <c r="AE383" i="5"/>
  <c r="AF386" i="5"/>
  <c r="AF389" i="5"/>
  <c r="AF397" i="5"/>
  <c r="AF439" i="5"/>
  <c r="AE467" i="5"/>
  <c r="AE490" i="5"/>
  <c r="AF307" i="5"/>
  <c r="AF316" i="5"/>
  <c r="AF337" i="5"/>
  <c r="AF341" i="5"/>
  <c r="AF354" i="5"/>
  <c r="AE358" i="5"/>
  <c r="AE363" i="5"/>
  <c r="AF366" i="5"/>
  <c r="AE379" i="5"/>
  <c r="AF388" i="5"/>
  <c r="AF404" i="5"/>
  <c r="AF436" i="5"/>
  <c r="AE451" i="5"/>
  <c r="Q252" i="5"/>
  <c r="R252" i="5" s="1"/>
  <c r="Q256" i="5"/>
  <c r="R256" i="5" s="1"/>
  <c r="Q260" i="5"/>
  <c r="R260" i="5" s="1"/>
  <c r="Q264" i="5"/>
  <c r="R264" i="5" s="1"/>
  <c r="Q268" i="5"/>
  <c r="R268" i="5" s="1"/>
  <c r="Q272" i="5"/>
  <c r="R272" i="5" s="1"/>
  <c r="Q276" i="5"/>
  <c r="R276" i="5" s="1"/>
  <c r="Q284" i="5"/>
  <c r="R284" i="5" s="1"/>
  <c r="Q288" i="5"/>
  <c r="R288" i="5" s="1"/>
  <c r="Q292" i="5"/>
  <c r="R292" i="5" s="1"/>
  <c r="Q296" i="5"/>
  <c r="R296" i="5" s="1"/>
  <c r="AF299" i="5"/>
  <c r="AF300" i="5"/>
  <c r="AF306" i="5"/>
  <c r="R310" i="5"/>
  <c r="AF315" i="5"/>
  <c r="R318" i="5"/>
  <c r="AF320" i="5"/>
  <c r="AF323" i="5"/>
  <c r="AF326" i="5"/>
  <c r="AF333" i="5"/>
  <c r="R342" i="5"/>
  <c r="AF344" i="5"/>
  <c r="AF347" i="5"/>
  <c r="AF350" i="5"/>
  <c r="Q462" i="5"/>
  <c r="R462" i="5" s="1"/>
  <c r="AF481" i="5"/>
  <c r="AE499" i="5"/>
  <c r="AE504" i="5"/>
  <c r="AF305" i="5"/>
  <c r="AF313" i="5"/>
  <c r="AF314" i="5"/>
  <c r="AF329" i="5"/>
  <c r="AF340" i="5"/>
  <c r="AF357" i="5"/>
  <c r="AF362" i="5"/>
  <c r="AF393" i="5"/>
  <c r="AF401" i="5"/>
  <c r="AF433" i="5"/>
  <c r="AF303" i="5"/>
  <c r="AF304" i="5"/>
  <c r="AF312" i="5"/>
  <c r="AF319" i="5"/>
  <c r="AF322" i="5"/>
  <c r="R330" i="5"/>
  <c r="AF336" i="5"/>
  <c r="AF343" i="5"/>
  <c r="AF346" i="5"/>
  <c r="AF353" i="5"/>
  <c r="AE362" i="5"/>
  <c r="AE375" i="5"/>
  <c r="AF311" i="5"/>
  <c r="AF325" i="5"/>
  <c r="AF332" i="5"/>
  <c r="AF335" i="5"/>
  <c r="AF339" i="5"/>
  <c r="AF349" i="5"/>
  <c r="AF356" i="5"/>
  <c r="Q382" i="5"/>
  <c r="R382" i="5" s="1"/>
  <c r="AE387" i="5"/>
  <c r="AE430" i="5"/>
  <c r="Q298" i="5"/>
  <c r="R298" i="5" s="1"/>
  <c r="R306" i="5"/>
  <c r="AF310" i="5"/>
  <c r="AF318" i="5"/>
  <c r="R326" i="5"/>
  <c r="AF328" i="5"/>
  <c r="AF331" i="5"/>
  <c r="AF342" i="5"/>
  <c r="R350" i="5"/>
  <c r="AF352" i="5"/>
  <c r="AE359" i="5"/>
  <c r="AE371" i="5"/>
  <c r="AE411" i="5"/>
  <c r="AF427" i="5"/>
  <c r="AE442" i="5"/>
  <c r="AF457" i="5"/>
  <c r="R358" i="5"/>
  <c r="AF364" i="5"/>
  <c r="AF365" i="5"/>
  <c r="AF367" i="5"/>
  <c r="AF411" i="5"/>
  <c r="AF421" i="5"/>
  <c r="AF424" i="5"/>
  <c r="Q426" i="5"/>
  <c r="R426" i="5" s="1"/>
  <c r="AE431" i="5"/>
  <c r="Q438" i="5"/>
  <c r="R438" i="5" s="1"/>
  <c r="AF445" i="5"/>
  <c r="AF448" i="5"/>
  <c r="AE454" i="5"/>
  <c r="AF464" i="5"/>
  <c r="AE470" i="5"/>
  <c r="AE476" i="5"/>
  <c r="AE479" i="5"/>
  <c r="AF493" i="5"/>
  <c r="AF507" i="5"/>
  <c r="AE532" i="5"/>
  <c r="AE552" i="5"/>
  <c r="AE585" i="5"/>
  <c r="AF587" i="5"/>
  <c r="AF592" i="5"/>
  <c r="AE598" i="5"/>
  <c r="R378" i="5"/>
  <c r="AF387" i="5"/>
  <c r="AF392" i="5"/>
  <c r="AF396" i="5"/>
  <c r="AF400" i="5"/>
  <c r="AF407" i="5"/>
  <c r="AF417" i="5"/>
  <c r="AF420" i="5"/>
  <c r="Q422" i="5"/>
  <c r="R422" i="5" s="1"/>
  <c r="AE427" i="5"/>
  <c r="AE439" i="5"/>
  <c r="Q446" i="5"/>
  <c r="R446" i="5" s="1"/>
  <c r="AF453" i="5"/>
  <c r="AF460" i="5"/>
  <c r="AF469" i="5"/>
  <c r="AE478" i="5"/>
  <c r="Q485" i="5"/>
  <c r="R485" i="5" s="1"/>
  <c r="AE487" i="5"/>
  <c r="AF495" i="5"/>
  <c r="AF501" i="5"/>
  <c r="Q547" i="5"/>
  <c r="R547" i="5" s="1"/>
  <c r="Q390" i="5"/>
  <c r="R390" i="5" s="1"/>
  <c r="Q394" i="5"/>
  <c r="R394" i="5" s="1"/>
  <c r="Q398" i="5"/>
  <c r="R398" i="5" s="1"/>
  <c r="Q402" i="5"/>
  <c r="R402" i="5" s="1"/>
  <c r="AE407" i="5"/>
  <c r="AF413" i="5"/>
  <c r="AF423" i="5"/>
  <c r="AF429" i="5"/>
  <c r="Q434" i="5"/>
  <c r="R434" i="5" s="1"/>
  <c r="AF441" i="5"/>
  <c r="AF444" i="5"/>
  <c r="AF447" i="5"/>
  <c r="AE450" i="5"/>
  <c r="Q458" i="5"/>
  <c r="R458" i="5" s="1"/>
  <c r="AE463" i="5"/>
  <c r="AE466" i="5"/>
  <c r="Q473" i="5"/>
  <c r="R473" i="5" s="1"/>
  <c r="AE475" i="5"/>
  <c r="AF483" i="5"/>
  <c r="AF489" i="5"/>
  <c r="AE495" i="5"/>
  <c r="AE503" i="5"/>
  <c r="AE520" i="5"/>
  <c r="Q521" i="5"/>
  <c r="R521" i="5" s="1"/>
  <c r="AF525" i="5"/>
  <c r="AF533" i="5"/>
  <c r="AE560" i="5"/>
  <c r="AE577" i="5"/>
  <c r="R366" i="5"/>
  <c r="Q370" i="5"/>
  <c r="R370" i="5" s="1"/>
  <c r="Q374" i="5"/>
  <c r="R374" i="5" s="1"/>
  <c r="AF384" i="5"/>
  <c r="AF385" i="5"/>
  <c r="AF391" i="5"/>
  <c r="AF395" i="5"/>
  <c r="AF399" i="5"/>
  <c r="AF403" i="5"/>
  <c r="AF416" i="5"/>
  <c r="Q418" i="5"/>
  <c r="R418" i="5" s="1"/>
  <c r="AE423" i="5"/>
  <c r="AE426" i="5"/>
  <c r="AF432" i="5"/>
  <c r="AF435" i="5"/>
  <c r="AE438" i="5"/>
  <c r="AE447" i="5"/>
  <c r="Q454" i="5"/>
  <c r="R454" i="5" s="1"/>
  <c r="AF456" i="5"/>
  <c r="AF471" i="5"/>
  <c r="AF477" i="5"/>
  <c r="AE483" i="5"/>
  <c r="AE486" i="5"/>
  <c r="Q510" i="5"/>
  <c r="R510" i="5" s="1"/>
  <c r="AE512" i="5"/>
  <c r="AF359" i="5"/>
  <c r="AF380" i="5"/>
  <c r="AF381" i="5"/>
  <c r="AF383" i="5"/>
  <c r="AE391" i="5"/>
  <c r="AE395" i="5"/>
  <c r="AE399" i="5"/>
  <c r="AE403" i="5"/>
  <c r="AF409" i="5"/>
  <c r="AF412" i="5"/>
  <c r="Q414" i="5"/>
  <c r="R414" i="5" s="1"/>
  <c r="AF419" i="5"/>
  <c r="Q430" i="5"/>
  <c r="R430" i="5" s="1"/>
  <c r="AE435" i="5"/>
  <c r="Q442" i="5"/>
  <c r="R442" i="5" s="1"/>
  <c r="AF449" i="5"/>
  <c r="AF452" i="5"/>
  <c r="AE459" i="5"/>
  <c r="AE462" i="5"/>
  <c r="AF465" i="5"/>
  <c r="AE471" i="5"/>
  <c r="AE474" i="5"/>
  <c r="Q490" i="5"/>
  <c r="R490" i="5" s="1"/>
  <c r="AE492" i="5"/>
  <c r="AF494" i="5"/>
  <c r="AF505" i="5"/>
  <c r="AE528" i="5"/>
  <c r="AF540" i="5"/>
  <c r="AF572" i="5"/>
  <c r="Q362" i="5"/>
  <c r="R362" i="5" s="1"/>
  <c r="AF376" i="5"/>
  <c r="AF377" i="5"/>
  <c r="AF379" i="5"/>
  <c r="AF415" i="5"/>
  <c r="AE419" i="5"/>
  <c r="AF425" i="5"/>
  <c r="AF428" i="5"/>
  <c r="AF437" i="5"/>
  <c r="AF440" i="5"/>
  <c r="AF443" i="5"/>
  <c r="AE446" i="5"/>
  <c r="Q478" i="5"/>
  <c r="R478" i="5" s="1"/>
  <c r="AE480" i="5"/>
  <c r="AF482" i="5"/>
  <c r="AE494" i="5"/>
  <c r="AF497" i="5"/>
  <c r="AF500" i="5"/>
  <c r="AF516" i="5"/>
  <c r="AF521" i="5"/>
  <c r="AE527" i="5"/>
  <c r="Q571" i="5"/>
  <c r="R571" i="5" s="1"/>
  <c r="AF368" i="5"/>
  <c r="AF369" i="5"/>
  <c r="AF371" i="5"/>
  <c r="AF372" i="5"/>
  <c r="AF373" i="5"/>
  <c r="AF375" i="5"/>
  <c r="R386" i="5"/>
  <c r="AF405" i="5"/>
  <c r="AF408" i="5"/>
  <c r="Q410" i="5"/>
  <c r="R410" i="5" s="1"/>
  <c r="AE415" i="5"/>
  <c r="AF431" i="5"/>
  <c r="AE434" i="5"/>
  <c r="AE443" i="5"/>
  <c r="Q450" i="5"/>
  <c r="R450" i="5" s="1"/>
  <c r="AE455" i="5"/>
  <c r="AE458" i="5"/>
  <c r="AF461" i="5"/>
  <c r="Q466" i="5"/>
  <c r="R466" i="5" s="1"/>
  <c r="AE468" i="5"/>
  <c r="AF470" i="5"/>
  <c r="AE482" i="5"/>
  <c r="AE488" i="5"/>
  <c r="AE491" i="5"/>
  <c r="AE500" i="5"/>
  <c r="AE508" i="5"/>
  <c r="AE516" i="5"/>
  <c r="AE524" i="5"/>
  <c r="AF468" i="5"/>
  <c r="R471" i="5"/>
  <c r="AF480" i="5"/>
  <c r="R483" i="5"/>
  <c r="AF492" i="5"/>
  <c r="R495" i="5"/>
  <c r="R511" i="5"/>
  <c r="R513" i="5"/>
  <c r="AE518" i="5"/>
  <c r="AF528" i="5"/>
  <c r="AE534" i="5"/>
  <c r="AE543" i="5"/>
  <c r="AE546" i="5"/>
  <c r="AF552" i="5"/>
  <c r="Q559" i="5"/>
  <c r="R559" i="5" s="1"/>
  <c r="AF560" i="5"/>
  <c r="AE565" i="5"/>
  <c r="AE570" i="5"/>
  <c r="AE575" i="5"/>
  <c r="AE580" i="5"/>
  <c r="AE590" i="5"/>
  <c r="AE515" i="5"/>
  <c r="AE526" i="5"/>
  <c r="Q535" i="5"/>
  <c r="R535" i="5" s="1"/>
  <c r="AE540" i="5"/>
  <c r="AE551" i="5"/>
  <c r="AE554" i="5"/>
  <c r="AE557" i="5"/>
  <c r="AE562" i="5"/>
  <c r="AE567" i="5"/>
  <c r="AE572" i="5"/>
  <c r="AE582" i="5"/>
  <c r="AE589" i="5"/>
  <c r="AE601" i="5"/>
  <c r="AE609" i="5"/>
  <c r="R467" i="5"/>
  <c r="AF476" i="5"/>
  <c r="R479" i="5"/>
  <c r="AF488" i="5"/>
  <c r="R491" i="5"/>
  <c r="Q507" i="5"/>
  <c r="R507" i="5" s="1"/>
  <c r="AE514" i="5"/>
  <c r="Q519" i="5"/>
  <c r="R519" i="5" s="1"/>
  <c r="AF524" i="5"/>
  <c r="AF532" i="5"/>
  <c r="AE539" i="5"/>
  <c r="AE542" i="5"/>
  <c r="AF548" i="5"/>
  <c r="Q555" i="5"/>
  <c r="R555" i="5" s="1"/>
  <c r="Q563" i="5"/>
  <c r="R563" i="5" s="1"/>
  <c r="AF564" i="5"/>
  <c r="AE569" i="5"/>
  <c r="AE574" i="5"/>
  <c r="AE579" i="5"/>
  <c r="AF581" i="5"/>
  <c r="AF584" i="5"/>
  <c r="AF597" i="5"/>
  <c r="AF600" i="5"/>
  <c r="AF504" i="5"/>
  <c r="AF512" i="5"/>
  <c r="AE523" i="5"/>
  <c r="R527" i="5"/>
  <c r="AE531" i="5"/>
  <c r="AF536" i="5"/>
  <c r="Q543" i="5"/>
  <c r="R543" i="5" s="1"/>
  <c r="AE548" i="5"/>
  <c r="AE559" i="5"/>
  <c r="AE564" i="5"/>
  <c r="Q575" i="5"/>
  <c r="R575" i="5" s="1"/>
  <c r="AF576" i="5"/>
  <c r="AE581" i="5"/>
  <c r="AF591" i="5"/>
  <c r="AE594" i="5"/>
  <c r="AE597" i="5"/>
  <c r="Q469" i="5"/>
  <c r="R469" i="5" s="1"/>
  <c r="AF472" i="5"/>
  <c r="Q481" i="5"/>
  <c r="R481" i="5" s="1"/>
  <c r="AF484" i="5"/>
  <c r="Q493" i="5"/>
  <c r="R493" i="5" s="1"/>
  <c r="AF496" i="5"/>
  <c r="Q499" i="5"/>
  <c r="R499" i="5" s="1"/>
  <c r="Q501" i="5"/>
  <c r="R501" i="5" s="1"/>
  <c r="AE511" i="5"/>
  <c r="R517" i="5"/>
  <c r="AE522" i="5"/>
  <c r="AE530" i="5"/>
  <c r="AE536" i="5"/>
  <c r="AE547" i="5"/>
  <c r="AE550" i="5"/>
  <c r="AF556" i="5"/>
  <c r="AE561" i="5"/>
  <c r="AE566" i="5"/>
  <c r="AE571" i="5"/>
  <c r="AE576" i="5"/>
  <c r="AE510" i="5"/>
  <c r="Q515" i="5"/>
  <c r="R515" i="5" s="1"/>
  <c r="AF520" i="5"/>
  <c r="AF529" i="5"/>
  <c r="AE535" i="5"/>
  <c r="AE538" i="5"/>
  <c r="AF544" i="5"/>
  <c r="Q551" i="5"/>
  <c r="R551" i="5" s="1"/>
  <c r="AE556" i="5"/>
  <c r="Q567" i="5"/>
  <c r="R567" i="5" s="1"/>
  <c r="AF568" i="5"/>
  <c r="AE573" i="5"/>
  <c r="AE578" i="5"/>
  <c r="AF583" i="5"/>
  <c r="AE588" i="5"/>
  <c r="AF593" i="5"/>
  <c r="AF596" i="5"/>
  <c r="R503" i="5"/>
  <c r="AF508" i="5"/>
  <c r="AE519" i="5"/>
  <c r="R523" i="5"/>
  <c r="R531" i="5"/>
  <c r="Q539" i="5"/>
  <c r="R539" i="5" s="1"/>
  <c r="AE544" i="5"/>
  <c r="AE555" i="5"/>
  <c r="AE558" i="5"/>
  <c r="AE563" i="5"/>
  <c r="AE568" i="5"/>
  <c r="Q579" i="5"/>
  <c r="R579" i="5" s="1"/>
  <c r="AF580" i="5"/>
  <c r="AE593" i="5"/>
  <c r="AE605" i="5"/>
  <c r="AF590" i="5"/>
  <c r="R593" i="5"/>
  <c r="AF605" i="5"/>
  <c r="AF622" i="5"/>
  <c r="Q624" i="5"/>
  <c r="R624" i="5" s="1"/>
  <c r="AF631" i="5"/>
  <c r="AF634" i="5"/>
  <c r="Q636" i="5"/>
  <c r="R636" i="5" s="1"/>
  <c r="AE640" i="5"/>
  <c r="Q705" i="5"/>
  <c r="R705" i="5" s="1"/>
  <c r="AF613" i="5"/>
  <c r="AF619" i="5"/>
  <c r="AE622" i="5"/>
  <c r="AE625" i="5"/>
  <c r="AE634" i="5"/>
  <c r="AE637" i="5"/>
  <c r="AF642" i="5"/>
  <c r="AE648" i="5"/>
  <c r="AE654" i="5"/>
  <c r="AF657" i="5"/>
  <c r="AF666" i="5"/>
  <c r="AE672" i="5"/>
  <c r="AE687" i="5"/>
  <c r="AE754" i="5"/>
  <c r="Q581" i="5"/>
  <c r="R581" i="5" s="1"/>
  <c r="R597" i="5"/>
  <c r="R600" i="5"/>
  <c r="AE613" i="5"/>
  <c r="AF630" i="5"/>
  <c r="Q632" i="5"/>
  <c r="R632" i="5" s="1"/>
  <c r="AE642" i="5"/>
  <c r="AE645" i="5"/>
  <c r="AF650" i="5"/>
  <c r="Q655" i="5"/>
  <c r="R655" i="5" s="1"/>
  <c r="AE660" i="5"/>
  <c r="AF665" i="5"/>
  <c r="AE666" i="5"/>
  <c r="AE714" i="5"/>
  <c r="AF745" i="5"/>
  <c r="AF586" i="5"/>
  <c r="AF611" i="5"/>
  <c r="AF618" i="5"/>
  <c r="Q620" i="5"/>
  <c r="R620" i="5" s="1"/>
  <c r="AF627" i="5"/>
  <c r="AE630" i="5"/>
  <c r="AE650" i="5"/>
  <c r="AE682" i="5"/>
  <c r="AE698" i="5"/>
  <c r="Q589" i="5"/>
  <c r="R589" i="5" s="1"/>
  <c r="AF594" i="5"/>
  <c r="AF595" i="5"/>
  <c r="Q604" i="5"/>
  <c r="R604" i="5" s="1"/>
  <c r="Q608" i="5"/>
  <c r="R608" i="5" s="1"/>
  <c r="AF610" i="5"/>
  <c r="AF615" i="5"/>
  <c r="AE618" i="5"/>
  <c r="AE621" i="5"/>
  <c r="AE633" i="5"/>
  <c r="AE636" i="5"/>
  <c r="Q640" i="5"/>
  <c r="R640" i="5" s="1"/>
  <c r="AF662" i="5"/>
  <c r="Q669" i="5"/>
  <c r="R669" i="5" s="1"/>
  <c r="AF626" i="5"/>
  <c r="Q628" i="5"/>
  <c r="R628" i="5" s="1"/>
  <c r="AF638" i="5"/>
  <c r="AE641" i="5"/>
  <c r="AE644" i="5"/>
  <c r="Q648" i="5"/>
  <c r="R648" i="5" s="1"/>
  <c r="AE656" i="5"/>
  <c r="AF661" i="5"/>
  <c r="AE662" i="5"/>
  <c r="AF667" i="5"/>
  <c r="AE679" i="5"/>
  <c r="AE695" i="5"/>
  <c r="AE709" i="5"/>
  <c r="Q725" i="5"/>
  <c r="R725" i="5" s="1"/>
  <c r="AF582" i="5"/>
  <c r="R585" i="5"/>
  <c r="AF598" i="5"/>
  <c r="AF599" i="5"/>
  <c r="AF609" i="5"/>
  <c r="R612" i="5"/>
  <c r="AF614" i="5"/>
  <c r="Q616" i="5"/>
  <c r="R616" i="5" s="1"/>
  <c r="AF617" i="5"/>
  <c r="AF623" i="5"/>
  <c r="AE626" i="5"/>
  <c r="AE629" i="5"/>
  <c r="AF635" i="5"/>
  <c r="AE638" i="5"/>
  <c r="AF646" i="5"/>
  <c r="AE649" i="5"/>
  <c r="AF651" i="5"/>
  <c r="Q677" i="5"/>
  <c r="R677" i="5" s="1"/>
  <c r="AF601" i="5"/>
  <c r="AF602" i="5"/>
  <c r="AF603" i="5"/>
  <c r="AF606" i="5"/>
  <c r="AF607" i="5"/>
  <c r="AE614" i="5"/>
  <c r="AE617" i="5"/>
  <c r="AE646" i="5"/>
  <c r="AE651" i="5"/>
  <c r="AE664" i="5"/>
  <c r="AE670" i="5"/>
  <c r="AF675" i="5"/>
  <c r="AE690" i="5"/>
  <c r="AF706" i="5"/>
  <c r="R653" i="5"/>
  <c r="AF660" i="5"/>
  <c r="AF664" i="5"/>
  <c r="AF672" i="5"/>
  <c r="AE676" i="5"/>
  <c r="AF679" i="5"/>
  <c r="Q681" i="5"/>
  <c r="R681" i="5" s="1"/>
  <c r="AF682" i="5"/>
  <c r="Q689" i="5"/>
  <c r="R689" i="5" s="1"/>
  <c r="AF690" i="5"/>
  <c r="Q697" i="5"/>
  <c r="R697" i="5" s="1"/>
  <c r="AF698" i="5"/>
  <c r="AE704" i="5"/>
  <c r="Q713" i="5"/>
  <c r="R713" i="5" s="1"/>
  <c r="AE719" i="5"/>
  <c r="AE724" i="5"/>
  <c r="AF729" i="5"/>
  <c r="AE740" i="5"/>
  <c r="AF748" i="5"/>
  <c r="AF765" i="5"/>
  <c r="R657" i="5"/>
  <c r="AF671" i="5"/>
  <c r="Q673" i="5"/>
  <c r="R673" i="5" s="1"/>
  <c r="AE703" i="5"/>
  <c r="AE706" i="5"/>
  <c r="AE711" i="5"/>
  <c r="AE716" i="5"/>
  <c r="AE721" i="5"/>
  <c r="AE726" i="5"/>
  <c r="AF732" i="5"/>
  <c r="AF735" i="5"/>
  <c r="AE736" i="5"/>
  <c r="AF742" i="5"/>
  <c r="AF759" i="5"/>
  <c r="AF883" i="5"/>
  <c r="AF678" i="5"/>
  <c r="AE684" i="5"/>
  <c r="AE692" i="5"/>
  <c r="AE700" i="5"/>
  <c r="AE708" i="5"/>
  <c r="Q717" i="5"/>
  <c r="R717" i="5" s="1"/>
  <c r="AE723" i="5"/>
  <c r="AE728" i="5"/>
  <c r="AE732" i="5"/>
  <c r="AF747" i="5"/>
  <c r="AE750" i="5"/>
  <c r="Q617" i="5"/>
  <c r="R617" i="5" s="1"/>
  <c r="Q621" i="5"/>
  <c r="R621" i="5" s="1"/>
  <c r="Q625" i="5"/>
  <c r="R625" i="5" s="1"/>
  <c r="Q629" i="5"/>
  <c r="R629" i="5" s="1"/>
  <c r="Q637" i="5"/>
  <c r="R637" i="5" s="1"/>
  <c r="Q641" i="5"/>
  <c r="R641" i="5" s="1"/>
  <c r="Q645" i="5"/>
  <c r="R645" i="5" s="1"/>
  <c r="Q649" i="5"/>
  <c r="R649" i="5" s="1"/>
  <c r="AF652" i="5"/>
  <c r="Q659" i="5"/>
  <c r="R659" i="5" s="1"/>
  <c r="Q667" i="5"/>
  <c r="R667" i="5" s="1"/>
  <c r="AF674" i="5"/>
  <c r="AE678" i="5"/>
  <c r="AF683" i="5"/>
  <c r="Q685" i="5"/>
  <c r="R685" i="5" s="1"/>
  <c r="AF686" i="5"/>
  <c r="Q693" i="5"/>
  <c r="R693" i="5" s="1"/>
  <c r="AF694" i="5"/>
  <c r="Q701" i="5"/>
  <c r="R701" i="5" s="1"/>
  <c r="AF702" i="5"/>
  <c r="AE713" i="5"/>
  <c r="AE718" i="5"/>
  <c r="AE734" i="5"/>
  <c r="Q757" i="5"/>
  <c r="R757" i="5" s="1"/>
  <c r="AF779" i="5"/>
  <c r="AF654" i="5"/>
  <c r="Q661" i="5"/>
  <c r="R661" i="5" s="1"/>
  <c r="Q663" i="5"/>
  <c r="R663" i="5" s="1"/>
  <c r="Q665" i="5"/>
  <c r="R665" i="5" s="1"/>
  <c r="AF670" i="5"/>
  <c r="AE674" i="5"/>
  <c r="AE683" i="5"/>
  <c r="AE686" i="5"/>
  <c r="AE691" i="5"/>
  <c r="AE694" i="5"/>
  <c r="AE699" i="5"/>
  <c r="AE702" i="5"/>
  <c r="AE705" i="5"/>
  <c r="AE715" i="5"/>
  <c r="AE720" i="5"/>
  <c r="AE725" i="5"/>
  <c r="AE744" i="5"/>
  <c r="AF749" i="5"/>
  <c r="AE812" i="5"/>
  <c r="AF867" i="5"/>
  <c r="AF656" i="5"/>
  <c r="AF668" i="5"/>
  <c r="AE707" i="5"/>
  <c r="AE710" i="5"/>
  <c r="Q721" i="5"/>
  <c r="R721" i="5" s="1"/>
  <c r="AE727" i="5"/>
  <c r="AF730" i="5"/>
  <c r="AF743" i="5"/>
  <c r="Q777" i="5"/>
  <c r="R777" i="5" s="1"/>
  <c r="AF809" i="5"/>
  <c r="R651" i="5"/>
  <c r="AF658" i="5"/>
  <c r="AE668" i="5"/>
  <c r="AF676" i="5"/>
  <c r="AE680" i="5"/>
  <c r="AE688" i="5"/>
  <c r="AE696" i="5"/>
  <c r="AE712" i="5"/>
  <c r="AE717" i="5"/>
  <c r="AE722" i="5"/>
  <c r="AE746" i="5"/>
  <c r="AF751" i="5"/>
  <c r="AF766" i="5"/>
  <c r="AF740" i="5"/>
  <c r="AF752" i="5"/>
  <c r="AF754" i="5"/>
  <c r="AF760" i="5"/>
  <c r="Q773" i="5"/>
  <c r="R773" i="5" s="1"/>
  <c r="AF775" i="5"/>
  <c r="AF784" i="5"/>
  <c r="AE791" i="5"/>
  <c r="AF803" i="5"/>
  <c r="AF815" i="5"/>
  <c r="AE868" i="5"/>
  <c r="R737" i="5"/>
  <c r="AF744" i="5"/>
  <c r="AF746" i="5"/>
  <c r="AF750" i="5"/>
  <c r="R755" i="5"/>
  <c r="AF764" i="5"/>
  <c r="AE766" i="5"/>
  <c r="AF770" i="5"/>
  <c r="Q781" i="5"/>
  <c r="R781" i="5" s="1"/>
  <c r="Q785" i="5"/>
  <c r="R785" i="5" s="1"/>
  <c r="AE787" i="5"/>
  <c r="AF790" i="5"/>
  <c r="R794" i="5"/>
  <c r="AF800" i="5"/>
  <c r="AE824" i="5"/>
  <c r="AF827" i="5"/>
  <c r="AF835" i="5"/>
  <c r="AF843" i="5"/>
  <c r="AF851" i="5"/>
  <c r="AF863" i="5"/>
  <c r="AF758" i="5"/>
  <c r="AF763" i="5"/>
  <c r="AE770" i="5"/>
  <c r="AF774" i="5"/>
  <c r="AE790" i="5"/>
  <c r="AF799" i="5"/>
  <c r="AE800" i="5"/>
  <c r="AF823" i="5"/>
  <c r="Q831" i="5"/>
  <c r="R831" i="5" s="1"/>
  <c r="Q839" i="5"/>
  <c r="R839" i="5" s="1"/>
  <c r="Q847" i="5"/>
  <c r="R847" i="5" s="1"/>
  <c r="AF879" i="5"/>
  <c r="AF728" i="5"/>
  <c r="R731" i="5"/>
  <c r="AF734" i="5"/>
  <c r="Q739" i="5"/>
  <c r="R739" i="5" s="1"/>
  <c r="R741" i="5"/>
  <c r="R753" i="5"/>
  <c r="AE758" i="5"/>
  <c r="Q761" i="5"/>
  <c r="R761" i="5" s="1"/>
  <c r="AF768" i="5"/>
  <c r="AE774" i="5"/>
  <c r="AF778" i="5"/>
  <c r="AF786" i="5"/>
  <c r="AE795" i="5"/>
  <c r="AF756" i="5"/>
  <c r="AF772" i="5"/>
  <c r="AE778" i="5"/>
  <c r="AF782" i="5"/>
  <c r="AE786" i="5"/>
  <c r="AE792" i="5"/>
  <c r="AE802" i="5"/>
  <c r="AE808" i="5"/>
  <c r="Q815" i="5"/>
  <c r="R815" i="5" s="1"/>
  <c r="AF859" i="5"/>
  <c r="AF872" i="5"/>
  <c r="AF875" i="5"/>
  <c r="Q671" i="5"/>
  <c r="R671" i="5" s="1"/>
  <c r="Q683" i="5"/>
  <c r="R683" i="5" s="1"/>
  <c r="Q687" i="5"/>
  <c r="R687" i="5" s="1"/>
  <c r="Q691" i="5"/>
  <c r="R691" i="5" s="1"/>
  <c r="Q695" i="5"/>
  <c r="R695" i="5" s="1"/>
  <c r="Q699" i="5"/>
  <c r="R699" i="5" s="1"/>
  <c r="Q707" i="5"/>
  <c r="R707" i="5" s="1"/>
  <c r="Q711" i="5"/>
  <c r="R711" i="5" s="1"/>
  <c r="Q715" i="5"/>
  <c r="R715" i="5" s="1"/>
  <c r="Q719" i="5"/>
  <c r="R719" i="5" s="1"/>
  <c r="Q723" i="5"/>
  <c r="R723" i="5" s="1"/>
  <c r="Q727" i="5"/>
  <c r="R727" i="5" s="1"/>
  <c r="Q733" i="5"/>
  <c r="R733" i="5" s="1"/>
  <c r="AF736" i="5"/>
  <c r="Q743" i="5"/>
  <c r="R743" i="5" s="1"/>
  <c r="R745" i="5"/>
  <c r="AF755" i="5"/>
  <c r="AF762" i="5"/>
  <c r="Q765" i="5"/>
  <c r="R765" i="5" s="1"/>
  <c r="AF767" i="5"/>
  <c r="AF776" i="5"/>
  <c r="AE782" i="5"/>
  <c r="Q809" i="5"/>
  <c r="R809" i="5" s="1"/>
  <c r="AF831" i="5"/>
  <c r="AF839" i="5"/>
  <c r="AF847" i="5"/>
  <c r="AF862" i="5"/>
  <c r="AF887" i="5"/>
  <c r="AF738" i="5"/>
  <c r="AE762" i="5"/>
  <c r="R763" i="5"/>
  <c r="Q769" i="5"/>
  <c r="R769" i="5" s="1"/>
  <c r="AF771" i="5"/>
  <c r="AF780" i="5"/>
  <c r="AF788" i="5"/>
  <c r="AF791" i="5"/>
  <c r="AE794" i="5"/>
  <c r="AE798" i="5"/>
  <c r="AF801" i="5"/>
  <c r="AE816" i="5"/>
  <c r="Q835" i="5"/>
  <c r="R835" i="5" s="1"/>
  <c r="Q843" i="5"/>
  <c r="R843" i="5" s="1"/>
  <c r="Q851" i="5"/>
  <c r="R851" i="5" s="1"/>
  <c r="AF855" i="5"/>
  <c r="AF871" i="5"/>
  <c r="AE889" i="5"/>
  <c r="AF798" i="5"/>
  <c r="R807" i="5"/>
  <c r="R817" i="5"/>
  <c r="R819" i="5"/>
  <c r="AF824" i="5"/>
  <c r="Q827" i="5"/>
  <c r="R827" i="5" s="1"/>
  <c r="AF858" i="5"/>
  <c r="AF868" i="5"/>
  <c r="Q875" i="5"/>
  <c r="R875" i="5" s="1"/>
  <c r="AF882" i="5"/>
  <c r="AE887" i="5"/>
  <c r="AE892" i="5"/>
  <c r="AE897" i="5"/>
  <c r="AF792" i="5"/>
  <c r="AF802" i="5"/>
  <c r="AF821" i="5"/>
  <c r="AF822" i="5"/>
  <c r="AF828" i="5"/>
  <c r="AF832" i="5"/>
  <c r="AF836" i="5"/>
  <c r="AF840" i="5"/>
  <c r="AF844" i="5"/>
  <c r="AF848" i="5"/>
  <c r="Q855" i="5"/>
  <c r="R855" i="5" s="1"/>
  <c r="AE872" i="5"/>
  <c r="R873" i="5"/>
  <c r="AF876" i="5"/>
  <c r="Q879" i="5"/>
  <c r="R879" i="5" s="1"/>
  <c r="AE894" i="5"/>
  <c r="AE899" i="5"/>
  <c r="Q795" i="5"/>
  <c r="R795" i="5" s="1"/>
  <c r="R797" i="5"/>
  <c r="AF804" i="5"/>
  <c r="Q811" i="5"/>
  <c r="R811" i="5" s="1"/>
  <c r="AE828" i="5"/>
  <c r="AE832" i="5"/>
  <c r="AE836" i="5"/>
  <c r="R837" i="5"/>
  <c r="AE840" i="5"/>
  <c r="R841" i="5"/>
  <c r="AE844" i="5"/>
  <c r="R845" i="5"/>
  <c r="AE848" i="5"/>
  <c r="R849" i="5"/>
  <c r="AF852" i="5"/>
  <c r="Q859" i="5"/>
  <c r="R859" i="5" s="1"/>
  <c r="AF866" i="5"/>
  <c r="AE876" i="5"/>
  <c r="Q883" i="5"/>
  <c r="R883" i="5" s="1"/>
  <c r="AE885" i="5"/>
  <c r="AE891" i="5"/>
  <c r="Q895" i="5"/>
  <c r="R895" i="5" s="1"/>
  <c r="AF896" i="5"/>
  <c r="R799" i="5"/>
  <c r="AF806" i="5"/>
  <c r="AF817" i="5"/>
  <c r="AF818" i="5"/>
  <c r="AF820" i="5"/>
  <c r="AF826" i="5"/>
  <c r="AE852" i="5"/>
  <c r="AF856" i="5"/>
  <c r="Q863" i="5"/>
  <c r="R863" i="5" s="1"/>
  <c r="AF870" i="5"/>
  <c r="AF880" i="5"/>
  <c r="Q887" i="5"/>
  <c r="R887" i="5" s="1"/>
  <c r="AF888" i="5"/>
  <c r="AE896" i="5"/>
  <c r="AF901" i="5"/>
  <c r="R791" i="5"/>
  <c r="R801" i="5"/>
  <c r="AF808" i="5"/>
  <c r="AF813" i="5"/>
  <c r="AF814" i="5"/>
  <c r="AF816" i="5"/>
  <c r="AE820" i="5"/>
  <c r="AF825" i="5"/>
  <c r="AE856" i="5"/>
  <c r="AF860" i="5"/>
  <c r="AF874" i="5"/>
  <c r="AE880" i="5"/>
  <c r="AF884" i="5"/>
  <c r="AE888" i="5"/>
  <c r="AE893" i="5"/>
  <c r="AE898" i="5"/>
  <c r="AE901" i="5"/>
  <c r="AF810" i="5"/>
  <c r="AF812" i="5"/>
  <c r="Q823" i="5"/>
  <c r="R823" i="5" s="1"/>
  <c r="AF830" i="5"/>
  <c r="AF834" i="5"/>
  <c r="AF838" i="5"/>
  <c r="AF842" i="5"/>
  <c r="AF846" i="5"/>
  <c r="AF850" i="5"/>
  <c r="AE860" i="5"/>
  <c r="AF864" i="5"/>
  <c r="Q867" i="5"/>
  <c r="R867" i="5" s="1"/>
  <c r="AE884" i="5"/>
  <c r="AE890" i="5"/>
  <c r="Q899" i="5"/>
  <c r="R899" i="5" s="1"/>
  <c r="AF900" i="5"/>
  <c r="AF796" i="5"/>
  <c r="Q803" i="5"/>
  <c r="R803" i="5" s="1"/>
  <c r="R805" i="5"/>
  <c r="AF829" i="5"/>
  <c r="AF833" i="5"/>
  <c r="AF837" i="5"/>
  <c r="AF841" i="5"/>
  <c r="AF854" i="5"/>
  <c r="AE864" i="5"/>
  <c r="Q871" i="5"/>
  <c r="R871" i="5" s="1"/>
  <c r="AF878" i="5"/>
  <c r="Q891" i="5"/>
  <c r="R891" i="5" s="1"/>
  <c r="AF892" i="5"/>
  <c r="AE895" i="5"/>
  <c r="AE900" i="5"/>
  <c r="Q900" i="5"/>
  <c r="R900" i="5" s="1"/>
  <c r="Q889" i="5"/>
  <c r="R889" i="5" s="1"/>
  <c r="Q897" i="5"/>
  <c r="R897" i="5" s="1"/>
  <c r="B55" i="3" l="1"/>
  <c r="C55" i="3" s="1"/>
  <c r="B226" i="3"/>
  <c r="C226" i="3" s="1"/>
  <c r="B13" i="3"/>
  <c r="C13" i="3" s="1"/>
  <c r="B141" i="3"/>
  <c r="C141" i="3" s="1"/>
  <c r="B195" i="3"/>
  <c r="C195" i="3" s="1"/>
  <c r="B102" i="3"/>
  <c r="C102" i="3" s="1"/>
  <c r="B153" i="3"/>
  <c r="C153" i="3" s="1"/>
  <c r="B191" i="3"/>
  <c r="C191" i="3" s="1"/>
  <c r="B74" i="3"/>
  <c r="C74" i="3" s="1"/>
  <c r="B211" i="3"/>
  <c r="C211" i="3" s="1"/>
  <c r="B265" i="3"/>
  <c r="C265" i="3" s="1"/>
  <c r="B251" i="3"/>
  <c r="C251" i="3" s="1"/>
  <c r="B272" i="3"/>
  <c r="C272" i="3" s="1"/>
  <c r="B268" i="3"/>
  <c r="C268" i="3" s="1"/>
  <c r="B90" i="3"/>
  <c r="C90" i="3" s="1"/>
  <c r="B59" i="3"/>
  <c r="C59" i="3" s="1"/>
  <c r="B165" i="3"/>
  <c r="C165" i="3" s="1"/>
  <c r="B204" i="3"/>
  <c r="C204" i="3" s="1"/>
  <c r="B239" i="3"/>
  <c r="C239" i="3" s="1"/>
  <c r="B243" i="3"/>
  <c r="C243" i="3" s="1"/>
  <c r="B34" i="3"/>
  <c r="C34" i="3" s="1"/>
  <c r="B162" i="3"/>
  <c r="C162" i="3" s="1"/>
  <c r="B193" i="3"/>
  <c r="C193" i="3" s="1"/>
  <c r="B185" i="3"/>
  <c r="C185" i="3" s="1"/>
  <c r="B42" i="3"/>
  <c r="C42" i="3" s="1"/>
  <c r="B282" i="3"/>
  <c r="C282" i="3" s="1"/>
  <c r="B210" i="3"/>
  <c r="C210" i="3" s="1"/>
  <c r="B61" i="3"/>
  <c r="C61" i="3" s="1"/>
  <c r="B125" i="3"/>
  <c r="C125" i="3" s="1"/>
  <c r="B86" i="3"/>
  <c r="C86" i="3" s="1"/>
  <c r="B73" i="3"/>
  <c r="C73" i="3" s="1"/>
  <c r="B175" i="3"/>
  <c r="C175" i="3" s="1"/>
  <c r="B276" i="3"/>
  <c r="C276" i="3" s="1"/>
  <c r="B136" i="3"/>
  <c r="C136" i="3" s="1"/>
  <c r="B115" i="3"/>
  <c r="C115" i="3" s="1"/>
  <c r="B167" i="3"/>
  <c r="C167" i="3" s="1"/>
  <c r="B209" i="3"/>
  <c r="C209" i="3" s="1"/>
  <c r="B275" i="3"/>
  <c r="C275" i="3" s="1"/>
  <c r="B188" i="3"/>
  <c r="C188" i="3" s="1"/>
  <c r="B23" i="3"/>
  <c r="C23" i="3" s="1"/>
  <c r="B85" i="3"/>
  <c r="C85" i="3" s="1"/>
  <c r="B149" i="3"/>
  <c r="C149" i="3" s="1"/>
  <c r="B97" i="3"/>
  <c r="C97" i="3" s="1"/>
  <c r="B146" i="3"/>
  <c r="C146" i="3" s="1"/>
  <c r="B244" i="3"/>
  <c r="C244" i="3" s="1"/>
  <c r="B118" i="3"/>
  <c r="C118" i="3" s="1"/>
  <c r="B182" i="3"/>
  <c r="C182" i="3" s="1"/>
  <c r="B240" i="3"/>
  <c r="C240" i="3" s="1"/>
  <c r="B26" i="3"/>
  <c r="C26" i="3" s="1"/>
  <c r="B154" i="3"/>
  <c r="C154" i="3" s="1"/>
  <c r="B271" i="3"/>
  <c r="C271" i="3" s="1"/>
  <c r="B49" i="3"/>
  <c r="C49" i="3" s="1"/>
  <c r="B177" i="3"/>
  <c r="C177" i="3" s="1"/>
  <c r="B194" i="3"/>
  <c r="C194" i="3" s="1"/>
  <c r="B109" i="3"/>
  <c r="C109" i="3" s="1"/>
  <c r="B207" i="3"/>
  <c r="C207" i="3" s="1"/>
  <c r="B134" i="3"/>
  <c r="C134" i="3" s="1"/>
  <c r="B246" i="3"/>
  <c r="C246" i="3" s="1"/>
  <c r="B170" i="3"/>
  <c r="C170" i="3" s="1"/>
  <c r="B202" i="3"/>
  <c r="C202" i="3" s="1"/>
  <c r="B78" i="3"/>
  <c r="C78" i="3" s="1"/>
  <c r="B196" i="3"/>
  <c r="C196" i="3" s="1"/>
  <c r="B288" i="3"/>
  <c r="C288" i="3" s="1"/>
  <c r="B249" i="3"/>
  <c r="C249" i="3" s="1"/>
  <c r="B180" i="3"/>
  <c r="C180" i="3" s="1"/>
  <c r="B189" i="3"/>
  <c r="C189" i="3" s="1"/>
  <c r="B22" i="3"/>
  <c r="C22" i="3" s="1"/>
  <c r="B252" i="3"/>
  <c r="C252" i="3" s="1"/>
  <c r="B122" i="3"/>
  <c r="C122" i="3" s="1"/>
  <c r="B259" i="3"/>
  <c r="C259" i="3" s="1"/>
  <c r="B94" i="3"/>
  <c r="C94" i="3" s="1"/>
  <c r="B245" i="3"/>
  <c r="C245" i="3" s="1"/>
  <c r="B81" i="3"/>
  <c r="C81" i="3" s="1"/>
  <c r="B66" i="3"/>
  <c r="C66" i="3" s="1"/>
  <c r="B130" i="3"/>
  <c r="C130" i="3" s="1"/>
  <c r="B151" i="3"/>
  <c r="C151" i="3" s="1"/>
  <c r="B39" i="3"/>
  <c r="C39" i="3" s="1"/>
  <c r="B87" i="3"/>
  <c r="C87" i="3" s="1"/>
  <c r="B71" i="3"/>
  <c r="C71" i="3" s="1"/>
  <c r="B135" i="3"/>
  <c r="C135" i="3" s="1"/>
  <c r="B164" i="3"/>
  <c r="C164" i="3" s="1"/>
  <c r="B281" i="3"/>
  <c r="C281" i="3" s="1"/>
  <c r="B11" i="3"/>
  <c r="C11" i="3" s="1"/>
  <c r="B127" i="3"/>
  <c r="C127" i="3" s="1"/>
  <c r="C25" i="2"/>
  <c r="B179" i="3"/>
  <c r="C179" i="3" s="1"/>
  <c r="B35" i="3"/>
  <c r="C35" i="3" s="1"/>
  <c r="B247" i="3"/>
  <c r="C247" i="3" s="1"/>
  <c r="B15" i="3"/>
  <c r="C15" i="3" s="1"/>
  <c r="B208" i="3"/>
  <c r="C208" i="3" s="1"/>
  <c r="B103" i="3"/>
  <c r="C103" i="3" s="1"/>
  <c r="B287" i="3"/>
  <c r="C287" i="3" s="1"/>
  <c r="B43" i="3"/>
  <c r="C43" i="3" s="1"/>
  <c r="B98" i="3"/>
  <c r="C98" i="3" s="1"/>
  <c r="B225" i="3"/>
  <c r="C225" i="3" s="1"/>
  <c r="B106" i="3"/>
  <c r="C106" i="3" s="1"/>
  <c r="B228" i="3"/>
  <c r="C228" i="3" s="1"/>
  <c r="B51" i="3"/>
  <c r="C51" i="3" s="1"/>
  <c r="B139" i="3"/>
  <c r="C139" i="3" s="1"/>
  <c r="B116" i="3"/>
  <c r="C116" i="3" s="1"/>
  <c r="B254" i="3"/>
  <c r="C254" i="3" s="1"/>
  <c r="B236" i="3"/>
  <c r="C236" i="3" s="1"/>
  <c r="C24" i="2"/>
  <c r="C44" i="2"/>
  <c r="B67" i="3"/>
  <c r="C67" i="3" s="1"/>
  <c r="B123" i="3"/>
  <c r="C123" i="3" s="1"/>
  <c r="B200" i="3"/>
  <c r="C200" i="3" s="1"/>
  <c r="B171" i="3"/>
  <c r="C171" i="3" s="1"/>
  <c r="B57" i="3"/>
  <c r="C57" i="3" s="1"/>
  <c r="B121" i="3"/>
  <c r="C121" i="3" s="1"/>
  <c r="B99" i="3"/>
  <c r="C99" i="3" s="1"/>
  <c r="C33" i="2"/>
  <c r="C27" i="2"/>
  <c r="B63" i="3"/>
  <c r="C63" i="3" s="1"/>
  <c r="B19" i="3"/>
  <c r="C19" i="3" s="1"/>
  <c r="B48" i="3"/>
  <c r="C48" i="3" s="1"/>
  <c r="B159" i="3"/>
  <c r="C159" i="3" s="1"/>
  <c r="B20" i="3"/>
  <c r="C20" i="3" s="1"/>
  <c r="B263" i="3"/>
  <c r="C263" i="3" s="1"/>
  <c r="B65" i="3"/>
  <c r="C65" i="3" s="1"/>
  <c r="B221" i="3"/>
  <c r="C221" i="3" s="1"/>
  <c r="B50" i="3"/>
  <c r="C50" i="3" s="1"/>
  <c r="B114" i="3"/>
  <c r="C114" i="3" s="1"/>
  <c r="C45" i="2"/>
  <c r="C37" i="2"/>
  <c r="B212" i="3"/>
  <c r="C212" i="3" s="1"/>
  <c r="B279" i="3"/>
  <c r="C279" i="3" s="1"/>
  <c r="B199" i="3"/>
  <c r="C199" i="3" s="1"/>
  <c r="B224" i="3"/>
  <c r="C224" i="3" s="1"/>
  <c r="B186" i="3"/>
  <c r="C186" i="3" s="1"/>
  <c r="C48" i="2"/>
  <c r="B278" i="3"/>
  <c r="C278" i="3" s="1"/>
  <c r="B69" i="3"/>
  <c r="C69" i="3" s="1"/>
  <c r="B192" i="3"/>
  <c r="C192" i="3" s="1"/>
  <c r="B17" i="3"/>
  <c r="C17" i="3" s="1"/>
  <c r="B227" i="3"/>
  <c r="C227" i="3" s="1"/>
  <c r="B213" i="3"/>
  <c r="C213" i="3" s="1"/>
  <c r="C26" i="2"/>
  <c r="C36" i="2"/>
  <c r="C29" i="2"/>
  <c r="C47" i="2"/>
  <c r="B270" i="3"/>
  <c r="C270" i="3" s="1"/>
  <c r="B77" i="3"/>
  <c r="C77" i="3" s="1"/>
  <c r="B166" i="3"/>
  <c r="C166" i="3" s="1"/>
  <c r="B230" i="3"/>
  <c r="C230" i="3" s="1"/>
  <c r="B10" i="3"/>
  <c r="C10" i="3" s="1"/>
  <c r="B138" i="3"/>
  <c r="C138" i="3" s="1"/>
  <c r="B32" i="3"/>
  <c r="C32" i="3" s="1"/>
  <c r="B46" i="3"/>
  <c r="C46" i="3" s="1"/>
  <c r="B110" i="3"/>
  <c r="C110" i="3" s="1"/>
  <c r="B233" i="3"/>
  <c r="C233" i="3" s="1"/>
  <c r="B219" i="3"/>
  <c r="C219" i="3" s="1"/>
  <c r="B152" i="3"/>
  <c r="C152" i="3" s="1"/>
  <c r="C32" i="2"/>
  <c r="C42" i="2"/>
  <c r="B95" i="3"/>
  <c r="C95" i="3" s="1"/>
  <c r="B91" i="3"/>
  <c r="C91" i="3" s="1"/>
  <c r="B92" i="3"/>
  <c r="C92" i="3" s="1"/>
  <c r="B143" i="3"/>
  <c r="C143" i="3" s="1"/>
  <c r="B264" i="3"/>
  <c r="C264" i="3" s="1"/>
  <c r="B273" i="3"/>
  <c r="C273" i="3" s="1"/>
  <c r="B206" i="3"/>
  <c r="C206" i="3" s="1"/>
  <c r="B163" i="3"/>
  <c r="C163" i="3" s="1"/>
  <c r="B232" i="3"/>
  <c r="C232" i="3" s="1"/>
  <c r="B100" i="3"/>
  <c r="C100" i="3" s="1"/>
  <c r="B131" i="3"/>
  <c r="C131" i="3" s="1"/>
  <c r="B111" i="3"/>
  <c r="C111" i="3" s="1"/>
  <c r="B27" i="3"/>
  <c r="C27" i="3" s="1"/>
  <c r="B75" i="3"/>
  <c r="C75" i="3" s="1"/>
  <c r="B214" i="3"/>
  <c r="C214" i="3" s="1"/>
  <c r="B132" i="3"/>
  <c r="C132" i="3" s="1"/>
  <c r="C39" i="2"/>
  <c r="C41" i="2"/>
  <c r="B238" i="3"/>
  <c r="C238" i="3" s="1"/>
  <c r="B84" i="3"/>
  <c r="C84" i="3" s="1"/>
  <c r="B80" i="3"/>
  <c r="C80" i="3" s="1"/>
  <c r="C35" i="2"/>
  <c r="B203" i="3"/>
  <c r="C203" i="3" s="1"/>
  <c r="C49" i="2"/>
  <c r="B205" i="3"/>
  <c r="C205" i="3" s="1"/>
  <c r="B68" i="3"/>
  <c r="C68" i="3" s="1"/>
  <c r="B52" i="3"/>
  <c r="C52" i="3" s="1"/>
  <c r="B112" i="3"/>
  <c r="C112" i="3" s="1"/>
  <c r="B156" i="3"/>
  <c r="C156" i="3" s="1"/>
  <c r="B237" i="3"/>
  <c r="C237" i="3" s="1"/>
  <c r="B18" i="3"/>
  <c r="C18" i="3" s="1"/>
  <c r="B168" i="3"/>
  <c r="C168" i="3" s="1"/>
  <c r="C40" i="2"/>
  <c r="C34" i="2"/>
  <c r="B155" i="3"/>
  <c r="C155" i="3" s="1"/>
  <c r="B96" i="3"/>
  <c r="C96" i="3" s="1"/>
  <c r="B12" i="3"/>
  <c r="C12" i="3" s="1"/>
  <c r="B172" i="3"/>
  <c r="C172" i="3" s="1"/>
  <c r="B44" i="3"/>
  <c r="C44" i="3" s="1"/>
  <c r="B128" i="3"/>
  <c r="C128" i="3" s="1"/>
  <c r="B108" i="3"/>
  <c r="C108" i="3" s="1"/>
  <c r="B148" i="3"/>
  <c r="C148" i="3" s="1"/>
  <c r="B47" i="3"/>
  <c r="C47" i="3" s="1"/>
  <c r="B140" i="3"/>
  <c r="C140" i="3" s="1"/>
  <c r="B144" i="3"/>
  <c r="C144" i="3" s="1"/>
  <c r="B160" i="3"/>
  <c r="C160" i="3" s="1"/>
  <c r="B241" i="3"/>
  <c r="C241" i="3" s="1"/>
  <c r="B79" i="3"/>
  <c r="C79" i="3" s="1"/>
  <c r="B64" i="3"/>
  <c r="C64" i="3" s="1"/>
  <c r="B107" i="3"/>
  <c r="C107" i="3" s="1"/>
  <c r="C31" i="2"/>
  <c r="B28" i="3"/>
  <c r="C28" i="3" s="1"/>
  <c r="B72" i="3"/>
  <c r="C72" i="3" s="1"/>
  <c r="B235" i="3"/>
  <c r="C235" i="3" s="1"/>
  <c r="B27" i="2"/>
  <c r="B26" i="2"/>
  <c r="H61" i="2"/>
  <c r="I61" i="2" s="1"/>
  <c r="B47" i="1" s="1"/>
  <c r="B28" i="2"/>
  <c r="B16" i="3"/>
  <c r="C16" i="3" s="1"/>
  <c r="B124" i="3"/>
  <c r="C124" i="3" s="1"/>
  <c r="B229" i="3"/>
  <c r="C229" i="3" s="1"/>
  <c r="B37" i="2"/>
  <c r="B147" i="3"/>
  <c r="C147" i="3" s="1"/>
  <c r="B76" i="3"/>
  <c r="C76" i="3" s="1"/>
  <c r="B49" i="2"/>
  <c r="B23" i="2"/>
  <c r="B45" i="2"/>
  <c r="B41" i="2"/>
  <c r="B29" i="2"/>
  <c r="B25" i="2"/>
  <c r="I2" i="2"/>
  <c r="B50" i="2"/>
  <c r="B43" i="2"/>
  <c r="B42" i="2"/>
  <c r="H59" i="2"/>
  <c r="H62" i="2"/>
  <c r="H58" i="2"/>
  <c r="Z9" i="5"/>
  <c r="I5" i="2"/>
  <c r="P8" i="2"/>
  <c r="B21" i="2"/>
  <c r="I7" i="4"/>
  <c r="E22" i="2"/>
  <c r="I6" i="4"/>
  <c r="E21" i="2"/>
  <c r="E23" i="2"/>
  <c r="B197" i="3"/>
  <c r="C197" i="3" s="1"/>
  <c r="C43" i="2"/>
  <c r="Z14" i="5"/>
  <c r="B14" i="3" s="1"/>
  <c r="C14" i="3" s="1"/>
  <c r="P10" i="2"/>
  <c r="I6" i="2"/>
  <c r="P7" i="2"/>
  <c r="P13" i="2"/>
  <c r="P19" i="2"/>
  <c r="B36" i="3"/>
  <c r="C36" i="3" s="1"/>
  <c r="Z302" i="5"/>
  <c r="B31" i="2"/>
  <c r="C50" i="2"/>
  <c r="P6" i="2"/>
  <c r="C46" i="2"/>
  <c r="Z21" i="5"/>
  <c r="B21" i="3" s="1"/>
  <c r="C21" i="3" s="1"/>
  <c r="P12" i="2"/>
  <c r="B24" i="3"/>
  <c r="C24" i="3" s="1"/>
  <c r="Z542" i="5"/>
  <c r="B184" i="3" s="1"/>
  <c r="C184" i="3" s="1"/>
  <c r="B39" i="2"/>
  <c r="B33" i="2"/>
  <c r="B44" i="2"/>
  <c r="P11" i="2"/>
  <c r="B25" i="3"/>
  <c r="C25" i="3" s="1"/>
  <c r="C21" i="2"/>
  <c r="B56" i="3"/>
  <c r="C56" i="3" s="1"/>
  <c r="Z92" i="5"/>
  <c r="B82" i="3" s="1"/>
  <c r="C82" i="3" s="1"/>
  <c r="B24" i="2"/>
  <c r="Z752" i="5"/>
  <c r="B150" i="3" s="1"/>
  <c r="C150" i="3" s="1"/>
  <c r="B46" i="2"/>
  <c r="C28" i="2"/>
  <c r="P17" i="2"/>
  <c r="H56" i="2"/>
  <c r="C38" i="2"/>
  <c r="Z32" i="5"/>
  <c r="B31" i="3" s="1"/>
  <c r="C31" i="3" s="1"/>
  <c r="C22" i="2"/>
  <c r="B22" i="2"/>
  <c r="P14" i="2"/>
  <c r="B34" i="2"/>
  <c r="H57" i="2"/>
  <c r="C30" i="2"/>
  <c r="Z2" i="5"/>
  <c r="B2" i="2"/>
  <c r="B3" i="2"/>
  <c r="X2" i="2"/>
  <c r="Z3" i="5"/>
  <c r="B3" i="3" s="1"/>
  <c r="C3" i="3" s="1"/>
  <c r="P3" i="2"/>
  <c r="Z4" i="5"/>
  <c r="B4" i="3" s="1"/>
  <c r="C4" i="3" s="1"/>
  <c r="P4" i="2"/>
  <c r="Z332" i="5"/>
  <c r="B88" i="3" s="1"/>
  <c r="C88" i="3" s="1"/>
  <c r="B32" i="2"/>
  <c r="Z572" i="5"/>
  <c r="B83" i="3" s="1"/>
  <c r="C83" i="3" s="1"/>
  <c r="B40" i="2"/>
  <c r="B36" i="2"/>
  <c r="I7" i="2"/>
  <c r="B35" i="2"/>
  <c r="X3" i="2"/>
  <c r="X5" i="2"/>
  <c r="Z6" i="5"/>
  <c r="B6" i="3" s="1"/>
  <c r="C6" i="3" s="1"/>
  <c r="X4" i="2"/>
  <c r="P5" i="2"/>
  <c r="I4" i="2"/>
  <c r="B8" i="3"/>
  <c r="C8" i="3" s="1"/>
  <c r="Z512" i="5"/>
  <c r="B60" i="3" s="1"/>
  <c r="C60" i="3" s="1"/>
  <c r="B38" i="2"/>
  <c r="Z812" i="5"/>
  <c r="B104" i="3" s="1"/>
  <c r="C104" i="3" s="1"/>
  <c r="B48" i="2"/>
  <c r="P16" i="2"/>
  <c r="C23" i="2"/>
  <c r="X6" i="2"/>
  <c r="I3" i="2"/>
  <c r="H60" i="2"/>
  <c r="P18" i="2"/>
  <c r="B40" i="3"/>
  <c r="C40" i="3" s="1"/>
  <c r="Z272" i="5"/>
  <c r="B30" i="2"/>
  <c r="Z782" i="5"/>
  <c r="B33" i="3" s="1"/>
  <c r="C33" i="3" s="1"/>
  <c r="B47" i="2"/>
  <c r="P2" i="2"/>
  <c r="P15" i="2"/>
  <c r="P9" i="2"/>
  <c r="B9" i="3" l="1"/>
  <c r="C9" i="3" s="1"/>
  <c r="Q15" i="2"/>
  <c r="Q2" i="2"/>
  <c r="J3" i="2"/>
  <c r="B57" i="2"/>
  <c r="H8" i="1"/>
  <c r="Q17" i="2"/>
  <c r="J5" i="2"/>
  <c r="Q16" i="2"/>
  <c r="B9" i="7"/>
  <c r="B8" i="7"/>
  <c r="B7" i="7"/>
  <c r="B6" i="7"/>
  <c r="B8" i="1"/>
  <c r="Q11" i="2"/>
  <c r="Q19" i="2"/>
  <c r="F23" i="2"/>
  <c r="L55" i="2" s="1"/>
  <c r="L58" i="2" s="1"/>
  <c r="H44" i="1" s="1"/>
  <c r="G23" i="2"/>
  <c r="Q5" i="2"/>
  <c r="Q9" i="2"/>
  <c r="Q18" i="2"/>
  <c r="F57" i="2"/>
  <c r="F56" i="2"/>
  <c r="B4" i="2"/>
  <c r="B11" i="2" s="1"/>
  <c r="M57" i="1" s="1"/>
  <c r="B2" i="3"/>
  <c r="C2" i="3" s="1"/>
  <c r="B5" i="2" s="1"/>
  <c r="N8" i="1" s="1"/>
  <c r="B56" i="2"/>
  <c r="Q6" i="2"/>
  <c r="Q13" i="2"/>
  <c r="G21" i="2"/>
  <c r="F21" i="2"/>
  <c r="J55" i="2" s="1"/>
  <c r="J62" i="2" s="1"/>
  <c r="D48" i="1" s="1"/>
  <c r="Q4" i="2"/>
  <c r="Q7" i="2"/>
  <c r="J58" i="2"/>
  <c r="D44" i="1" s="1"/>
  <c r="I58" i="2"/>
  <c r="B44" i="1" s="1"/>
  <c r="I57" i="2"/>
  <c r="B43" i="1" s="1"/>
  <c r="I56" i="2"/>
  <c r="B42" i="1" s="1"/>
  <c r="J6" i="2"/>
  <c r="F22" i="2"/>
  <c r="K55" i="2" s="1"/>
  <c r="K56" i="2" s="1"/>
  <c r="F42" i="1" s="1"/>
  <c r="G22" i="2"/>
  <c r="I62" i="2"/>
  <c r="B48" i="1" s="1"/>
  <c r="L62" i="2"/>
  <c r="H48" i="1" s="1"/>
  <c r="I60" i="2"/>
  <c r="B46" i="1" s="1"/>
  <c r="J7" i="2"/>
  <c r="Q3" i="2"/>
  <c r="Q10" i="2"/>
  <c r="I59" i="2"/>
  <c r="B45" i="1" s="1"/>
  <c r="J4" i="2"/>
  <c r="J2" i="2"/>
  <c r="Q14" i="2"/>
  <c r="Q12" i="2"/>
  <c r="Q8" i="2"/>
  <c r="J57" i="2" l="1"/>
  <c r="D43" i="1" s="1"/>
  <c r="K58" i="2"/>
  <c r="F44" i="1" s="1"/>
  <c r="K60" i="2"/>
  <c r="F46" i="1" s="1"/>
  <c r="K57" i="2"/>
  <c r="F43" i="1" s="1"/>
  <c r="L59" i="2"/>
  <c r="H45" i="1" s="1"/>
  <c r="K62" i="2"/>
  <c r="F48" i="1" s="1"/>
  <c r="L57" i="2"/>
  <c r="H43" i="1" s="1"/>
  <c r="K59" i="2"/>
  <c r="F45" i="1" s="1"/>
  <c r="U5" i="2"/>
  <c r="U2" i="2"/>
  <c r="T5" i="2"/>
  <c r="M55" i="1"/>
  <c r="J60" i="2"/>
  <c r="D46" i="1" s="1"/>
  <c r="U4" i="2"/>
  <c r="T6" i="2"/>
  <c r="L60" i="2"/>
  <c r="H46" i="1" s="1"/>
  <c r="B9" i="2"/>
  <c r="B54" i="1" s="1"/>
  <c r="J56" i="2"/>
  <c r="T4" i="2"/>
  <c r="U3" i="2"/>
  <c r="T3" i="2"/>
  <c r="T2" i="2"/>
  <c r="D41" i="1"/>
  <c r="J61" i="2"/>
  <c r="D47" i="1" s="1"/>
  <c r="J59" i="2"/>
  <c r="D45" i="1" s="1"/>
  <c r="U6" i="2"/>
  <c r="L56" i="2"/>
  <c r="H42" i="1" s="1"/>
  <c r="L2" i="2"/>
  <c r="L5" i="2"/>
  <c r="L3" i="2"/>
  <c r="M6" i="2"/>
  <c r="L6" i="2"/>
  <c r="M7" i="2"/>
  <c r="L7" i="2"/>
  <c r="M2" i="2"/>
  <c r="M5" i="2"/>
  <c r="M3" i="2"/>
  <c r="M4" i="2"/>
  <c r="L4" i="2"/>
  <c r="H41" i="1"/>
  <c r="L61" i="2"/>
  <c r="H47" i="1" s="1"/>
  <c r="F41" i="1"/>
  <c r="K61" i="2"/>
  <c r="F47" i="1" s="1"/>
  <c r="B11" i="7"/>
  <c r="B12" i="2"/>
  <c r="G58" i="1" s="1"/>
  <c r="B10" i="2"/>
  <c r="B58" i="1" s="1"/>
  <c r="B8" i="2"/>
  <c r="G54" i="1" s="1"/>
  <c r="B7" i="2"/>
  <c r="Z8" i="1" s="1"/>
  <c r="B6" i="2"/>
  <c r="T8" i="1" s="1"/>
  <c r="M54" i="1" l="1"/>
  <c r="M56" i="1"/>
  <c r="D42" i="1"/>
  <c r="B10" i="7"/>
</calcChain>
</file>

<file path=xl/sharedStrings.xml><?xml version="1.0" encoding="utf-8"?>
<sst xmlns="http://schemas.openxmlformats.org/spreadsheetml/2006/main" count="12829" uniqueCount="1329">
  <si>
    <t>Start date</t>
  </si>
  <si>
    <t>End date</t>
  </si>
  <si>
    <t>Zone</t>
  </si>
  <si>
    <t>Category</t>
  </si>
  <si>
    <t>Delivery target minutes</t>
  </si>
  <si>
    <t>All</t>
  </si>
  <si>
    <t>NET REVENUE</t>
  </si>
  <si>
    <t>TOTAL ORDERS</t>
  </si>
  <si>
    <t>UNIQUE CUSTOMERS</t>
  </si>
  <si>
    <t>AVG ORDER VALUE</t>
  </si>
  <si>
    <t>AVG DELIVERY MIN</t>
  </si>
  <si>
    <t>Orders include cancellations. Revenue, customers, AOV and delivery metrics use delivered orders.</t>
  </si>
  <si>
    <t>ORDER HEATMAP</t>
  </si>
  <si>
    <t>Day</t>
  </si>
  <si>
    <t>Darker cells indicate more orders</t>
  </si>
  <si>
    <t>FULFILMENT</t>
  </si>
  <si>
    <t>ON TIME</t>
  </si>
  <si>
    <t>KEY INSIGHTS FOR THE SELECTED PERIOD</t>
  </si>
  <si>
    <t>FULFIL MIN</t>
  </si>
  <si>
    <t>AVG RATING</t>
  </si>
  <si>
    <t>Metric</t>
  </si>
  <si>
    <t>Selected result</t>
  </si>
  <si>
    <t>Revenue</t>
  </si>
  <si>
    <t>Rank</t>
  </si>
  <si>
    <t>Product</t>
  </si>
  <si>
    <t>Net revenue</t>
  </si>
  <si>
    <t>Total orders</t>
  </si>
  <si>
    <t>Delivered orders</t>
  </si>
  <si>
    <t>Unique delivered customers</t>
  </si>
  <si>
    <t>Average delivered order value</t>
  </si>
  <si>
    <t>Average delivery minutes</t>
  </si>
  <si>
    <t>On time rate</t>
  </si>
  <si>
    <t>Fulfilment rate</t>
  </si>
  <si>
    <t>Average fulfilment minutes</t>
  </si>
  <si>
    <t>Cancellation rate</t>
  </si>
  <si>
    <t>Average rating</t>
  </si>
  <si>
    <t>Date</t>
  </si>
  <si>
    <t>Orders</t>
  </si>
  <si>
    <t>DateLabel</t>
  </si>
  <si>
    <t>TimeBandNo</t>
  </si>
  <si>
    <t>TimeBand</t>
  </si>
  <si>
    <t>Customer cohort</t>
  </si>
  <si>
    <t>Delivery</t>
  </si>
  <si>
    <t>WeekdayNo</t>
  </si>
  <si>
    <t>On time</t>
  </si>
  <si>
    <t>Late</t>
  </si>
  <si>
    <t>CustomerID</t>
  </si>
  <si>
    <t>Selected delivered orders</t>
  </si>
  <si>
    <t>Active</t>
  </si>
  <si>
    <t>Observed CustomerIDs</t>
  </si>
  <si>
    <t>Zone choices</t>
  </si>
  <si>
    <t>Category choices</t>
  </si>
  <si>
    <t>List / daily span</t>
  </si>
  <si>
    <t>Count from data</t>
  </si>
  <si>
    <t>Zones</t>
  </si>
  <si>
    <t>Categories</t>
  </si>
  <si>
    <t>Products</t>
  </si>
  <si>
    <t>Observed customers</t>
  </si>
  <si>
    <t>Time bands</t>
  </si>
  <si>
    <t>Weekdays</t>
  </si>
  <si>
    <t>Teaching assumption: 30 minute delivery target</t>
  </si>
  <si>
    <t>Calendar days</t>
  </si>
  <si>
    <t>Excel 2016: fill helpers and summaries down when adding source rows.</t>
  </si>
  <si>
    <t>OrderID</t>
  </si>
  <si>
    <t>OrderDate</t>
  </si>
  <si>
    <t>OrderHour</t>
  </si>
  <si>
    <t>CustomerType</t>
  </si>
  <si>
    <t>Quantity</t>
  </si>
  <si>
    <t>UnitPrice</t>
  </si>
  <si>
    <t>DiscountPct</t>
  </si>
  <si>
    <t>Status</t>
  </si>
  <si>
    <t>DeliveryMinutes</t>
  </si>
  <si>
    <t>FulfilmentMinutes</t>
  </si>
  <si>
    <t>Rating</t>
  </si>
  <si>
    <t>GrossSales</t>
  </si>
  <si>
    <t>DiscountAmount</t>
  </si>
  <si>
    <t>NetRevenue</t>
  </si>
  <si>
    <t>Weekday</t>
  </si>
  <si>
    <t>DeliveredFlag</t>
  </si>
  <si>
    <t>OnTime</t>
  </si>
  <si>
    <t>Include</t>
  </si>
  <si>
    <t>DeliveredInclude</t>
  </si>
  <si>
    <t>CustomerFirstRow</t>
  </si>
  <si>
    <t>ZoneFirstRow</t>
  </si>
  <si>
    <t>CategoryFirstRow</t>
  </si>
  <si>
    <t>ProductFirstRow</t>
  </si>
  <si>
    <t>TimeFirstCode</t>
  </si>
  <si>
    <t>WeekdayFirstCode</t>
  </si>
  <si>
    <t>CohortFirstRow</t>
  </si>
  <si>
    <t>G0001</t>
  </si>
  <si>
    <t>C189</t>
  </si>
  <si>
    <t>Returning</t>
  </si>
  <si>
    <t>Central</t>
  </si>
  <si>
    <t>Bakery</t>
  </si>
  <si>
    <t>Croissants</t>
  </si>
  <si>
    <t>Delivered</t>
  </si>
  <si>
    <t>G0002</t>
  </si>
  <si>
    <t>C255</t>
  </si>
  <si>
    <t>West</t>
  </si>
  <si>
    <t>Household</t>
  </si>
  <si>
    <t>Dish soap</t>
  </si>
  <si>
    <t>Cancelled</t>
  </si>
  <si>
    <t>G0003</t>
  </si>
  <si>
    <t>C095</t>
  </si>
  <si>
    <t>Detergent</t>
  </si>
  <si>
    <t>G0004</t>
  </si>
  <si>
    <t>C290</t>
  </si>
  <si>
    <t>G0005</t>
  </si>
  <si>
    <t>C225</t>
  </si>
  <si>
    <t>North</t>
  </si>
  <si>
    <t>Beverages</t>
  </si>
  <si>
    <t>Juice</t>
  </si>
  <si>
    <t>G0006</t>
  </si>
  <si>
    <t>C117</t>
  </si>
  <si>
    <t>Tea</t>
  </si>
  <si>
    <t>G0007</t>
  </si>
  <si>
    <t>C077</t>
  </si>
  <si>
    <t>New</t>
  </si>
  <si>
    <t>Bread</t>
  </si>
  <si>
    <t>G0008</t>
  </si>
  <si>
    <t>C124</t>
  </si>
  <si>
    <t>South</t>
  </si>
  <si>
    <t>Produce</t>
  </si>
  <si>
    <t>Tomatoes</t>
  </si>
  <si>
    <t>G0009</t>
  </si>
  <si>
    <t>C145</t>
  </si>
  <si>
    <t>G0010</t>
  </si>
  <si>
    <t>C249</t>
  </si>
  <si>
    <t>G0011</t>
  </si>
  <si>
    <t>C233</t>
  </si>
  <si>
    <t>Tissues</t>
  </si>
  <si>
    <t>G0012</t>
  </si>
  <si>
    <t>C134</t>
  </si>
  <si>
    <t>G0013</t>
  </si>
  <si>
    <t>C257</t>
  </si>
  <si>
    <t>Snacks</t>
  </si>
  <si>
    <t>Chips</t>
  </si>
  <si>
    <t>G0014</t>
  </si>
  <si>
    <t>C296</t>
  </si>
  <si>
    <t>East</t>
  </si>
  <si>
    <t>G0015</t>
  </si>
  <si>
    <t>C184</t>
  </si>
  <si>
    <t>G0016</t>
  </si>
  <si>
    <t>C229</t>
  </si>
  <si>
    <t>G0017</t>
  </si>
  <si>
    <t>C004</t>
  </si>
  <si>
    <t>Cookies</t>
  </si>
  <si>
    <t>G0018</t>
  </si>
  <si>
    <t>C256</t>
  </si>
  <si>
    <t>G0019</t>
  </si>
  <si>
    <t>C166</t>
  </si>
  <si>
    <t>G0020</t>
  </si>
  <si>
    <t>C022</t>
  </si>
  <si>
    <t>Apples</t>
  </si>
  <si>
    <t>G0021</t>
  </si>
  <si>
    <t>C113</t>
  </si>
  <si>
    <t>G0022</t>
  </si>
  <si>
    <t>C217</t>
  </si>
  <si>
    <t>G0023</t>
  </si>
  <si>
    <t>C041</t>
  </si>
  <si>
    <t>G0024</t>
  </si>
  <si>
    <t>C137</t>
  </si>
  <si>
    <t>Nuts</t>
  </si>
  <si>
    <t>G0025</t>
  </si>
  <si>
    <t>G0026</t>
  </si>
  <si>
    <t>C227</t>
  </si>
  <si>
    <t>G0027</t>
  </si>
  <si>
    <t>C203</t>
  </si>
  <si>
    <t>G0028</t>
  </si>
  <si>
    <t>C110</t>
  </si>
  <si>
    <t>G0029</t>
  </si>
  <si>
    <t>C161</t>
  </si>
  <si>
    <t>G0030</t>
  </si>
  <si>
    <t>C103</t>
  </si>
  <si>
    <t>Dairy</t>
  </si>
  <si>
    <t>Cheese</t>
  </si>
  <si>
    <t>G0031</t>
  </si>
  <si>
    <t>C026</t>
  </si>
  <si>
    <t>G0032</t>
  </si>
  <si>
    <t>C200</t>
  </si>
  <si>
    <t>G0033</t>
  </si>
  <si>
    <t>C003</t>
  </si>
  <si>
    <t>G0034</t>
  </si>
  <si>
    <t>C230</t>
  </si>
  <si>
    <t>Milk</t>
  </si>
  <si>
    <t>G0035</t>
  </si>
  <si>
    <t>C084</t>
  </si>
  <si>
    <t>G0036</t>
  </si>
  <si>
    <t>C069</t>
  </si>
  <si>
    <t>G0037</t>
  </si>
  <si>
    <t>G0038</t>
  </si>
  <si>
    <t>C295</t>
  </si>
  <si>
    <t>G0039</t>
  </si>
  <si>
    <t>C071</t>
  </si>
  <si>
    <t>G0040</t>
  </si>
  <si>
    <t>C209</t>
  </si>
  <si>
    <t>G0041</t>
  </si>
  <si>
    <t>C238</t>
  </si>
  <si>
    <t>G0042</t>
  </si>
  <si>
    <t>C060</t>
  </si>
  <si>
    <t>G0043</t>
  </si>
  <si>
    <t>C158</t>
  </si>
  <si>
    <t>G0044</t>
  </si>
  <si>
    <t>C043</t>
  </si>
  <si>
    <t>G0045</t>
  </si>
  <si>
    <t>C275</t>
  </si>
  <si>
    <t>Coffee</t>
  </si>
  <si>
    <t>G0046</t>
  </si>
  <si>
    <t>C062</t>
  </si>
  <si>
    <t>G0047</t>
  </si>
  <si>
    <t>C045</t>
  </si>
  <si>
    <t>G0048</t>
  </si>
  <si>
    <t>C173</t>
  </si>
  <si>
    <t>G0049</t>
  </si>
  <si>
    <t>Bananas</t>
  </si>
  <si>
    <t>G0050</t>
  </si>
  <si>
    <t>C156</t>
  </si>
  <si>
    <t>Popcorn</t>
  </si>
  <si>
    <t>G0051</t>
  </si>
  <si>
    <t>C207</t>
  </si>
  <si>
    <t>G0052</t>
  </si>
  <si>
    <t>G0053</t>
  </si>
  <si>
    <t>C267</t>
  </si>
  <si>
    <t>G0054</t>
  </si>
  <si>
    <t>C099</t>
  </si>
  <si>
    <t>G0055</t>
  </si>
  <si>
    <t>C241</t>
  </si>
  <si>
    <t>G0056</t>
  </si>
  <si>
    <t>C199</t>
  </si>
  <si>
    <t>G0057</t>
  </si>
  <si>
    <t>C211</t>
  </si>
  <si>
    <t>G0058</t>
  </si>
  <si>
    <t>C172</t>
  </si>
  <si>
    <t>G0059</t>
  </si>
  <si>
    <t>C234</t>
  </si>
  <si>
    <t>G0060</t>
  </si>
  <si>
    <t>C121</t>
  </si>
  <si>
    <t>G0061</t>
  </si>
  <si>
    <t>C170</t>
  </si>
  <si>
    <t>G0062</t>
  </si>
  <si>
    <t>C096</t>
  </si>
  <si>
    <t>G0063</t>
  </si>
  <si>
    <t>C210</t>
  </si>
  <si>
    <t>G0064</t>
  </si>
  <si>
    <t>C009</t>
  </si>
  <si>
    <t>G0065</t>
  </si>
  <si>
    <t>G0066</t>
  </si>
  <si>
    <t>C033</t>
  </si>
  <si>
    <t>G0067</t>
  </si>
  <si>
    <t>G0068</t>
  </si>
  <si>
    <t>C104</t>
  </si>
  <si>
    <t>G0069</t>
  </si>
  <si>
    <t>C285</t>
  </si>
  <si>
    <t>G0070</t>
  </si>
  <si>
    <t>G0071</t>
  </si>
  <si>
    <t>C153</t>
  </si>
  <si>
    <t>G0072</t>
  </si>
  <si>
    <t>C258</t>
  </si>
  <si>
    <t>G0073</t>
  </si>
  <si>
    <t>C278</t>
  </si>
  <si>
    <t>G0074</t>
  </si>
  <si>
    <t>G0075</t>
  </si>
  <si>
    <t>C078</t>
  </si>
  <si>
    <t>G0076</t>
  </si>
  <si>
    <t>G0077</t>
  </si>
  <si>
    <t>C031</t>
  </si>
  <si>
    <t>G0078</t>
  </si>
  <si>
    <t>C102</t>
  </si>
  <si>
    <t>G0079</t>
  </si>
  <si>
    <t>C027</t>
  </si>
  <si>
    <t>G0080</t>
  </si>
  <si>
    <t>C186</t>
  </si>
  <si>
    <t>G0081</t>
  </si>
  <si>
    <t>C076</t>
  </si>
  <si>
    <t>Yogurt</t>
  </si>
  <si>
    <t>G0082</t>
  </si>
  <si>
    <t>C066</t>
  </si>
  <si>
    <t>G0083</t>
  </si>
  <si>
    <t>G0084</t>
  </si>
  <si>
    <t>C131</t>
  </si>
  <si>
    <t>G0085</t>
  </si>
  <si>
    <t>C164</t>
  </si>
  <si>
    <t>G0086</t>
  </si>
  <si>
    <t>C180</t>
  </si>
  <si>
    <t>G0087</t>
  </si>
  <si>
    <t>C116</t>
  </si>
  <si>
    <t>G0088</t>
  </si>
  <si>
    <t>C269</t>
  </si>
  <si>
    <t>G0089</t>
  </si>
  <si>
    <t>C059</t>
  </si>
  <si>
    <t>G0090</t>
  </si>
  <si>
    <t>C252</t>
  </si>
  <si>
    <t>G0091</t>
  </si>
  <si>
    <t>C264</t>
  </si>
  <si>
    <t>G0092</t>
  </si>
  <si>
    <t>C005</t>
  </si>
  <si>
    <t>G0093</t>
  </si>
  <si>
    <t>C197</t>
  </si>
  <si>
    <t>G0094</t>
  </si>
  <si>
    <t>C272</t>
  </si>
  <si>
    <t>G0095</t>
  </si>
  <si>
    <t>C218</t>
  </si>
  <si>
    <t>G0096</t>
  </si>
  <si>
    <t>C174</t>
  </si>
  <si>
    <t>G0097</t>
  </si>
  <si>
    <t>C139</t>
  </si>
  <si>
    <t>G0098</t>
  </si>
  <si>
    <t>G0099</t>
  </si>
  <si>
    <t>C126</t>
  </si>
  <si>
    <t>G0100</t>
  </si>
  <si>
    <t>C028</t>
  </si>
  <si>
    <t>G0101</t>
  </si>
  <si>
    <t>C192</t>
  </si>
  <si>
    <t>G0102</t>
  </si>
  <si>
    <t>C001</t>
  </si>
  <si>
    <t>G0103</t>
  </si>
  <si>
    <t>C016</t>
  </si>
  <si>
    <t>G0104</t>
  </si>
  <si>
    <t>C019</t>
  </si>
  <si>
    <t>G0105</t>
  </si>
  <si>
    <t>C294</t>
  </si>
  <si>
    <t>G0106</t>
  </si>
  <si>
    <t>C007</t>
  </si>
  <si>
    <t>G0107</t>
  </si>
  <si>
    <t>G0108</t>
  </si>
  <si>
    <t>C018</t>
  </si>
  <si>
    <t>G0109</t>
  </si>
  <si>
    <t>G0110</t>
  </si>
  <si>
    <t>G0111</t>
  </si>
  <si>
    <t>G0112</t>
  </si>
  <si>
    <t>G0113</t>
  </si>
  <si>
    <t>G0114</t>
  </si>
  <si>
    <t>C120</t>
  </si>
  <si>
    <t>G0115</t>
  </si>
  <si>
    <t>C262</t>
  </si>
  <si>
    <t>G0116</t>
  </si>
  <si>
    <t>G0117</t>
  </si>
  <si>
    <t>C008</t>
  </si>
  <si>
    <t>G0118</t>
  </si>
  <si>
    <t>G0119</t>
  </si>
  <si>
    <t>C151</t>
  </si>
  <si>
    <t>G0120</t>
  </si>
  <si>
    <t>C159</t>
  </si>
  <si>
    <t>G0121</t>
  </si>
  <si>
    <t>G0122</t>
  </si>
  <si>
    <t>C046</t>
  </si>
  <si>
    <t>G0123</t>
  </si>
  <si>
    <t>C101</t>
  </si>
  <si>
    <t>G0124</t>
  </si>
  <si>
    <t>C053</t>
  </si>
  <si>
    <t>G0125</t>
  </si>
  <si>
    <t>C176</t>
  </si>
  <si>
    <t>G0126</t>
  </si>
  <si>
    <t>C261</t>
  </si>
  <si>
    <t>G0127</t>
  </si>
  <si>
    <t>G0128</t>
  </si>
  <si>
    <t>C155</t>
  </si>
  <si>
    <t>G0129</t>
  </si>
  <si>
    <t>G0130</t>
  </si>
  <si>
    <t>C136</t>
  </si>
  <si>
    <t>G0131</t>
  </si>
  <si>
    <t>C193</t>
  </si>
  <si>
    <t>G0132</t>
  </si>
  <si>
    <t>C224</t>
  </si>
  <si>
    <t>G0133</t>
  </si>
  <si>
    <t>C138</t>
  </si>
  <si>
    <t>G0134</t>
  </si>
  <si>
    <t>C056</t>
  </si>
  <si>
    <t>G0135</t>
  </si>
  <si>
    <t>C279</t>
  </si>
  <si>
    <t>G0136</t>
  </si>
  <si>
    <t>G0137</t>
  </si>
  <si>
    <t>C089</t>
  </si>
  <si>
    <t>G0138</t>
  </si>
  <si>
    <t>C169</t>
  </si>
  <si>
    <t>G0139</t>
  </si>
  <si>
    <t>C038</t>
  </si>
  <si>
    <t>G0140</t>
  </si>
  <si>
    <t>C049</t>
  </si>
  <si>
    <t>G0141</t>
  </si>
  <si>
    <t>G0142</t>
  </si>
  <si>
    <t>C002</t>
  </si>
  <si>
    <t>G0143</t>
  </si>
  <si>
    <t>C195</t>
  </si>
  <si>
    <t>G0144</t>
  </si>
  <si>
    <t>G0145</t>
  </si>
  <si>
    <t>C048</t>
  </si>
  <si>
    <t>G0146</t>
  </si>
  <si>
    <t>C190</t>
  </si>
  <si>
    <t>G0147</t>
  </si>
  <si>
    <t>G0148</t>
  </si>
  <si>
    <t>G0149</t>
  </si>
  <si>
    <t>C221</t>
  </si>
  <si>
    <t>G0150</t>
  </si>
  <si>
    <t>C253</t>
  </si>
  <si>
    <t>G0151</t>
  </si>
  <si>
    <t>C289</t>
  </si>
  <si>
    <t>G0152</t>
  </si>
  <si>
    <t>G0153</t>
  </si>
  <si>
    <t>C157</t>
  </si>
  <si>
    <t>G0154</t>
  </si>
  <si>
    <t>C194</t>
  </si>
  <si>
    <t>G0155</t>
  </si>
  <si>
    <t>G0156</t>
  </si>
  <si>
    <t>G0157</t>
  </si>
  <si>
    <t>G0158</t>
  </si>
  <si>
    <t>C263</t>
  </si>
  <si>
    <t>G0159</t>
  </si>
  <si>
    <t>C052</t>
  </si>
  <si>
    <t>G0160</t>
  </si>
  <si>
    <t>G0161</t>
  </si>
  <si>
    <t>C242</t>
  </si>
  <si>
    <t>G0162</t>
  </si>
  <si>
    <t>G0163</t>
  </si>
  <si>
    <t>C017</t>
  </si>
  <si>
    <t>G0164</t>
  </si>
  <si>
    <t>G0165</t>
  </si>
  <si>
    <t>C204</t>
  </si>
  <si>
    <t>G0166</t>
  </si>
  <si>
    <t>C013</t>
  </si>
  <si>
    <t>G0167</t>
  </si>
  <si>
    <t>C039</t>
  </si>
  <si>
    <t>G0168</t>
  </si>
  <si>
    <t>C244</t>
  </si>
  <si>
    <t>G0169</t>
  </si>
  <si>
    <t>C123</t>
  </si>
  <si>
    <t>G0170</t>
  </si>
  <si>
    <t>C293</t>
  </si>
  <si>
    <t>G0171</t>
  </si>
  <si>
    <t>C271</t>
  </si>
  <si>
    <t>G0172</t>
  </si>
  <si>
    <t>G0173</t>
  </si>
  <si>
    <t>C291</t>
  </si>
  <si>
    <t>G0174</t>
  </si>
  <si>
    <t>C201</t>
  </si>
  <si>
    <t>G0175</t>
  </si>
  <si>
    <t>C055</t>
  </si>
  <si>
    <t>G0176</t>
  </si>
  <si>
    <t>C150</t>
  </si>
  <si>
    <t>G0177</t>
  </si>
  <si>
    <t>C130</t>
  </si>
  <si>
    <t>G0178</t>
  </si>
  <si>
    <t>G0179</t>
  </si>
  <si>
    <t>G0180</t>
  </si>
  <si>
    <t>C248</t>
  </si>
  <si>
    <t>G0181</t>
  </si>
  <si>
    <t>C178</t>
  </si>
  <si>
    <t>G0182</t>
  </si>
  <si>
    <t>C141</t>
  </si>
  <si>
    <t>G0183</t>
  </si>
  <si>
    <t>G0184</t>
  </si>
  <si>
    <t>G0185</t>
  </si>
  <si>
    <t>C300</t>
  </si>
  <si>
    <t>G0186</t>
  </si>
  <si>
    <t>C162</t>
  </si>
  <si>
    <t>G0187</t>
  </si>
  <si>
    <t>C081</t>
  </si>
  <si>
    <t>G0188</t>
  </si>
  <si>
    <t>G0189</t>
  </si>
  <si>
    <t>G0190</t>
  </si>
  <si>
    <t>C072</t>
  </si>
  <si>
    <t>G0191</t>
  </si>
  <si>
    <t>C277</t>
  </si>
  <si>
    <t>G0192</t>
  </si>
  <si>
    <t>C106</t>
  </si>
  <si>
    <t>G0193</t>
  </si>
  <si>
    <t>G0194</t>
  </si>
  <si>
    <t>G0195</t>
  </si>
  <si>
    <t>C063</t>
  </si>
  <si>
    <t>G0196</t>
  </si>
  <si>
    <t>G0197</t>
  </si>
  <si>
    <t>G0198</t>
  </si>
  <si>
    <t>G0199</t>
  </si>
  <si>
    <t>G0200</t>
  </si>
  <si>
    <t>C115</t>
  </si>
  <si>
    <t>G0201</t>
  </si>
  <si>
    <t>G0202</t>
  </si>
  <si>
    <t>C212</t>
  </si>
  <si>
    <t>G0203</t>
  </si>
  <si>
    <t>C034</t>
  </si>
  <si>
    <t>G0204</t>
  </si>
  <si>
    <t>G0205</t>
  </si>
  <si>
    <t>G0206</t>
  </si>
  <si>
    <t>G0207</t>
  </si>
  <si>
    <t>G0208</t>
  </si>
  <si>
    <t>C177</t>
  </si>
  <si>
    <t>G0209</t>
  </si>
  <si>
    <t>C287</t>
  </si>
  <si>
    <t>G0210</t>
  </si>
  <si>
    <t>C035</t>
  </si>
  <si>
    <t>G0211</t>
  </si>
  <si>
    <t>G0212</t>
  </si>
  <si>
    <t>C091</t>
  </si>
  <si>
    <t>G0213</t>
  </si>
  <si>
    <t>C216</t>
  </si>
  <si>
    <t>G0214</t>
  </si>
  <si>
    <t>G0215</t>
  </si>
  <si>
    <t>C168</t>
  </si>
  <si>
    <t>G0216</t>
  </si>
  <si>
    <t>C239</t>
  </si>
  <si>
    <t>G0217</t>
  </si>
  <si>
    <t>G0218</t>
  </si>
  <si>
    <t>G0219</t>
  </si>
  <si>
    <t>C092</t>
  </si>
  <si>
    <t>G0220</t>
  </si>
  <si>
    <t>G0221</t>
  </si>
  <si>
    <t>G0222</t>
  </si>
  <si>
    <t>G0223</t>
  </si>
  <si>
    <t>C044</t>
  </si>
  <si>
    <t>G0224</t>
  </si>
  <si>
    <t>G0225</t>
  </si>
  <si>
    <t>C219</t>
  </si>
  <si>
    <t>G0226</t>
  </si>
  <si>
    <t>C011</t>
  </si>
  <si>
    <t>G0227</t>
  </si>
  <si>
    <t>G0228</t>
  </si>
  <si>
    <t>C051</t>
  </si>
  <si>
    <t>G0229</t>
  </si>
  <si>
    <t>G0230</t>
  </si>
  <si>
    <t>G0231</t>
  </si>
  <si>
    <t>C146</t>
  </si>
  <si>
    <t>G0232</t>
  </si>
  <si>
    <t>G0233</t>
  </si>
  <si>
    <t>G0234</t>
  </si>
  <si>
    <t>G0235</t>
  </si>
  <si>
    <t>C109</t>
  </si>
  <si>
    <t>G0236</t>
  </si>
  <si>
    <t>C198</t>
  </si>
  <si>
    <t>G0237</t>
  </si>
  <si>
    <t>G0238</t>
  </si>
  <si>
    <t>C281</t>
  </si>
  <si>
    <t>G0239</t>
  </si>
  <si>
    <t>C127</t>
  </si>
  <si>
    <t>G0240</t>
  </si>
  <si>
    <t>C214</t>
  </si>
  <si>
    <t>G0241</t>
  </si>
  <si>
    <t>G0242</t>
  </si>
  <si>
    <t>C128</t>
  </si>
  <si>
    <t>G0243</t>
  </si>
  <si>
    <t>G0244</t>
  </si>
  <si>
    <t>G0245</t>
  </si>
  <si>
    <t>G0246</t>
  </si>
  <si>
    <t>G0247</t>
  </si>
  <si>
    <t>G0248</t>
  </si>
  <si>
    <t>G0249</t>
  </si>
  <si>
    <t>C073</t>
  </si>
  <si>
    <t>G0250</t>
  </si>
  <si>
    <t>G0251</t>
  </si>
  <si>
    <t>C154</t>
  </si>
  <si>
    <t>G0252</t>
  </si>
  <si>
    <t>G0253</t>
  </si>
  <si>
    <t>C047</t>
  </si>
  <si>
    <t>G0254</t>
  </si>
  <si>
    <t>G0255</t>
  </si>
  <si>
    <t>G0256</t>
  </si>
  <si>
    <t>C058</t>
  </si>
  <si>
    <t>G0257</t>
  </si>
  <si>
    <t>G0258</t>
  </si>
  <si>
    <t>C266</t>
  </si>
  <si>
    <t>G0259</t>
  </si>
  <si>
    <t>G0260</t>
  </si>
  <si>
    <t>C083</t>
  </si>
  <si>
    <t>G0261</t>
  </si>
  <si>
    <t>G0262</t>
  </si>
  <si>
    <t>G0263</t>
  </si>
  <si>
    <t>G0264</t>
  </si>
  <si>
    <t>G0265</t>
  </si>
  <si>
    <t>G0266</t>
  </si>
  <si>
    <t>G0267</t>
  </si>
  <si>
    <t>G0268</t>
  </si>
  <si>
    <t>G0269</t>
  </si>
  <si>
    <t>C288</t>
  </si>
  <si>
    <t>G0270</t>
  </si>
  <si>
    <t>C268</t>
  </si>
  <si>
    <t>G0271</t>
  </si>
  <si>
    <t>G0272</t>
  </si>
  <si>
    <t>C182</t>
  </si>
  <si>
    <t>G0273</t>
  </si>
  <si>
    <t>G0274</t>
  </si>
  <si>
    <t>C080</t>
  </si>
  <si>
    <t>G0275</t>
  </si>
  <si>
    <t>C037</t>
  </si>
  <si>
    <t>G0276</t>
  </si>
  <si>
    <t>G0277</t>
  </si>
  <si>
    <t>G0278</t>
  </si>
  <si>
    <t>G0279</t>
  </si>
  <si>
    <t>G0280</t>
  </si>
  <si>
    <t>C245</t>
  </si>
  <si>
    <t>G0281</t>
  </si>
  <si>
    <t>C097</t>
  </si>
  <si>
    <t>G0282</t>
  </si>
  <si>
    <t>G0283</t>
  </si>
  <si>
    <t>C175</t>
  </si>
  <si>
    <t>G0284</t>
  </si>
  <si>
    <t>G0285</t>
  </si>
  <si>
    <t>G0286</t>
  </si>
  <si>
    <t>G0287</t>
  </si>
  <si>
    <t>C030</t>
  </si>
  <si>
    <t>G0288</t>
  </si>
  <si>
    <t>G0289</t>
  </si>
  <si>
    <t>G0290</t>
  </si>
  <si>
    <t>G0291</t>
  </si>
  <si>
    <t>C057</t>
  </si>
  <si>
    <t>G0292</t>
  </si>
  <si>
    <t>G0293</t>
  </si>
  <si>
    <t>C112</t>
  </si>
  <si>
    <t>G0294</t>
  </si>
  <si>
    <t>G0295</t>
  </si>
  <si>
    <t>C265</t>
  </si>
  <si>
    <t>G0296</t>
  </si>
  <si>
    <t>C179</t>
  </si>
  <si>
    <t>G0297</t>
  </si>
  <si>
    <t>G0298</t>
  </si>
  <si>
    <t>C132</t>
  </si>
  <si>
    <t>G0299</t>
  </si>
  <si>
    <t>C188</t>
  </si>
  <si>
    <t>G0300</t>
  </si>
  <si>
    <t>G0301</t>
  </si>
  <si>
    <t>G0302</t>
  </si>
  <si>
    <t>C082</t>
  </si>
  <si>
    <t>G0303</t>
  </si>
  <si>
    <t>G0304</t>
  </si>
  <si>
    <t>C223</t>
  </si>
  <si>
    <t>G0305</t>
  </si>
  <si>
    <t>C149</t>
  </si>
  <si>
    <t>G0306</t>
  </si>
  <si>
    <t>C105</t>
  </si>
  <si>
    <t>G0307</t>
  </si>
  <si>
    <t>C100</t>
  </si>
  <si>
    <t>G0308</t>
  </si>
  <si>
    <t>C205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</si>
  <si>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</si>
  <si>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</si>
  <si>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</si>
  <si>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</si>
  <si>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</si>
  <si>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</si>
  <si>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</si>
  <si>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</si>
  <si>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C098</t>
  </si>
  <si>
    <t>G0317</t>
  </si>
  <si>
    <t>G0318</t>
  </si>
  <si>
    <t>C286</t>
  </si>
  <si>
    <t>G0319</t>
  </si>
  <si>
    <t>C283</t>
  </si>
  <si>
    <t>G0320</t>
  </si>
  <si>
    <t>G0321</t>
  </si>
  <si>
    <t>G0322</t>
  </si>
  <si>
    <t>G0323</t>
  </si>
  <si>
    <t>G0324</t>
  </si>
  <si>
    <t>G0325</t>
  </si>
  <si>
    <t>G0326</t>
  </si>
  <si>
    <t>C246</t>
  </si>
  <si>
    <t>G0327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</si>
  <si>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</si>
  <si>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</si>
  <si>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</si>
  <si>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</si>
  <si>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</si>
  <si>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</si>
  <si>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</si>
  <si>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</si>
  <si>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G0336</t>
  </si>
  <si>
    <t>G0337</t>
  </si>
  <si>
    <t>C206</t>
  </si>
  <si>
    <t>G0338</t>
  </si>
  <si>
    <t>G0339</t>
  </si>
  <si>
    <t>C090</t>
  </si>
  <si>
    <t>G0340</t>
  </si>
  <si>
    <t>G0341</t>
  </si>
  <si>
    <t>G0342</t>
  </si>
  <si>
    <t>C147</t>
  </si>
  <si>
    <t>G0343</t>
  </si>
  <si>
    <t>G0344</t>
  </si>
  <si>
    <t>G0345</t>
  </si>
  <si>
    <t>G0346</t>
  </si>
  <si>
    <t>G0347</t>
  </si>
  <si>
    <t>C040</t>
  </si>
  <si>
    <t>G0348</t>
  </si>
  <si>
    <t>G0349</t>
  </si>
  <si>
    <t>G0350</t>
  </si>
  <si>
    <t>C276</t>
  </si>
  <si>
    <t>G0351</t>
  </si>
  <si>
    <t>C064</t>
  </si>
  <si>
    <t>G0352</t>
  </si>
  <si>
    <t>G0353</t>
  </si>
  <si>
    <t>G0354</t>
  </si>
  <si>
    <t>C240</t>
  </si>
  <si>
    <t>G0355</t>
  </si>
  <si>
    <t>C196</t>
  </si>
  <si>
    <t>G0356</t>
  </si>
  <si>
    <t>G0357</t>
  </si>
  <si>
    <t>G0358</t>
  </si>
  <si>
    <t>C251</t>
  </si>
  <si>
    <t>G0359</t>
  </si>
  <si>
    <t>C014</t>
  </si>
  <si>
    <t>G0360</t>
  </si>
  <si>
    <t>G0361</t>
  </si>
  <si>
    <t>G0362</t>
  </si>
  <si>
    <t>G0363</t>
  </si>
  <si>
    <t>G0364</t>
  </si>
  <si>
    <t>G0365</t>
  </si>
  <si>
    <t>G0366</t>
  </si>
  <si>
    <t>C025</t>
  </si>
  <si>
    <t>G0367</t>
  </si>
  <si>
    <t>G0368</t>
  </si>
  <si>
    <t>G0369</t>
  </si>
  <si>
    <t>G0370</t>
  </si>
  <si>
    <t>C070</t>
  </si>
  <si>
    <t>G0371</t>
  </si>
  <si>
    <t>G0372</t>
  </si>
  <si>
    <t>G0373</t>
  </si>
  <si>
    <t>G0374</t>
  </si>
  <si>
    <t>C143</t>
  </si>
  <si>
    <t>G0375</t>
  </si>
  <si>
    <t>G0376</t>
  </si>
  <si>
    <t>G0377</t>
  </si>
  <si>
    <t>C054</t>
  </si>
  <si>
    <t>G0378</t>
  </si>
  <si>
    <t>C125</t>
  </si>
  <si>
    <t>G0379</t>
  </si>
  <si>
    <t>C231</t>
  </si>
  <si>
    <t>G0380</t>
  </si>
  <si>
    <t>G0381</t>
  </si>
  <si>
    <t>G0382</t>
  </si>
  <si>
    <t>G0383</t>
  </si>
  <si>
    <t>G0384</t>
  </si>
  <si>
    <t>G0385</t>
  </si>
  <si>
    <t>G0386</t>
  </si>
  <si>
    <t>C020</t>
  </si>
  <si>
    <t>G0387</t>
  </si>
  <si>
    <t>G0388</t>
  </si>
  <si>
    <t>G0389</t>
  </si>
  <si>
    <t>G0390</t>
  </si>
  <si>
    <t>G0391</t>
  </si>
  <si>
    <t>G0392</t>
  </si>
  <si>
    <t>C023</t>
  </si>
  <si>
    <t>G0393</t>
  </si>
  <si>
    <t>G0394</t>
  </si>
  <si>
    <t>C012</t>
  </si>
  <si>
    <t>G0395</t>
  </si>
  <si>
    <t>G0396</t>
  </si>
  <si>
    <t>C220</t>
  </si>
  <si>
    <t>G0397</t>
  </si>
  <si>
    <t>G0398</t>
  </si>
  <si>
    <t>C074</t>
  </si>
  <si>
    <t>G0399</t>
  </si>
  <si>
    <t>G0400</t>
  </si>
  <si>
    <t>G0401</t>
  </si>
  <si>
    <t>C202</t>
  </si>
  <si>
    <t>G0402</t>
  </si>
  <si>
    <t>G0403</t>
  </si>
  <si>
    <t>C135</t>
  </si>
  <si>
    <t>G0404</t>
  </si>
  <si>
    <t>C247</t>
  </si>
  <si>
    <t>G0405</t>
  </si>
  <si>
    <t>G0406</t>
  </si>
  <si>
    <t>G0407</t>
  </si>
  <si>
    <t>G0408</t>
  </si>
  <si>
    <t>G0409</t>
  </si>
  <si>
    <t>G0410</t>
  </si>
  <si>
    <t>C093</t>
  </si>
  <si>
    <t>G0411</t>
  </si>
  <si>
    <t>C144</t>
  </si>
  <si>
    <t>G0412</t>
  </si>
  <si>
    <t>G0413</t>
  </si>
  <si>
    <t>G0414</t>
  </si>
  <si>
    <t>G0415</t>
  </si>
  <si>
    <t>C122</t>
  </si>
  <si>
    <t>G0416</t>
  </si>
  <si>
    <t>C181</t>
  </si>
  <si>
    <t>G0417</t>
  </si>
  <si>
    <t>G0418</t>
  </si>
  <si>
    <t>G0419</t>
  </si>
  <si>
    <t>G0420</t>
  </si>
  <si>
    <t>G0421</t>
  </si>
  <si>
    <t>G0422</t>
  </si>
  <si>
    <t>C185</t>
  </si>
  <si>
    <t>G0423</t>
  </si>
  <si>
    <t>G0424</t>
  </si>
  <si>
    <t>C167</t>
  </si>
  <si>
    <t>G0425</t>
  </si>
  <si>
    <t>G0426</t>
  </si>
  <si>
    <t>G0427</t>
  </si>
  <si>
    <t>G0428</t>
  </si>
  <si>
    <t>G0429</t>
  </si>
  <si>
    <t>G0430</t>
  </si>
  <si>
    <t>G0431</t>
  </si>
  <si>
    <t>C274</t>
  </si>
  <si>
    <t>G0432</t>
  </si>
  <si>
    <t>G0433</t>
  </si>
  <si>
    <t>G0434</t>
  </si>
  <si>
    <t>G0435</t>
  </si>
  <si>
    <t>G0436</t>
  </si>
  <si>
    <t>C024</t>
  </si>
  <si>
    <t>G0437</t>
  </si>
  <si>
    <t>G0438</t>
  </si>
  <si>
    <t>G0439</t>
  </si>
  <si>
    <t>G0440</t>
  </si>
  <si>
    <t>C163</t>
  </si>
  <si>
    <t>G0441</t>
  </si>
  <si>
    <t>G0442</t>
  </si>
  <si>
    <t>G0443</t>
  </si>
  <si>
    <t>C075</t>
  </si>
  <si>
    <t>G0444</t>
  </si>
  <si>
    <t>C108</t>
  </si>
  <si>
    <t>G0445</t>
  </si>
  <si>
    <t>G0446</t>
  </si>
  <si>
    <t>G0447</t>
  </si>
  <si>
    <t>G0448</t>
  </si>
  <si>
    <t>G0449</t>
  </si>
  <si>
    <t>G0450</t>
  </si>
  <si>
    <t>G0451</t>
  </si>
  <si>
    <t>C085</t>
  </si>
  <si>
    <t>G0452</t>
  </si>
  <si>
    <t>G0453</t>
  </si>
  <si>
    <t>G0454</t>
  </si>
  <si>
    <t>G0455</t>
  </si>
  <si>
    <t>G0456</t>
  </si>
  <si>
    <t>G0457</t>
  </si>
  <si>
    <t>G0458</t>
  </si>
  <si>
    <t>G0459</t>
  </si>
  <si>
    <t>G0460</t>
  </si>
  <si>
    <t>C228</t>
  </si>
  <si>
    <t>G0461</t>
  </si>
  <si>
    <t>C015</t>
  </si>
  <si>
    <t>G0462</t>
  </si>
  <si>
    <t>G0463</t>
  </si>
  <si>
    <t>G0464</t>
  </si>
  <si>
    <t>C152</t>
  </si>
  <si>
    <t>G0465</t>
  </si>
  <si>
    <t>C260</t>
  </si>
  <si>
    <t>G0466</t>
  </si>
  <si>
    <t>C226</t>
  </si>
  <si>
    <t>G0467</t>
  </si>
  <si>
    <t>G0468</t>
  </si>
  <si>
    <t>G0469</t>
  </si>
  <si>
    <t>G0470</t>
  </si>
  <si>
    <t>G0471</t>
  </si>
  <si>
    <t>G0472</t>
  </si>
  <si>
    <t>G0473</t>
  </si>
  <si>
    <t>G0474</t>
  </si>
  <si>
    <t>G0475</t>
  </si>
  <si>
    <t>G0476</t>
  </si>
  <si>
    <t>G0477</t>
  </si>
  <si>
    <t>C171</t>
  </si>
  <si>
    <t>G0478</t>
  </si>
  <si>
    <t>G0479</t>
  </si>
  <si>
    <t>G0480</t>
  </si>
  <si>
    <t>G0481</t>
  </si>
  <si>
    <t>C111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</si>
  <si>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</si>
  <si>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</si>
  <si>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</si>
  <si>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</si>
  <si>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</si>
  <si>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</si>
  <si>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</si>
  <si>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</si>
  <si>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</si>
  <si>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C160</t>
  </si>
  <si>
    <t>G0491</t>
  </si>
  <si>
    <t>G0492</t>
  </si>
  <si>
    <t>G0493</t>
  </si>
  <si>
    <t>G0494</t>
  </si>
  <si>
    <t>G0495</t>
  </si>
  <si>
    <t>G0496</t>
  </si>
  <si>
    <t>G0497</t>
  </si>
  <si>
    <t>G0498</t>
  </si>
  <si>
    <t>G0499</t>
  </si>
  <si>
    <t>G0500</t>
  </si>
  <si>
    <t>G0501</t>
  </si>
  <si>
    <t>G0502</t>
  </si>
  <si>
    <t>G0503</t>
  </si>
  <si>
    <t>G0504</t>
  </si>
  <si>
    <t>G0505</t>
  </si>
  <si>
    <t>G0506</t>
  </si>
  <si>
    <t>G0507</t>
  </si>
  <si>
    <t>G0508</t>
  </si>
  <si>
    <t>G0509</t>
  </si>
  <si>
    <t>G0510</t>
  </si>
  <si>
    <t>C129</t>
  </si>
  <si>
    <t>G0511</t>
  </si>
  <si>
    <t>G0512</t>
  </si>
  <si>
    <t>G0513</t>
  </si>
  <si>
    <t>G0514</t>
  </si>
  <si>
    <t>C298</t>
  </si>
  <si>
    <t>G0515</t>
  </si>
  <si>
    <t>C119</t>
  </si>
  <si>
    <t>G0516</t>
  </si>
  <si>
    <t>G0517</t>
  </si>
  <si>
    <t>G0518</t>
  </si>
  <si>
    <t>G0519</t>
  </si>
  <si>
    <t>G0520</t>
  </si>
  <si>
    <t>C088</t>
  </si>
  <si>
    <t>G0521</t>
  </si>
  <si>
    <t>G0522</t>
  </si>
  <si>
    <t>G0523</t>
  </si>
  <si>
    <t>G0524</t>
  </si>
  <si>
    <t>G0525</t>
  </si>
  <si>
    <t>G0526</t>
  </si>
  <si>
    <t>C010</t>
  </si>
  <si>
    <t>G0527</t>
  </si>
  <si>
    <t>G0528</t>
  </si>
  <si>
    <t>G0529</t>
  </si>
  <si>
    <t>G0530</t>
  </si>
  <si>
    <t>G0531</t>
  </si>
  <si>
    <t>G0532</t>
  </si>
  <si>
    <t>G0533</t>
  </si>
  <si>
    <t>C068</t>
  </si>
  <si>
    <t>G0534</t>
  </si>
  <si>
    <t>G0535</t>
  </si>
  <si>
    <t>G0536</t>
  </si>
  <si>
    <t>C235</t>
  </si>
  <si>
    <t>G0537</t>
  </si>
  <si>
    <t>G0538</t>
  </si>
  <si>
    <t>G0539</t>
  </si>
  <si>
    <t>G0540</t>
  </si>
  <si>
    <t>G0541</t>
  </si>
  <si>
    <t>G0542</t>
  </si>
  <si>
    <t>G0543</t>
  </si>
  <si>
    <t>C021</t>
  </si>
  <si>
    <t>G0544</t>
  </si>
  <si>
    <t>G0545</t>
  </si>
  <si>
    <t>G0546</t>
  </si>
  <si>
    <t>G0547</t>
  </si>
  <si>
    <t>C107</t>
  </si>
  <si>
    <t>G0548</t>
  </si>
  <si>
    <t>G0549</t>
  </si>
  <si>
    <t>G0550</t>
  </si>
  <si>
    <t>C067</t>
  </si>
  <si>
    <t>G0551</t>
  </si>
  <si>
    <t>G0552</t>
  </si>
  <si>
    <t>C029</t>
  </si>
  <si>
    <t>G0553</t>
  </si>
  <si>
    <t>G0554</t>
  </si>
  <si>
    <t>G0555</t>
  </si>
  <si>
    <t>G0556</t>
  </si>
  <si>
    <t>G0557</t>
  </si>
  <si>
    <t>C299</t>
  </si>
  <si>
    <t>G0558</t>
  </si>
  <si>
    <t>G0559</t>
  </si>
  <si>
    <t>G0560</t>
  </si>
  <si>
    <t>G0561</t>
  </si>
  <si>
    <t>C133</t>
  </si>
  <si>
    <t>G0562</t>
  </si>
  <si>
    <t>G0563</t>
  </si>
  <si>
    <t>G0564</t>
  </si>
  <si>
    <t>G0565</t>
  </si>
  <si>
    <t>G0566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</si>
  <si>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</si>
  <si>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</si>
  <si>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</si>
  <si>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</si>
  <si>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</si>
  <si>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</si>
  <si>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</si>
  <si>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</si>
  <si>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</si>
  <si>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C292</t>
  </si>
  <si>
    <t>G0576</t>
  </si>
  <si>
    <t>G0577</t>
  </si>
  <si>
    <t>G0578</t>
  </si>
  <si>
    <t>C259</t>
  </si>
  <si>
    <t>G0579</t>
  </si>
  <si>
    <t>G0580</t>
  </si>
  <si>
    <t>G0581</t>
  </si>
  <si>
    <t>G0582</t>
  </si>
  <si>
    <t>G0583</t>
  </si>
  <si>
    <t>G0584</t>
  </si>
  <si>
    <t>G0585</t>
  </si>
  <si>
    <t>C284</t>
  </si>
  <si>
    <t>G0586</t>
  </si>
  <si>
    <t>G0587</t>
  </si>
  <si>
    <t>G0588</t>
  </si>
  <si>
    <t>C087</t>
  </si>
  <si>
    <t>G0589</t>
  </si>
  <si>
    <t>G0590</t>
  </si>
  <si>
    <t>G0591</t>
  </si>
  <si>
    <t>G0592</t>
  </si>
  <si>
    <t>C050</t>
  </si>
  <si>
    <t>G0593</t>
  </si>
  <si>
    <t>G0594</t>
  </si>
  <si>
    <t>G0595</t>
  </si>
  <si>
    <t>G0596</t>
  </si>
  <si>
    <t>G0597</t>
  </si>
  <si>
    <t>G0598</t>
  </si>
  <si>
    <t>G0599</t>
  </si>
  <si>
    <t>G0600</t>
  </si>
  <si>
    <t>G0601</t>
  </si>
  <si>
    <t>C250</t>
  </si>
  <si>
    <t>G0602</t>
  </si>
  <si>
    <t>C142</t>
  </si>
  <si>
    <t>G0603</t>
  </si>
  <si>
    <t>G0604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</si>
  <si>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</si>
  <si>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</si>
  <si>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</si>
  <si>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</si>
  <si>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</si>
  <si>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</si>
  <si>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</si>
  <si>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</si>
  <si>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</si>
  <si>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</si>
  <si>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G0615</t>
  </si>
  <si>
    <t>G0616</t>
  </si>
  <si>
    <t>G0617</t>
  </si>
  <si>
    <t>G0618</t>
  </si>
  <si>
    <t>G0619</t>
  </si>
  <si>
    <t>G0620</t>
  </si>
  <si>
    <t>G0621</t>
  </si>
  <si>
    <t>G0622</t>
  </si>
  <si>
    <t>G0623</t>
  </si>
  <si>
    <t>G0624</t>
  </si>
  <si>
    <t>G0625</t>
  </si>
  <si>
    <t>G0626</t>
  </si>
  <si>
    <t>G0627</t>
  </si>
  <si>
    <t>G0628</t>
  </si>
  <si>
    <t>G0629</t>
  </si>
  <si>
    <t>G0630</t>
  </si>
  <si>
    <t>G0631</t>
  </si>
  <si>
    <t>G0632</t>
  </si>
  <si>
    <t>G0633</t>
  </si>
  <si>
    <t>G0634</t>
  </si>
  <si>
    <t>G0635</t>
  </si>
  <si>
    <t>C243</t>
  </si>
  <si>
    <t>G0636</t>
  </si>
  <si>
    <t>C187</t>
  </si>
  <si>
    <t>G0637</t>
  </si>
  <si>
    <t>G0638</t>
  </si>
  <si>
    <t>G0639</t>
  </si>
  <si>
    <t>G0640</t>
  </si>
  <si>
    <t>G0641</t>
  </si>
  <si>
    <t>G0642</t>
  </si>
  <si>
    <t>G0643</t>
  </si>
  <si>
    <t>G0644</t>
  </si>
  <si>
    <t>G0645</t>
  </si>
  <si>
    <t>G0646</t>
  </si>
  <si>
    <t>C140</t>
  </si>
  <si>
    <t>G0647</t>
  </si>
  <si>
    <t>G0648</t>
  </si>
  <si>
    <t>G0649</t>
  </si>
  <si>
    <t>G0650</t>
  </si>
  <si>
    <t>G0651</t>
  </si>
  <si>
    <t>G0652</t>
  </si>
  <si>
    <t>G0653</t>
  </si>
  <si>
    <t>G0654</t>
  </si>
  <si>
    <t>C165</t>
  </si>
  <si>
    <t>G0655</t>
  </si>
  <si>
    <t>G0656</t>
  </si>
  <si>
    <t>G0657</t>
  </si>
  <si>
    <t>G0658</t>
  </si>
  <si>
    <t>G0659</t>
  </si>
  <si>
    <t>G0660</t>
  </si>
  <si>
    <t>G0661</t>
  </si>
  <si>
    <t>G0662</t>
  </si>
  <si>
    <t>G0663</t>
  </si>
  <si>
    <t>G0664</t>
  </si>
  <si>
    <t>G0665</t>
  </si>
  <si>
    <t>G0666</t>
  </si>
  <si>
    <t>C297</t>
  </si>
  <si>
    <t>G0667</t>
  </si>
  <si>
    <t>G0668</t>
  </si>
  <si>
    <t>C236</t>
  </si>
  <si>
    <t>G0669</t>
  </si>
  <si>
    <t>G0670</t>
  </si>
  <si>
    <t>G0671</t>
  </si>
  <si>
    <t>G0672</t>
  </si>
  <si>
    <t>G0673</t>
  </si>
  <si>
    <t>G0674</t>
  </si>
  <si>
    <t>G0675</t>
  </si>
  <si>
    <t>G0676</t>
  </si>
  <si>
    <t>G0677</t>
  </si>
  <si>
    <t>G0678</t>
  </si>
  <si>
    <t>G0679</t>
  </si>
  <si>
    <t>G0680</t>
  </si>
  <si>
    <t>G0681</t>
  </si>
  <si>
    <t>G0682</t>
  </si>
  <si>
    <t>G0683</t>
  </si>
  <si>
    <t>G0684</t>
  </si>
  <si>
    <t>G0685</t>
  </si>
  <si>
    <t>G0686</t>
  </si>
  <si>
    <t>G0687</t>
  </si>
  <si>
    <t>G0688</t>
  </si>
  <si>
    <t>G0689</t>
  </si>
  <si>
    <t>G0690</t>
  </si>
  <si>
    <t>G0691</t>
  </si>
  <si>
    <t>G0692</t>
  </si>
  <si>
    <t>G0693</t>
  </si>
  <si>
    <t>C006</t>
  </si>
  <si>
    <t>G0694</t>
  </si>
  <si>
    <t>G0695</t>
  </si>
  <si>
    <t>G0696</t>
  </si>
  <si>
    <t>G0697</t>
  </si>
  <si>
    <t>G0698</t>
  </si>
  <si>
    <t>G0699</t>
  </si>
  <si>
    <t>G0700</t>
  </si>
  <si>
    <t>G0701</t>
  </si>
  <si>
    <t>G0702</t>
  </si>
  <si>
    <t>G0703</t>
  </si>
  <si>
    <t>G0704</t>
  </si>
  <si>
    <t>G0705</t>
  </si>
  <si>
    <t>G0706</t>
  </si>
  <si>
    <t>G0707</t>
  </si>
  <si>
    <t>G0708</t>
  </si>
  <si>
    <t>G0709</t>
  </si>
  <si>
    <t>C213</t>
  </si>
  <si>
    <t>G0710</t>
  </si>
  <si>
    <t>C280</t>
  </si>
  <si>
    <t>G0711</t>
  </si>
  <si>
    <t>G0712</t>
  </si>
  <si>
    <t>G0713</t>
  </si>
  <si>
    <t>G0714</t>
  </si>
  <si>
    <t>G0715</t>
  </si>
  <si>
    <t>C191</t>
  </si>
  <si>
    <t>G0716</t>
  </si>
  <si>
    <t>G0717</t>
  </si>
  <si>
    <t>G0718</t>
  </si>
  <si>
    <t>G0719</t>
  </si>
  <si>
    <t>G0720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</si>
  <si>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</si>
  <si>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</si>
  <si>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</si>
  <si>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</si>
  <si>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</si>
  <si>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</si>
  <si>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</si>
  <si>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</si>
  <si>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G0729</t>
  </si>
  <si>
    <t>G0730</t>
  </si>
  <si>
    <t>G0731</t>
  </si>
  <si>
    <t>G0732</t>
  </si>
  <si>
    <t>G0733</t>
  </si>
  <si>
    <t>G0734</t>
  </si>
  <si>
    <t>C270</t>
  </si>
  <si>
    <t>G0735</t>
  </si>
  <si>
    <t>G0736</t>
  </si>
  <si>
    <t>G0737</t>
  </si>
  <si>
    <t>G0738</t>
  </si>
  <si>
    <t>G0739</t>
  </si>
  <si>
    <t>C042</t>
  </si>
  <si>
    <t>G0740</t>
  </si>
  <si>
    <t>G0741</t>
  </si>
  <si>
    <t>G0742</t>
  </si>
  <si>
    <t>G0743</t>
  </si>
  <si>
    <t>G0744</t>
  </si>
  <si>
    <t>G0745</t>
  </si>
  <si>
    <t>G0746</t>
  </si>
  <si>
    <t>G0747</t>
  </si>
  <si>
    <t>G0748</t>
  </si>
  <si>
    <t>G0749</t>
  </si>
  <si>
    <t>G0750</t>
  </si>
  <si>
    <t>G0751</t>
  </si>
  <si>
    <t>G0752</t>
  </si>
  <si>
    <t>G0753</t>
  </si>
  <si>
    <t>G0754</t>
  </si>
  <si>
    <t>C032</t>
  </si>
  <si>
    <t>G0755</t>
  </si>
  <si>
    <t>C183</t>
  </si>
  <si>
    <t>G0756</t>
  </si>
  <si>
    <t>G0757</t>
  </si>
  <si>
    <t>G0758</t>
  </si>
  <si>
    <t>G0759</t>
  </si>
  <si>
    <t>G0760</t>
  </si>
  <si>
    <t>G0761</t>
  </si>
  <si>
    <t>G0762</t>
  </si>
  <si>
    <t>G0763</t>
  </si>
  <si>
    <t>G0764</t>
  </si>
  <si>
    <t>G0765</t>
  </si>
  <si>
    <t>G0766</t>
  </si>
  <si>
    <t>G0767</t>
  </si>
  <si>
    <t>G0768</t>
  </si>
  <si>
    <t>G0769</t>
  </si>
  <si>
    <t>G0770</t>
  </si>
  <si>
    <t>G0771</t>
  </si>
  <si>
    <t>G0772</t>
  </si>
  <si>
    <t>G0773</t>
  </si>
  <si>
    <t>G0774</t>
  </si>
  <si>
    <t>G0775</t>
  </si>
  <si>
    <t>G0776</t>
  </si>
  <si>
    <t>C273</t>
  </si>
  <si>
    <t>G0777</t>
  </si>
  <si>
    <t>G0778</t>
  </si>
  <si>
    <t>G0779</t>
  </si>
  <si>
    <t>G0780</t>
  </si>
  <si>
    <t>G0781</t>
  </si>
  <si>
    <t>G0782</t>
  </si>
  <si>
    <t>G0783</t>
  </si>
  <si>
    <t>G0784</t>
  </si>
  <si>
    <t>G0785</t>
  </si>
  <si>
    <t>G0786</t>
  </si>
  <si>
    <t>G0787</t>
  </si>
  <si>
    <t>G0788</t>
  </si>
  <si>
    <t>G0789</t>
  </si>
  <si>
    <t>G0790</t>
  </si>
  <si>
    <t>G0791</t>
  </si>
  <si>
    <t>G0792</t>
  </si>
  <si>
    <t>G0793</t>
  </si>
  <si>
    <t>G0794</t>
  </si>
  <si>
    <t>G0795</t>
  </si>
  <si>
    <t>G0796</t>
  </si>
  <si>
    <t>G0797</t>
  </si>
  <si>
    <t>G0798</t>
  </si>
  <si>
    <t>G0799</t>
  </si>
  <si>
    <t>G0800</t>
  </si>
  <si>
    <t>G0801</t>
  </si>
  <si>
    <t>G0802</t>
  </si>
  <si>
    <t>G0803</t>
  </si>
  <si>
    <t>G0804</t>
  </si>
  <si>
    <t>G0805</t>
  </si>
  <si>
    <t>G0806</t>
  </si>
  <si>
    <t>G0807</t>
  </si>
  <si>
    <t>G0808</t>
  </si>
  <si>
    <t>G0809</t>
  </si>
  <si>
    <t>G0810</t>
  </si>
  <si>
    <t>G0811</t>
  </si>
  <si>
    <t>G0812</t>
  </si>
  <si>
    <t>G0813</t>
  </si>
  <si>
    <t>G0814</t>
  </si>
  <si>
    <t>G0815</t>
  </si>
  <si>
    <t>G0816</t>
  </si>
  <si>
    <t>G0817</t>
  </si>
  <si>
    <t>G0818</t>
  </si>
  <si>
    <t>G0819</t>
  </si>
  <si>
    <t>G0820</t>
  </si>
  <si>
    <t>G0821</t>
  </si>
  <si>
    <t>G0822</t>
  </si>
  <si>
    <t>G0823</t>
  </si>
  <si>
    <t>G0824</t>
  </si>
  <si>
    <t>G0825</t>
  </si>
  <si>
    <t>G0826</t>
  </si>
  <si>
    <t>G0827</t>
  </si>
  <si>
    <t>G0828</t>
  </si>
  <si>
    <t>G0829</t>
  </si>
  <si>
    <t>G0830</t>
  </si>
  <si>
    <t>G0831</t>
  </si>
  <si>
    <t>G0832</t>
  </si>
  <si>
    <t>G0833</t>
  </si>
  <si>
    <t>G0834</t>
  </si>
  <si>
    <t>G0835</t>
  </si>
  <si>
    <t>C036</t>
  </si>
  <si>
    <t>G0836</t>
  </si>
  <si>
    <t>G0837</t>
  </si>
  <si>
    <t>G0838</t>
  </si>
  <si>
    <t>G0839</t>
  </si>
  <si>
    <t>G0840</t>
  </si>
  <si>
    <t>G0841</t>
  </si>
  <si>
    <t>G0842</t>
  </si>
  <si>
    <t>G0843</t>
  </si>
  <si>
    <t>G0844</t>
  </si>
  <si>
    <t>G0845</t>
  </si>
  <si>
    <t>C237</t>
  </si>
  <si>
    <t>G0846</t>
  </si>
  <si>
    <t>G0847</t>
  </si>
  <si>
    <t>G0848</t>
  </si>
  <si>
    <t>G0849</t>
  </si>
  <si>
    <t>G0850</t>
  </si>
  <si>
    <t>G0851</t>
  </si>
  <si>
    <t>G0852</t>
  </si>
  <si>
    <t>G0853</t>
  </si>
  <si>
    <t>G0854</t>
  </si>
  <si>
    <t>G0855</t>
  </si>
  <si>
    <t>G0856</t>
  </si>
  <si>
    <t>G0857</t>
  </si>
  <si>
    <t>G0858</t>
  </si>
  <si>
    <t>G0859</t>
  </si>
  <si>
    <t>G0860</t>
  </si>
  <si>
    <t>G0861</t>
  </si>
  <si>
    <t>G0862</t>
  </si>
  <si>
    <t>G0863</t>
  </si>
  <si>
    <t>G0864</t>
  </si>
  <si>
    <t>G0865</t>
  </si>
  <si>
    <t>G0866</t>
  </si>
  <si>
    <t>G0867</t>
  </si>
  <si>
    <t>G0868</t>
  </si>
  <si>
    <t>G0869</t>
  </si>
  <si>
    <t>G0870</t>
  </si>
  <si>
    <t>G0871</t>
  </si>
  <si>
    <t>G0872</t>
  </si>
  <si>
    <t>G0873</t>
  </si>
  <si>
    <t>G0874</t>
  </si>
  <si>
    <t>G0875</t>
  </si>
  <si>
    <t>G0876</t>
  </si>
  <si>
    <t>G0877</t>
  </si>
  <si>
    <t>G0878</t>
  </si>
  <si>
    <t>G0879</t>
  </si>
  <si>
    <t>G0880</t>
  </si>
  <si>
    <t>C086</t>
  </si>
  <si>
    <t>G0881</t>
  </si>
  <si>
    <t>G0882</t>
  </si>
  <si>
    <t>G0883</t>
  </si>
  <si>
    <t>G0884</t>
  </si>
  <si>
    <t>G0885</t>
  </si>
  <si>
    <t>G0886</t>
  </si>
  <si>
    <t>G0887</t>
  </si>
  <si>
    <t>G0888</t>
  </si>
  <si>
    <t>G0889</t>
  </si>
  <si>
    <t>G0890</t>
  </si>
  <si>
    <t>G0891</t>
  </si>
  <si>
    <t>G0892</t>
  </si>
  <si>
    <t>C254</t>
  </si>
  <si>
    <t>G0893</t>
  </si>
  <si>
    <t>G0894</t>
  </si>
  <si>
    <t>G0895</t>
  </si>
  <si>
    <t>G0896</t>
  </si>
  <si>
    <t>G0897</t>
  </si>
  <si>
    <t>G0898</t>
  </si>
  <si>
    <t>G0899</t>
  </si>
  <si>
    <t>G0900</t>
  </si>
  <si>
    <t>central</t>
  </si>
  <si>
    <t>delivered</t>
  </si>
  <si>
    <t>south</t>
  </si>
  <si>
    <t>east</t>
  </si>
  <si>
    <t>west</t>
  </si>
  <si>
    <t>north</t>
  </si>
  <si>
    <t>cancelled</t>
  </si>
  <si>
    <t>Source and reconciliation check</t>
  </si>
  <si>
    <t>Result</t>
  </si>
  <si>
    <t>Clean order rows</t>
  </si>
  <si>
    <t>First order date</t>
  </si>
  <si>
    <t>Last order date</t>
  </si>
  <si>
    <t>Daily revenue difference</t>
  </si>
  <si>
    <t>Category revenue difference</t>
  </si>
  <si>
    <t>Product revenue difference</t>
  </si>
  <si>
    <t>Zone revenue difference</t>
  </si>
  <si>
    <t>Heatmap order difference</t>
  </si>
  <si>
    <t>Delivery count difference</t>
  </si>
  <si>
    <t>Fresh Cart Grocery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</si>
</sst>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0.0%"/>
    <numFmt numFmtId="166" formatCode="0.0"/>
    <numFmt numFmtId="167" formatCode="&quot;₹&quot;#,##0"/>
    <numFmt numFmtId="168" formatCode="&quot;₹&quot;#,##0.00"/>
  </numFmts>
  <fonts count="8">
    <font>
      <sz val="11"/>
      <name val="Carlito"/>
    </font>
    <font>
      <sz val="10"/>
      <color rgb="FF17384D"/>
      <name val="Arial"/>
    </font>
    <font>
      <b/>
      <sz val="10"/>
      <color rgb="FFFFFFFF"/>
      <name val="Arial"/>
    </font>
    <font>
      <b/>
      <sz val="10"/>
      <color rgb="FF17384D"/>
      <name val="Arial"/>
    </font>
    <font>
      <sz val="9"/>
      <color rgb="FF536D7A"/>
      <name val="Arial"/>
    </font>
    <font>
      <b/>
      <sz val="21"/>
      <color rgb="FF17384D"/>
      <name val="Arial"/>
    </font>
    <font>
      <b/>
      <sz val="18"/>
      <color rgb="FF17384D"/>
      <name val="Arial"/>
    </font>
    <font>
      <b/>
      <sz val="36"/>
      <color theme="9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84D"/>
      </patternFill>
    </fill>
    <fill>
      <patternFill patternType="solid">
        <fgColor rgb="FF0F766E"/>
      </patternFill>
    </fill>
    <fill>
      <patternFill patternType="solid">
        <fgColor rgb="FFEDF3F5"/>
      </patternFill>
    </fill>
    <fill>
      <patternFill patternType="solid">
        <fgColor rgb="FFFFF1C2"/>
      </patternFill>
    </fill>
    <fill>
      <patternFill patternType="solid">
        <fgColor rgb="FFFFFFFF"/>
      </patternFill>
    </fill>
    <fill>
      <patternFill patternType="solid">
        <fgColor rgb="FFF97362"/>
      </patternFill>
    </fill>
    <fill>
      <patternFill patternType="solid">
        <fgColor rgb="FF6474B8"/>
      </patternFill>
    </fill>
    <fill>
      <patternFill patternType="solid">
        <fgColor rgb="FFE7AE45"/>
      </patternFill>
    </fill>
    <fill>
      <patternFill patternType="solid">
        <fgColor rgb="FF4C9DA8"/>
      </patternFill>
    </fill>
    <fill>
      <patternFill patternType="solid">
        <fgColor rgb="FF6474B8"/>
      </patternFill>
    </fill>
    <fill>
      <patternFill patternType="solid">
        <fgColor rgb="FF1738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164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68" fontId="1" fillId="0" borderId="0" xfId="0" applyNumberFormat="1" applyFont="1" applyFill="1" applyBorder="1" applyAlignment="1">
      <alignment vertical="center"/>
    </xf>
    <xf numFmtId="0" fontId="2" fillId="11" borderId="0" xfId="0" applyNumberFormat="1" applyFont="1" applyFill="1" applyBorder="1"/>
    <xf numFmtId="0" fontId="2" fillId="12" borderId="0" xfId="0" applyNumberFormat="1" applyFont="1" applyFill="1" applyBorder="1"/>
    <xf numFmtId="0" fontId="1" fillId="4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66" fontId="6" fillId="6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2" fontId="6" fillId="6" borderId="0" xfId="0" applyNumberFormat="1" applyFont="1" applyFill="1" applyBorder="1" applyAlignment="1">
      <alignment vertical="center"/>
    </xf>
    <xf numFmtId="165" fontId="6" fillId="6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horizontal="left" vertical="center"/>
    </xf>
    <xf numFmtId="0" fontId="1" fillId="5" borderId="0" xfId="0" applyNumberFormat="1" applyFont="1" applyFill="1" applyBorder="1" applyAlignment="1">
      <alignment horizontal="left" vertical="center"/>
    </xf>
    <xf numFmtId="167" fontId="5" fillId="6" borderId="0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Border="1" applyAlignment="1">
      <alignment horizontal="center" vertical="center"/>
    </xf>
    <xf numFmtId="168" fontId="5" fillId="6" borderId="0" xfId="0" applyNumberFormat="1" applyFont="1" applyFill="1" applyBorder="1" applyAlignment="1">
      <alignment horizontal="center" vertical="center"/>
    </xf>
    <xf numFmtId="166" fontId="5" fillId="6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9" borderId="0" xfId="0" applyNumberFormat="1" applyFont="1" applyFill="1" applyBorder="1" applyAlignment="1">
      <alignment horizontal="center" vertical="center"/>
    </xf>
    <xf numFmtId="0" fontId="2" fillId="10" borderId="0" xfId="0" applyNumberFormat="1" applyFont="1" applyFill="1" applyBorder="1" applyAlignment="1">
      <alignment horizontal="center" vertical="center"/>
    </xf>
    <xf numFmtId="0" fontId="7" fillId="4" borderId="0" xfId="0" quotePrefix="1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Daily revenue INR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1905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strRef>
              <c:f>Analysis!$D$21:$D$50</c:f>
              <c:strCache>
                <c:ptCount val="30"/>
                <c:pt idx="0">
                  <c:v>01-Sep</c:v>
                </c:pt>
                <c:pt idx="1">
                  <c:v>02-Sep</c:v>
                </c:pt>
                <c:pt idx="2">
                  <c:v>03-Sep</c:v>
                </c:pt>
                <c:pt idx="3">
                  <c:v>04-Sep</c:v>
                </c:pt>
                <c:pt idx="4">
                  <c:v>05-Sep</c:v>
                </c:pt>
                <c:pt idx="5">
                  <c:v>06-Sep</c:v>
                </c:pt>
                <c:pt idx="6">
                  <c:v>07-Sep</c:v>
                </c:pt>
                <c:pt idx="7">
                  <c:v>08-Sep</c:v>
                </c:pt>
                <c:pt idx="8">
                  <c:v>09-Sep</c:v>
                </c:pt>
                <c:pt idx="9">
                  <c:v>10-Sep</c:v>
                </c:pt>
                <c:pt idx="10">
                  <c:v>11-Sep</c:v>
                </c:pt>
                <c:pt idx="11">
                  <c:v>12-Sep</c:v>
                </c:pt>
                <c:pt idx="12">
                  <c:v>13-Sep</c:v>
                </c:pt>
                <c:pt idx="13">
                  <c:v>14-Sep</c:v>
                </c:pt>
                <c:pt idx="14">
                  <c:v>15-Sep</c:v>
                </c:pt>
                <c:pt idx="15">
                  <c:v>16-Sep</c:v>
                </c:pt>
                <c:pt idx="16">
                  <c:v>17-Sep</c:v>
                </c:pt>
                <c:pt idx="17">
                  <c:v>18-Sep</c:v>
                </c:pt>
                <c:pt idx="18">
                  <c:v>19-Sep</c:v>
                </c:pt>
                <c:pt idx="19">
                  <c:v>20-Sep</c:v>
                </c:pt>
                <c:pt idx="20">
                  <c:v>21-Sep</c:v>
                </c:pt>
                <c:pt idx="21">
                  <c:v>22-Sep</c:v>
                </c:pt>
                <c:pt idx="22">
                  <c:v>23-Sep</c:v>
                </c:pt>
                <c:pt idx="23">
                  <c:v>24-Sep</c:v>
                </c:pt>
                <c:pt idx="24">
                  <c:v>25-Sep</c:v>
                </c:pt>
                <c:pt idx="25">
                  <c:v>26-Sep</c:v>
                </c:pt>
                <c:pt idx="26">
                  <c:v>27-Sep</c:v>
                </c:pt>
                <c:pt idx="27">
                  <c:v>28-Sep</c:v>
                </c:pt>
                <c:pt idx="28">
                  <c:v>29-Sep</c:v>
                </c:pt>
                <c:pt idx="29">
                  <c:v>30-Sep</c:v>
                </c:pt>
              </c:strCache>
            </c:strRef>
          </c:cat>
          <c:val>
            <c:numRef>
              <c:f>Analysis!$B$21:$B$50</c:f>
              <c:numCache>
                <c:formatCode>"₹"#,##0.00</c:formatCode>
                <c:ptCount val="30"/>
                <c:pt idx="0">
                  <c:v>9906.25</c:v>
                </c:pt>
                <c:pt idx="1">
                  <c:v>8997.15</c:v>
                </c:pt>
                <c:pt idx="2">
                  <c:v>9217.75</c:v>
                </c:pt>
                <c:pt idx="3">
                  <c:v>13605.35</c:v>
                </c:pt>
                <c:pt idx="4">
                  <c:v>11834.95</c:v>
                </c:pt>
                <c:pt idx="5">
                  <c:v>9340.2000000000007</c:v>
                </c:pt>
                <c:pt idx="6">
                  <c:v>8267.5</c:v>
                </c:pt>
                <c:pt idx="7">
                  <c:v>12269.25</c:v>
                </c:pt>
                <c:pt idx="8">
                  <c:v>9703.75</c:v>
                </c:pt>
                <c:pt idx="9">
                  <c:v>10117.25</c:v>
                </c:pt>
                <c:pt idx="10">
                  <c:v>12683</c:v>
                </c:pt>
                <c:pt idx="11">
                  <c:v>8433</c:v>
                </c:pt>
                <c:pt idx="12">
                  <c:v>9943.7000000000007</c:v>
                </c:pt>
                <c:pt idx="13">
                  <c:v>9549.5</c:v>
                </c:pt>
                <c:pt idx="14">
                  <c:v>9134</c:v>
                </c:pt>
                <c:pt idx="15">
                  <c:v>10973.75</c:v>
                </c:pt>
                <c:pt idx="16">
                  <c:v>10489</c:v>
                </c:pt>
                <c:pt idx="17">
                  <c:v>10682.6</c:v>
                </c:pt>
                <c:pt idx="18">
                  <c:v>12688</c:v>
                </c:pt>
                <c:pt idx="19">
                  <c:v>12127.6</c:v>
                </c:pt>
                <c:pt idx="20">
                  <c:v>10217</c:v>
                </c:pt>
                <c:pt idx="21">
                  <c:v>9260.7999999999993</c:v>
                </c:pt>
                <c:pt idx="22">
                  <c:v>11340.6</c:v>
                </c:pt>
                <c:pt idx="23">
                  <c:v>9225</c:v>
                </c:pt>
                <c:pt idx="24">
                  <c:v>10201.700000000001</c:v>
                </c:pt>
                <c:pt idx="25">
                  <c:v>10280.5</c:v>
                </c:pt>
                <c:pt idx="26">
                  <c:v>8607.5</c:v>
                </c:pt>
                <c:pt idx="27">
                  <c:v>11770</c:v>
                </c:pt>
                <c:pt idx="28">
                  <c:v>9188</c:v>
                </c:pt>
                <c:pt idx="29">
                  <c:v>10806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B-424A-BA9C-73F4862BE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₹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Orders by time of day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Orders</c:v>
          </c:tx>
          <c:dPt>
            <c:idx val="0"/>
            <c:bubble3D val="0"/>
            <c:spPr>
              <a:solidFill>
                <a:srgbClr val="0F766E"/>
              </a:solidFill>
            </c:spPr>
            <c:extLst>
              <c:ext xmlns:c16="http://schemas.microsoft.com/office/drawing/2014/chart" uri="{C3380CC4-5D6E-409C-BE32-E72D297353CC}">
                <c16:uniqueId val="{00000001-5CCA-4A12-9230-B0380BF662E4}"/>
              </c:ext>
            </c:extLst>
          </c:dPt>
          <c:dPt>
            <c:idx val="1"/>
            <c:bubble3D val="0"/>
            <c:spPr>
              <a:solidFill>
                <a:srgbClr val="F97362"/>
              </a:solidFill>
            </c:spPr>
            <c:extLst>
              <c:ext xmlns:c16="http://schemas.microsoft.com/office/drawing/2014/chart" uri="{C3380CC4-5D6E-409C-BE32-E72D297353CC}">
                <c16:uniqueId val="{00000003-5CCA-4A12-9230-B0380BF662E4}"/>
              </c:ext>
            </c:extLst>
          </c:dPt>
          <c:dPt>
            <c:idx val="2"/>
            <c:bubble3D val="0"/>
            <c:spPr>
              <a:solidFill>
                <a:srgbClr val="6474B8"/>
              </a:solidFill>
            </c:spPr>
            <c:extLst>
              <c:ext xmlns:c16="http://schemas.microsoft.com/office/drawing/2014/chart" uri="{C3380CC4-5D6E-409C-BE32-E72D297353CC}">
                <c16:uniqueId val="{00000005-5CCA-4A12-9230-B0380BF662E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Analysis!$F$21:$F$23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Analysis!$G$21:$G$23</c:f>
              <c:numCache>
                <c:formatCode>General</c:formatCode>
                <c:ptCount val="3"/>
                <c:pt idx="0">
                  <c:v>266</c:v>
                </c:pt>
                <c:pt idx="1">
                  <c:v>295</c:v>
                </c:pt>
                <c:pt idx="2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CA-4A12-9230-B0380BF662E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Daily revenue versus orders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Revenue</c:v>
          </c:tx>
          <c:xVal>
            <c:numRef>
              <c:f>Analysis!$C$21:$C$50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xVal>
          <c:yVal>
            <c:numRef>
              <c:f>Analysis!$B$21:$B$50</c:f>
              <c:numCache>
                <c:formatCode>"₹"#,##0.00</c:formatCode>
                <c:ptCount val="30"/>
                <c:pt idx="0">
                  <c:v>9906.25</c:v>
                </c:pt>
                <c:pt idx="1">
                  <c:v>8997.15</c:v>
                </c:pt>
                <c:pt idx="2">
                  <c:v>9217.75</c:v>
                </c:pt>
                <c:pt idx="3">
                  <c:v>13605.35</c:v>
                </c:pt>
                <c:pt idx="4">
                  <c:v>11834.95</c:v>
                </c:pt>
                <c:pt idx="5">
                  <c:v>9340.2000000000007</c:v>
                </c:pt>
                <c:pt idx="6">
                  <c:v>8267.5</c:v>
                </c:pt>
                <c:pt idx="7">
                  <c:v>12269.25</c:v>
                </c:pt>
                <c:pt idx="8">
                  <c:v>9703.75</c:v>
                </c:pt>
                <c:pt idx="9">
                  <c:v>10117.25</c:v>
                </c:pt>
                <c:pt idx="10">
                  <c:v>12683</c:v>
                </c:pt>
                <c:pt idx="11">
                  <c:v>8433</c:v>
                </c:pt>
                <c:pt idx="12">
                  <c:v>9943.7000000000007</c:v>
                </c:pt>
                <c:pt idx="13">
                  <c:v>9549.5</c:v>
                </c:pt>
                <c:pt idx="14">
                  <c:v>9134</c:v>
                </c:pt>
                <c:pt idx="15">
                  <c:v>10973.75</c:v>
                </c:pt>
                <c:pt idx="16">
                  <c:v>10489</c:v>
                </c:pt>
                <c:pt idx="17">
                  <c:v>10682.6</c:v>
                </c:pt>
                <c:pt idx="18">
                  <c:v>12688</c:v>
                </c:pt>
                <c:pt idx="19">
                  <c:v>12127.6</c:v>
                </c:pt>
                <c:pt idx="20">
                  <c:v>10217</c:v>
                </c:pt>
                <c:pt idx="21">
                  <c:v>9260.7999999999993</c:v>
                </c:pt>
                <c:pt idx="22">
                  <c:v>11340.6</c:v>
                </c:pt>
                <c:pt idx="23">
                  <c:v>9225</c:v>
                </c:pt>
                <c:pt idx="24">
                  <c:v>10201.700000000001</c:v>
                </c:pt>
                <c:pt idx="25">
                  <c:v>10280.5</c:v>
                </c:pt>
                <c:pt idx="26">
                  <c:v>8607.5</c:v>
                </c:pt>
                <c:pt idx="27">
                  <c:v>11770</c:v>
                </c:pt>
                <c:pt idx="28">
                  <c:v>9188</c:v>
                </c:pt>
                <c:pt idx="29">
                  <c:v>10806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8D-4013-A145-8A60F7208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₹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Revenue by category INR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F766E"/>
            </a:solidFill>
          </c:spPr>
          <c:invertIfNegative val="1"/>
          <c:cat>
            <c:strRef>
              <c:f>Analysis!$L$2:$L$7</c:f>
              <c:strCache>
                <c:ptCount val="6"/>
                <c:pt idx="0">
                  <c:v>Beverages</c:v>
                </c:pt>
                <c:pt idx="1">
                  <c:v>Household</c:v>
                </c:pt>
                <c:pt idx="2">
                  <c:v>Snacks</c:v>
                </c:pt>
                <c:pt idx="3">
                  <c:v>Bakery</c:v>
                </c:pt>
                <c:pt idx="4">
                  <c:v>Dairy</c:v>
                </c:pt>
                <c:pt idx="5">
                  <c:v>Produce</c:v>
                </c:pt>
              </c:strCache>
            </c:strRef>
          </c:cat>
          <c:val>
            <c:numRef>
              <c:f>Analysis!$M$2:$M$7</c:f>
              <c:numCache>
                <c:formatCode>"₹"#,##0.00</c:formatCode>
                <c:ptCount val="6"/>
                <c:pt idx="0">
                  <c:v>80955</c:v>
                </c:pt>
                <c:pt idx="1">
                  <c:v>68024.75</c:v>
                </c:pt>
                <c:pt idx="2">
                  <c:v>43950</c:v>
                </c:pt>
                <c:pt idx="3">
                  <c:v>42028.75</c:v>
                </c:pt>
                <c:pt idx="4">
                  <c:v>40215.149999999994</c:v>
                </c:pt>
                <c:pt idx="5">
                  <c:v>35687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234-4BAE-8C7C-51655C3B4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₹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Top five products INR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F97362"/>
            </a:solidFill>
          </c:spPr>
          <c:invertIfNegative val="1"/>
          <c:cat>
            <c:strRef>
              <c:f>Analysis!$T$2:$T$6</c:f>
              <c:strCache>
                <c:ptCount val="5"/>
                <c:pt idx="0">
                  <c:v>Coffee</c:v>
                </c:pt>
                <c:pt idx="1">
                  <c:v>Detergent</c:v>
                </c:pt>
                <c:pt idx="2">
                  <c:v>Nuts</c:v>
                </c:pt>
                <c:pt idx="3">
                  <c:v>Tea</c:v>
                </c:pt>
                <c:pt idx="4">
                  <c:v>Apples</c:v>
                </c:pt>
              </c:strCache>
            </c:strRef>
          </c:cat>
          <c:val>
            <c:numRef>
              <c:f>Analysis!$U$2:$U$6</c:f>
              <c:numCache>
                <c:formatCode>"₹"#,##0.00</c:formatCode>
                <c:ptCount val="5"/>
                <c:pt idx="0">
                  <c:v>39468</c:v>
                </c:pt>
                <c:pt idx="1">
                  <c:v>36684</c:v>
                </c:pt>
                <c:pt idx="2">
                  <c:v>30591</c:v>
                </c:pt>
                <c:pt idx="3">
                  <c:v>27934.25</c:v>
                </c:pt>
                <c:pt idx="4">
                  <c:v>24440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976-4905-8613-802A45BA1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₹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Revenue by zone INR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6474B8"/>
            </a:solidFill>
          </c:spPr>
          <c:invertIfNegative val="1"/>
          <c:cat>
            <c:strRef>
              <c:f>Analysis!$W$2:$W$6</c:f>
              <c:strCache>
                <c:ptCount val="5"/>
                <c:pt idx="0">
                  <c:v>Central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Analysis!$X$2:$X$6</c:f>
              <c:numCache>
                <c:formatCode>"₹"#,##0.00</c:formatCode>
                <c:ptCount val="5"/>
                <c:pt idx="0">
                  <c:v>64779.95</c:v>
                </c:pt>
                <c:pt idx="1">
                  <c:v>67256</c:v>
                </c:pt>
                <c:pt idx="2">
                  <c:v>62780.45</c:v>
                </c:pt>
                <c:pt idx="3">
                  <c:v>55896.3</c:v>
                </c:pt>
                <c:pt idx="4">
                  <c:v>60147.95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CC7-46A9-AF27-AADF82A0A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₹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Customer cohort order share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Delivered orders</c:v>
          </c:tx>
          <c:dPt>
            <c:idx val="0"/>
            <c:bubble3D val="0"/>
            <c:spPr>
              <a:solidFill>
                <a:srgbClr val="F97362"/>
              </a:solidFill>
            </c:spPr>
            <c:extLst>
              <c:ext xmlns:c16="http://schemas.microsoft.com/office/drawing/2014/chart" uri="{C3380CC4-5D6E-409C-BE32-E72D297353CC}">
                <c16:uniqueId val="{00000001-5151-45BF-93A2-064FE2A99E54}"/>
              </c:ext>
            </c:extLst>
          </c:dPt>
          <c:dPt>
            <c:idx val="1"/>
            <c:bubble3D val="0"/>
            <c:spPr>
              <a:solidFill>
                <a:srgbClr val="0F766E"/>
              </a:solidFill>
            </c:spPr>
            <c:extLst>
              <c:ext xmlns:c16="http://schemas.microsoft.com/office/drawing/2014/chart" uri="{C3380CC4-5D6E-409C-BE32-E72D297353CC}">
                <c16:uniqueId val="{00000003-5151-45BF-93A2-064FE2A99E5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Analysis!$A$56:$A$57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Analysis!$B$56:$B$57</c:f>
              <c:numCache>
                <c:formatCode>General</c:formatCode>
                <c:ptCount val="2"/>
                <c:pt idx="0">
                  <c:v>591</c:v>
                </c:pt>
                <c:pt idx="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51-45BF-93A2-064FE2A99E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Delivery performance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Delivered orders</c:v>
          </c:tx>
          <c:dPt>
            <c:idx val="0"/>
            <c:bubble3D val="0"/>
            <c:spPr>
              <a:solidFill>
                <a:srgbClr val="0F766E"/>
              </a:solidFill>
            </c:spPr>
            <c:extLst>
              <c:ext xmlns:c16="http://schemas.microsoft.com/office/drawing/2014/chart" uri="{C3380CC4-5D6E-409C-BE32-E72D297353CC}">
                <c16:uniqueId val="{00000001-FB12-48CC-8CCC-2F85FB3C0E0B}"/>
              </c:ext>
            </c:extLst>
          </c:dPt>
          <c:dPt>
            <c:idx val="1"/>
            <c:bubble3D val="0"/>
            <c:spPr>
              <a:solidFill>
                <a:srgbClr val="F97362"/>
              </a:solidFill>
            </c:spPr>
            <c:extLst>
              <c:ext xmlns:c16="http://schemas.microsoft.com/office/drawing/2014/chart" uri="{C3380CC4-5D6E-409C-BE32-E72D297353CC}">
                <c16:uniqueId val="{00000003-FB12-48CC-8CCC-2F85FB3C0E0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Analysis!$E$56:$E$57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Analysis!$F$56:$F$57</c:f>
              <c:numCache>
                <c:formatCode>General</c:formatCode>
                <c:ptCount val="2"/>
                <c:pt idx="0">
                  <c:v>626</c:v>
                </c:pt>
                <c:pt idx="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12-48CC-8CCC-2F85FB3C0E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11</xdr:row>
      <xdr:rowOff>0</xdr:rowOff>
    </xdr:from>
    <xdr:to>
      <xdr:col>31</xdr:col>
      <xdr:colOff>0</xdr:colOff>
      <xdr:row>24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31</xdr:col>
      <xdr:colOff>0</xdr:colOff>
      <xdr:row>38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21</xdr:col>
      <xdr:colOff>0</xdr:colOff>
      <xdr:row>51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39</xdr:row>
      <xdr:rowOff>0</xdr:rowOff>
    </xdr:from>
    <xdr:to>
      <xdr:col>31</xdr:col>
      <xdr:colOff>0</xdr:colOff>
      <xdr:row>51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_Data" displayName="Clean_Data" ref="A1:Z901" totalsRowShown="0">
  <tableColumns count="26">
    <tableColumn id="1" xr3:uid="{00000000-0010-0000-0000-000001000000}" name="OrderID"/>
    <tableColumn id="2" xr3:uid="{00000000-0010-0000-0000-000002000000}" name="OrderDate"/>
    <tableColumn id="3" xr3:uid="{00000000-0010-0000-0000-000003000000}" name="OrderHour"/>
    <tableColumn id="4" xr3:uid="{00000000-0010-0000-0000-000004000000}" name="CustomerID"/>
    <tableColumn id="5" xr3:uid="{00000000-0010-0000-0000-000005000000}" name="CustomerType"/>
    <tableColumn id="6" xr3:uid="{00000000-0010-0000-0000-000006000000}" name="Zone"/>
    <tableColumn id="7" xr3:uid="{00000000-0010-0000-0000-000007000000}" name="Category"/>
    <tableColumn id="8" xr3:uid="{00000000-0010-0000-0000-000008000000}" name="Product"/>
    <tableColumn id="9" xr3:uid="{00000000-0010-0000-0000-000009000000}" name="Quantity"/>
    <tableColumn id="10" xr3:uid="{00000000-0010-0000-0000-00000A000000}" name="UnitPrice"/>
    <tableColumn id="11" xr3:uid="{00000000-0010-0000-0000-00000B000000}" name="DiscountPct"/>
    <tableColumn id="12" xr3:uid="{00000000-0010-0000-0000-00000C000000}" name="Status"/>
    <tableColumn id="13" xr3:uid="{00000000-0010-0000-0000-00000D000000}" name="DeliveryMinutes"/>
    <tableColumn id="14" xr3:uid="{00000000-0010-0000-0000-00000E000000}" name="FulfilmentMinutes"/>
    <tableColumn id="15" xr3:uid="{00000000-0010-0000-0000-00000F000000}" name="Rating"/>
    <tableColumn id="16" xr3:uid="{00000000-0010-0000-0000-000010000000}" name="GrossSales">
      <calculatedColumnFormula>Clean_Data[[#This Row],[Quantity]]*Clean_Data[[#This Row],[UnitPrice]]</calculatedColumnFormula>
    </tableColumn>
    <tableColumn id="17" xr3:uid="{00000000-0010-0000-0000-000011000000}" name="DiscountAmount">
      <calculatedColumnFormula>ROUND(Clean_Data[[#This Row],[GrossSales]]*Clean_Data[[#This Row],[DiscountPct]],2)</calculatedColumnFormula>
    </tableColumn>
    <tableColumn id="18" xr3:uid="{00000000-0010-0000-0000-000012000000}" name="NetRevenue">
      <calculatedColumnFormula>IF(Clean_Data[[#This Row],[Status]]="Delivered",ROUND(Clean_Data[[#This Row],[GrossSales]]-Clean_Data[[#This Row],[DiscountAmount]],2),0)</calculatedColumnFormula>
    </tableColumn>
    <tableColumn id="19" xr3:uid="{00000000-0010-0000-0000-000013000000}" name="TimeBand">
      <calculatedColumnFormula>IF(Clean_Data[[#This Row],[OrderHour]]&lt;6,"Night",IF(Clean_Data[[#This Row],[OrderHour]]&lt;12,"Morning",IF(Clean_Data[[#This Row],[OrderHour]]&lt;18,"Afternoon","Evening")))</calculatedColumnFormula>
    </tableColumn>
    <tableColumn id="20" xr3:uid="{00000000-0010-0000-0000-000014000000}" name="Weekday">
      <calculatedColumnFormula>TEXT(Clean_Data[[#This Row],[OrderDate]],"[$-409]ddd")</calculatedColumnFormula>
    </tableColumn>
    <tableColumn id="21" xr3:uid="{00000000-0010-0000-0000-000015000000}" name="WeekdayNo">
      <calculatedColumnFormula>WEEKDAY(Clean_Data[[#This Row],[OrderDate]],2)</calculatedColumnFormula>
    </tableColumn>
    <tableColumn id="22" xr3:uid="{00000000-0010-0000-0000-000016000000}" name="TimeBandNo">
      <calculatedColumnFormula>INT(Clean_Data[[#This Row],[OrderHour]]/6)+1</calculatedColumnFormula>
    </tableColumn>
    <tableColumn id="23" xr3:uid="{00000000-0010-0000-0000-000017000000}" name="DeliveredFlag">
      <calculatedColumnFormula>IF(Clean_Data[[#This Row],[Status]]="Delivered",1,0)</calculatedColumnFormula>
    </tableColumn>
    <tableColumn id="24" xr3:uid="{00000000-0010-0000-0000-000018000000}" name="OnTime">
      <calculatedColumnFormula>IF(Clean_Data[[#This Row],[Status]]="Delivered",IF(Clean_Data[[#This Row],[DeliveryMinutes]]&lt;=Dashboard!$X$5,1,0),0)</calculatedColumnFormula>
    </tableColumn>
    <tableColumn id="25" xr3:uid="{00000000-0010-0000-0000-000019000000}" name="Include">
      <calculatedColumnFormula>IF(AND(Clean_Data[[#This Row],[OrderDate]]&gt;=Dashboard!$B$5,Clean_Data[[#This Row],[OrderDate]]&lt;=Dashboard!$F$5,OR(Dashboard!$J$5="All",Clean_Data[[#This Row],[Zone]]=Dashboard!$J$5),OR(Dashboard!$P$5="All",Clean_Data[[#This Row],[Category]]=Dashboard!$P$5)),1,0)</calculatedColumnFormula>
    </tableColumn>
    <tableColumn id="26" xr3:uid="{00000000-0010-0000-0000-00001A000000}" name="DeliveredInclude">
      <calculatedColumnFormula>IF(AND(Clean_Data[[#This Row],[Include]]=1,Clean_Data[[#This Row],[DeliveredFlag]]=1),1,0)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_Data" displayName="Raw_Data" ref="A1:O913" totalsRowShown="0">
  <tableColumns count="15">
    <tableColumn id="1" xr3:uid="{00000000-0010-0000-0100-000001000000}" name="OrderID"/>
    <tableColumn id="2" xr3:uid="{00000000-0010-0000-0100-000002000000}" name="OrderDate"/>
    <tableColumn id="3" xr3:uid="{00000000-0010-0000-0100-000003000000}" name="OrderHour"/>
    <tableColumn id="4" xr3:uid="{00000000-0010-0000-0100-000004000000}" name="CustomerID"/>
    <tableColumn id="5" xr3:uid="{00000000-0010-0000-0100-000005000000}" name="CustomerType"/>
    <tableColumn id="6" xr3:uid="{00000000-0010-0000-0100-000006000000}" name="Zone"/>
    <tableColumn id="7" xr3:uid="{00000000-0010-0000-0100-000007000000}" name="Category"/>
    <tableColumn id="8" xr3:uid="{00000000-0010-0000-0100-000008000000}" name="Product"/>
    <tableColumn id="9" xr3:uid="{00000000-0010-0000-0100-000009000000}" name="Quantity"/>
    <tableColumn id="10" xr3:uid="{00000000-0010-0000-0100-00000A000000}" name="UnitPrice"/>
    <tableColumn id="11" xr3:uid="{00000000-0010-0000-0100-00000B000000}" name="DiscountPct"/>
    <tableColumn id="12" xr3:uid="{00000000-0010-0000-0100-00000C000000}" name="Status"/>
    <tableColumn id="13" xr3:uid="{00000000-0010-0000-0100-00000D000000}" name="DeliveryMinutes"/>
    <tableColumn id="14" xr3:uid="{00000000-0010-0000-0100-00000E000000}" name="FulfilmentMinutes"/>
    <tableColumn id="15" xr3:uid="{00000000-0010-0000-0100-00000F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"/>
  <sheetViews>
    <sheetView showGridLines="0" tabSelected="1" workbookViewId="0">
      <selection activeCell="A3" sqref="A3"/>
    </sheetView>
  </sheetViews>
  <sheetFormatPr defaultRowHeight="14"/>
  <cols>
    <col min="1" max="31" width="6" customWidth="1"/>
  </cols>
  <sheetData>
    <row r="1" spans="1:31" ht="23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42" customHeight="1">
      <c r="A2" s="10"/>
      <c r="B2" s="35" t="s">
        <v>1328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23" customHeight="1">
      <c r="A3" s="10"/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23" customHeight="1">
      <c r="A4" s="10"/>
      <c r="B4" s="10" t="s">
        <v>0</v>
      </c>
      <c r="C4" s="10"/>
      <c r="D4" s="10"/>
      <c r="E4" s="10"/>
      <c r="F4" s="14" t="s">
        <v>1</v>
      </c>
      <c r="G4" s="10"/>
      <c r="H4" s="10"/>
      <c r="I4" s="10"/>
      <c r="J4" s="10" t="s">
        <v>2</v>
      </c>
      <c r="K4" s="10"/>
      <c r="L4" s="10"/>
      <c r="M4" s="10"/>
      <c r="N4" s="10"/>
      <c r="O4" s="10"/>
      <c r="P4" s="10" t="s">
        <v>3</v>
      </c>
      <c r="Q4" s="10"/>
      <c r="R4" s="10"/>
      <c r="S4" s="10"/>
      <c r="T4" s="10"/>
      <c r="U4" s="10"/>
      <c r="V4" s="10"/>
      <c r="W4" s="10"/>
      <c r="X4" s="10" t="s">
        <v>4</v>
      </c>
      <c r="Y4" s="10"/>
      <c r="Z4" s="10"/>
      <c r="AA4" s="10"/>
      <c r="AB4" s="10"/>
      <c r="AC4" s="10"/>
      <c r="AD4" s="10"/>
      <c r="AE4" s="10"/>
    </row>
    <row r="5" spans="1:31" ht="23" customHeight="1">
      <c r="A5" s="10"/>
      <c r="B5" s="24">
        <f>MIN(Clean_Data[OrderDate])</f>
        <v>46266</v>
      </c>
      <c r="C5" s="24"/>
      <c r="D5" s="24"/>
      <c r="E5" s="24"/>
      <c r="F5" s="24">
        <f>MAX(Clean_Data[OrderDate])</f>
        <v>46295</v>
      </c>
      <c r="G5" s="24"/>
      <c r="H5" s="24"/>
      <c r="I5" s="24"/>
      <c r="J5" s="23" t="s">
        <v>5</v>
      </c>
      <c r="K5" s="23"/>
      <c r="L5" s="23"/>
      <c r="M5" s="23"/>
      <c r="N5" s="23"/>
      <c r="O5" s="23"/>
      <c r="P5" s="23" t="s">
        <v>5</v>
      </c>
      <c r="Q5" s="23"/>
      <c r="R5" s="23"/>
      <c r="S5" s="23"/>
      <c r="T5" s="23"/>
      <c r="U5" s="23"/>
      <c r="V5" s="23"/>
      <c r="W5" s="23"/>
      <c r="X5" s="25">
        <v>30</v>
      </c>
      <c r="Y5" s="25"/>
      <c r="Z5" s="25"/>
      <c r="AA5" s="25"/>
      <c r="AB5" s="25"/>
      <c r="AC5" s="25"/>
      <c r="AD5" s="25"/>
      <c r="AE5" s="25"/>
    </row>
    <row r="6" spans="1:31" ht="23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23" customHeight="1">
      <c r="A7" s="10"/>
      <c r="B7" s="30" t="s">
        <v>6</v>
      </c>
      <c r="C7" s="30"/>
      <c r="D7" s="30"/>
      <c r="E7" s="30"/>
      <c r="F7" s="30"/>
      <c r="G7" s="30"/>
      <c r="H7" s="31" t="s">
        <v>7</v>
      </c>
      <c r="I7" s="31"/>
      <c r="J7" s="31"/>
      <c r="K7" s="31"/>
      <c r="L7" s="31"/>
      <c r="M7" s="31"/>
      <c r="N7" s="32" t="s">
        <v>8</v>
      </c>
      <c r="O7" s="32"/>
      <c r="P7" s="32"/>
      <c r="Q7" s="32"/>
      <c r="R7" s="32"/>
      <c r="S7" s="32"/>
      <c r="T7" s="33" t="s">
        <v>9</v>
      </c>
      <c r="U7" s="33"/>
      <c r="V7" s="33"/>
      <c r="W7" s="33"/>
      <c r="X7" s="33"/>
      <c r="Y7" s="33"/>
      <c r="Z7" s="34" t="s">
        <v>10</v>
      </c>
      <c r="AA7" s="34"/>
      <c r="AB7" s="34"/>
      <c r="AC7" s="34"/>
      <c r="AD7" s="34"/>
      <c r="AE7" s="34"/>
    </row>
    <row r="8" spans="1:31" ht="23" customHeight="1">
      <c r="A8" s="10"/>
      <c r="B8" s="26">
        <f>Analysis!B2</f>
        <v>310860.65000000002</v>
      </c>
      <c r="C8" s="26"/>
      <c r="D8" s="26"/>
      <c r="E8" s="26"/>
      <c r="F8" s="26"/>
      <c r="G8" s="26"/>
      <c r="H8" s="27">
        <f>Analysis!B3</f>
        <v>900</v>
      </c>
      <c r="I8" s="27"/>
      <c r="J8" s="27"/>
      <c r="K8" s="27"/>
      <c r="L8" s="27"/>
      <c r="M8" s="27"/>
      <c r="N8" s="27">
        <f>Analysis!B5</f>
        <v>284</v>
      </c>
      <c r="O8" s="27"/>
      <c r="P8" s="27"/>
      <c r="Q8" s="27"/>
      <c r="R8" s="27"/>
      <c r="S8" s="27"/>
      <c r="T8" s="28">
        <f>Analysis!B6</f>
        <v>372.73459232613914</v>
      </c>
      <c r="U8" s="28"/>
      <c r="V8" s="28"/>
      <c r="W8" s="28"/>
      <c r="X8" s="28"/>
      <c r="Y8" s="28"/>
      <c r="Z8" s="29">
        <f>Analysis!B7</f>
        <v>24.310551558752998</v>
      </c>
      <c r="AA8" s="29"/>
      <c r="AB8" s="29"/>
      <c r="AC8" s="29"/>
      <c r="AD8" s="29"/>
      <c r="AE8" s="29"/>
    </row>
    <row r="9" spans="1:31" ht="23" customHeight="1">
      <c r="A9" s="10"/>
      <c r="B9" s="26"/>
      <c r="C9" s="26"/>
      <c r="D9" s="26"/>
      <c r="E9" s="26"/>
      <c r="F9" s="26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  <c r="U9" s="28"/>
      <c r="V9" s="28"/>
      <c r="W9" s="28"/>
      <c r="X9" s="28"/>
      <c r="Y9" s="28"/>
      <c r="Z9" s="29"/>
      <c r="AA9" s="29"/>
      <c r="AB9" s="29"/>
      <c r="AC9" s="29"/>
      <c r="AD9" s="29"/>
      <c r="AE9" s="29"/>
    </row>
    <row r="10" spans="1:31" ht="23" customHeight="1">
      <c r="A10" s="10"/>
      <c r="B10" s="15" t="s">
        <v>11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23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23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23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23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23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23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23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23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23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23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23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23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23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23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23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23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23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23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23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23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23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23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23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23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23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23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23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23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ht="23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23" customHeight="1">
      <c r="A40" s="10"/>
      <c r="B40" s="22" t="s">
        <v>12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23" customHeight="1">
      <c r="A41" s="10"/>
      <c r="B41" s="16" t="s">
        <v>13</v>
      </c>
      <c r="C41" s="16"/>
      <c r="D41" s="16" t="str">
        <f>Analysis!J55</f>
        <v>Morning</v>
      </c>
      <c r="E41" s="16"/>
      <c r="F41" s="16" t="str">
        <f>Analysis!K55</f>
        <v>Afternoon</v>
      </c>
      <c r="G41" s="16"/>
      <c r="H41" s="16" t="str">
        <f>Analysis!L55</f>
        <v>Evening</v>
      </c>
      <c r="I41" s="1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ht="23" customHeight="1">
      <c r="A42" s="10"/>
      <c r="B42" s="16" t="str">
        <f>Analysis!I56</f>
        <v>Mon</v>
      </c>
      <c r="C42" s="16"/>
      <c r="D42" s="21">
        <f>Analysis!J56</f>
        <v>31</v>
      </c>
      <c r="E42" s="21"/>
      <c r="F42" s="21">
        <f>Analysis!K56</f>
        <v>39</v>
      </c>
      <c r="G42" s="21"/>
      <c r="H42" s="21">
        <f>Analysis!L56</f>
        <v>50</v>
      </c>
      <c r="I42" s="2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23" customHeight="1">
      <c r="A43" s="10"/>
      <c r="B43" s="16" t="str">
        <f>Analysis!I57</f>
        <v>Tue</v>
      </c>
      <c r="C43" s="16"/>
      <c r="D43" s="21">
        <f>Analysis!J57</f>
        <v>49</v>
      </c>
      <c r="E43" s="21"/>
      <c r="F43" s="21">
        <f>Analysis!K57</f>
        <v>39</v>
      </c>
      <c r="G43" s="21"/>
      <c r="H43" s="21">
        <f>Analysis!L57</f>
        <v>62</v>
      </c>
      <c r="I43" s="2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23" customHeight="1">
      <c r="A44" s="10"/>
      <c r="B44" s="16" t="str">
        <f>Analysis!I58</f>
        <v>Wed</v>
      </c>
      <c r="C44" s="16"/>
      <c r="D44" s="21">
        <f>Analysis!J58</f>
        <v>44</v>
      </c>
      <c r="E44" s="21"/>
      <c r="F44" s="21">
        <f>Analysis!K58</f>
        <v>41</v>
      </c>
      <c r="G44" s="21"/>
      <c r="H44" s="21">
        <f>Analysis!L58</f>
        <v>65</v>
      </c>
      <c r="I44" s="2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23" customHeight="1">
      <c r="A45" s="10"/>
      <c r="B45" s="16" t="str">
        <f>Analysis!I59</f>
        <v>Thu</v>
      </c>
      <c r="C45" s="16"/>
      <c r="D45" s="21">
        <f>Analysis!J59</f>
        <v>41</v>
      </c>
      <c r="E45" s="21"/>
      <c r="F45" s="21">
        <f>Analysis!K59</f>
        <v>38</v>
      </c>
      <c r="G45" s="21"/>
      <c r="H45" s="21">
        <f>Analysis!L59</f>
        <v>41</v>
      </c>
      <c r="I45" s="2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23" customHeight="1">
      <c r="A46" s="10"/>
      <c r="B46" s="16" t="str">
        <f>Analysis!I60</f>
        <v>Fri</v>
      </c>
      <c r="C46" s="16"/>
      <c r="D46" s="21">
        <f>Analysis!J60</f>
        <v>38</v>
      </c>
      <c r="E46" s="21"/>
      <c r="F46" s="21">
        <f>Analysis!K60</f>
        <v>48</v>
      </c>
      <c r="G46" s="21"/>
      <c r="H46" s="21">
        <f>Analysis!L60</f>
        <v>34</v>
      </c>
      <c r="I46" s="2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23" customHeight="1">
      <c r="A47" s="10"/>
      <c r="B47" s="16" t="str">
        <f>Analysis!I61</f>
        <v>Sat</v>
      </c>
      <c r="C47" s="16"/>
      <c r="D47" s="21">
        <f>Analysis!J61</f>
        <v>29</v>
      </c>
      <c r="E47" s="21"/>
      <c r="F47" s="21">
        <f>Analysis!K61</f>
        <v>41</v>
      </c>
      <c r="G47" s="21"/>
      <c r="H47" s="21">
        <f>Analysis!L61</f>
        <v>50</v>
      </c>
      <c r="I47" s="2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23" customHeight="1">
      <c r="A48" s="10"/>
      <c r="B48" s="16" t="str">
        <f>Analysis!I62</f>
        <v>Sun</v>
      </c>
      <c r="C48" s="16"/>
      <c r="D48" s="21">
        <f>Analysis!J62</f>
        <v>34</v>
      </c>
      <c r="E48" s="21"/>
      <c r="F48" s="21">
        <f>Analysis!K62</f>
        <v>49</v>
      </c>
      <c r="G48" s="21"/>
      <c r="H48" s="21">
        <f>Analysis!L62</f>
        <v>37</v>
      </c>
      <c r="I48" s="2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23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23" customHeight="1">
      <c r="A50" s="10"/>
      <c r="B50" s="15" t="s">
        <v>14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23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23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23" customHeight="1">
      <c r="A53" s="10"/>
      <c r="B53" s="18" t="s">
        <v>15</v>
      </c>
      <c r="C53" s="18"/>
      <c r="D53" s="18"/>
      <c r="E53" s="18"/>
      <c r="F53" s="18"/>
      <c r="G53" s="18" t="s">
        <v>16</v>
      </c>
      <c r="H53" s="18"/>
      <c r="I53" s="18"/>
      <c r="J53" s="18"/>
      <c r="K53" s="18"/>
      <c r="L53" s="18"/>
      <c r="M53" s="18" t="s">
        <v>17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23" customHeight="1">
      <c r="A54" s="10"/>
      <c r="B54" s="20">
        <f>Analysis!B9</f>
        <v>0.92666666666666664</v>
      </c>
      <c r="C54" s="20"/>
      <c r="D54" s="20"/>
      <c r="E54" s="20"/>
      <c r="F54" s="20"/>
      <c r="G54" s="20">
        <f>Analysis!B8</f>
        <v>0.75059952038369304</v>
      </c>
      <c r="H54" s="20"/>
      <c r="I54" s="20"/>
      <c r="J54" s="20"/>
      <c r="K54" s="20"/>
      <c r="L54" s="20"/>
      <c r="M54" s="16" t="str">
        <f>IF(Analysis!B2=0,"No delivered revenue in this selection.","Leading category: "&amp;Analysis!L2&amp;" ("&amp;TEXT(Analysis!M2/Analysis!B2,"0.0%")&amp;" of revenue)")</f>
        <v>Leading category: Beverages (26.0% of revenue)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23" customHeight="1">
      <c r="A55" s="1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6" t="str">
        <f>IF(Analysis!B3=0,"No orders in this selection.","Peak time band: "&amp;INDEX(Analysis!F21:F23,MATCH(MAX(Analysis!G21:G23),Analysis!G21:G23,0)))</f>
        <v>Peak time band: Evening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23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6" t="str">
        <f>IF(Analysis!B4=0,"Delivery performance unavailable.","On-time delivery: "&amp;TEXT(Analysis!B8,"0.0%")&amp;" at "&amp;TEXT(X5,"0")&amp;" minutes")</f>
        <v>On-time delivery: 75.1% at 30 minutes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23" customHeight="1">
      <c r="A57" s="10"/>
      <c r="B57" s="18" t="s">
        <v>18</v>
      </c>
      <c r="C57" s="18"/>
      <c r="D57" s="18"/>
      <c r="E57" s="18"/>
      <c r="F57" s="18"/>
      <c r="G57" s="18" t="s">
        <v>19</v>
      </c>
      <c r="H57" s="18"/>
      <c r="I57" s="18"/>
      <c r="J57" s="18"/>
      <c r="K57" s="18"/>
      <c r="L57" s="18"/>
      <c r="M57" s="16" t="str">
        <f>IF(Analysis!B3=0,"Cancellation rate unavailable.","Cancellation rate: "&amp;TEXT(Analysis!B11,"0.0%"))</f>
        <v>Cancellation rate: 7.3%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23" customHeight="1">
      <c r="A58" s="10"/>
      <c r="B58" s="17">
        <f>Analysis!B10</f>
        <v>9.4784172661870496</v>
      </c>
      <c r="C58" s="17"/>
      <c r="D58" s="17"/>
      <c r="E58" s="17"/>
      <c r="F58" s="17"/>
      <c r="G58" s="19">
        <f>Analysis!B12</f>
        <v>4.2505995203836928</v>
      </c>
      <c r="H58" s="19"/>
      <c r="I58" s="19"/>
      <c r="J58" s="19"/>
      <c r="K58" s="19"/>
      <c r="L58" s="1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23" customHeight="1">
      <c r="A59" s="10"/>
      <c r="B59" s="17"/>
      <c r="C59" s="17"/>
      <c r="D59" s="17"/>
      <c r="E59" s="17"/>
      <c r="F59" s="17"/>
      <c r="G59" s="19"/>
      <c r="H59" s="19"/>
      <c r="I59" s="19"/>
      <c r="J59" s="19"/>
      <c r="K59" s="19"/>
      <c r="L59" s="1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23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23" customHeight="1">
      <c r="A61" s="10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23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</sheetData>
  <mergeCells count="66">
    <mergeCell ref="X5:AE5"/>
    <mergeCell ref="B2:AE2"/>
    <mergeCell ref="B3:AE3"/>
    <mergeCell ref="B7:G7"/>
    <mergeCell ref="B8:G9"/>
    <mergeCell ref="H7:M7"/>
    <mergeCell ref="H8:M9"/>
    <mergeCell ref="N7:S7"/>
    <mergeCell ref="N8:S9"/>
    <mergeCell ref="T7:Y7"/>
    <mergeCell ref="T8:Y9"/>
    <mergeCell ref="Z7:AE7"/>
    <mergeCell ref="Z8:AE9"/>
    <mergeCell ref="B5:E5"/>
    <mergeCell ref="F5:I5"/>
    <mergeCell ref="J5:O5"/>
    <mergeCell ref="P5:W5"/>
    <mergeCell ref="B10:AE10"/>
    <mergeCell ref="B40:L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48:C48"/>
    <mergeCell ref="D48:E48"/>
    <mergeCell ref="F48:G48"/>
    <mergeCell ref="H48:I48"/>
    <mergeCell ref="B50:L50"/>
    <mergeCell ref="B61:AE61"/>
    <mergeCell ref="B58:F59"/>
    <mergeCell ref="G57:L57"/>
    <mergeCell ref="G58:L59"/>
    <mergeCell ref="M53:AE53"/>
    <mergeCell ref="M54:AE54"/>
    <mergeCell ref="M55:AE55"/>
    <mergeCell ref="M56:AE56"/>
    <mergeCell ref="M57:AE57"/>
    <mergeCell ref="B53:F53"/>
    <mergeCell ref="B54:F55"/>
    <mergeCell ref="G53:L53"/>
    <mergeCell ref="G54:L55"/>
    <mergeCell ref="B57:F57"/>
  </mergeCells>
  <conditionalFormatting sqref="D42:I48">
    <cfRule type="colorScale" priority="1">
      <colorScale>
        <cfvo type="min"/>
        <cfvo type="percentile" val="50"/>
        <cfvo type="max"/>
        <color rgb="FFF1F7F7"/>
        <color rgb="FF93CDC7"/>
        <color rgb="FF0F766E"/>
      </colorScale>
    </cfRule>
  </conditionalFormatting>
  <dataValidations count="3">
    <dataValidation type="list" sqref="J5" xr:uid="{00000000-0002-0000-0000-000000000000}">
      <formula1>ZoneOptions</formula1>
    </dataValidation>
    <dataValidation type="list" sqref="P5" xr:uid="{00000000-0002-0000-0000-000001000000}">
      <formula1>CategoryOptions</formula1>
    </dataValidation>
    <dataValidation type="whole" sqref="X5" xr:uid="{00000000-0002-0000-0000-000002000000}">
      <formula1>1</formula1>
      <formula2>120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"/>
  <sheetViews>
    <sheetView showGridLines="0" topLeftCell="A44" workbookViewId="0"/>
  </sheetViews>
  <sheetFormatPr defaultRowHeight="14"/>
  <cols>
    <col min="1" max="1" width="32" customWidth="1"/>
    <col min="2" max="2" width="23" customWidth="1"/>
    <col min="3" max="24" width="20" customWidth="1"/>
  </cols>
  <sheetData>
    <row r="1" spans="1:24" ht="28" customHeight="1">
      <c r="A1" s="6" t="s">
        <v>20</v>
      </c>
      <c r="B1" s="6" t="s">
        <v>21</v>
      </c>
      <c r="C1" s="3"/>
      <c r="D1" s="3"/>
      <c r="E1" s="3"/>
      <c r="F1" s="3"/>
      <c r="G1" s="3"/>
      <c r="H1" s="6" t="s">
        <v>3</v>
      </c>
      <c r="I1" s="6" t="s">
        <v>22</v>
      </c>
      <c r="J1" s="6" t="s">
        <v>23</v>
      </c>
      <c r="K1" s="3"/>
      <c r="L1" s="6" t="s">
        <v>3</v>
      </c>
      <c r="M1" s="6" t="s">
        <v>22</v>
      </c>
      <c r="N1" s="3"/>
      <c r="O1" s="6" t="s">
        <v>24</v>
      </c>
      <c r="P1" s="6" t="s">
        <v>22</v>
      </c>
      <c r="Q1" s="6" t="s">
        <v>23</v>
      </c>
      <c r="R1" s="3"/>
      <c r="S1" s="3"/>
      <c r="T1" s="6" t="s">
        <v>24</v>
      </c>
      <c r="U1" s="6" t="s">
        <v>22</v>
      </c>
      <c r="V1" s="3"/>
      <c r="W1" s="6" t="s">
        <v>2</v>
      </c>
      <c r="X1" s="6" t="s">
        <v>22</v>
      </c>
    </row>
    <row r="2" spans="1:24" ht="22" customHeight="1">
      <c r="A2" s="3" t="s">
        <v>25</v>
      </c>
      <c r="B2" s="11">
        <f>SUMIFS(Clean_Data[NetRevenue],Clean_Data[Include],1)</f>
        <v>310860.65000000002</v>
      </c>
      <c r="C2" s="3"/>
      <c r="D2" s="3"/>
      <c r="E2" s="3"/>
      <c r="F2" s="3"/>
      <c r="G2" s="3"/>
      <c r="H2" s="3" t="str">
        <f>IFERROR(INDEX(Clean!$G$2:$G$901,SMALL(Clean!$AC$2:$AC$901,ROWS($H$2:H2))),"")</f>
        <v>Bakery</v>
      </c>
      <c r="I2" s="11">
        <f>SUMIFS(Clean_Data[NetRevenue],Clean_Data[Category],H2,Clean_Data[Include],1)</f>
        <v>42028.75</v>
      </c>
      <c r="J2" s="3">
        <f>RANK(I2,$I$2:$I$7,0)+COUNTIFS($I$2:I2,I2)-1</f>
        <v>4</v>
      </c>
      <c r="K2" s="3"/>
      <c r="L2" s="3" t="str">
        <f t="shared" ref="L2:L7" si="0">INDEX($H$2:$H$7,MATCH(ROW()-1,$J$2:$J$7,0))</f>
        <v>Beverages</v>
      </c>
      <c r="M2" s="11">
        <f t="shared" ref="M2:M7" si="1">INDEX($I$2:$I$7,MATCH(ROW()-1,$J$2:$J$7,0))</f>
        <v>80955</v>
      </c>
      <c r="N2" s="3"/>
      <c r="O2" s="3" t="str">
        <f>IFERROR(INDEX(Clean!$H$2:$H$901,SMALL(Clean!$AD$2:$AD$901,ROWS($O$2:O2))),"")</f>
        <v>Croissants</v>
      </c>
      <c r="P2" s="11">
        <f>SUMIFS(Clean_Data[NetRevenue],Clean_Data[Product],O2,Clean_Data[Include],1)</f>
        <v>13342.75</v>
      </c>
      <c r="Q2" s="3">
        <f>RANK(P2,$P$2:$P$19,0)+COUNTIFS($P$2:P2,P2)-1</f>
        <v>10</v>
      </c>
      <c r="R2" s="3"/>
      <c r="S2" s="3"/>
      <c r="T2" s="3" t="str">
        <f>INDEX($O$2:$O$19,MATCH(ROW()-1,$Q$2:$Q$19,0))</f>
        <v>Coffee</v>
      </c>
      <c r="U2" s="11">
        <f>INDEX($P$2:$P$19,MATCH(ROW()-1,$Q$2:$Q$19,0))</f>
        <v>39468</v>
      </c>
      <c r="V2" s="3"/>
      <c r="W2" s="3" t="str">
        <f>IFERROR(INDEX(Clean!$F$2:$F$901,SMALL(Clean!$AB$2:$AB$901,ROWS($W$2:W2))),"")</f>
        <v>Central</v>
      </c>
      <c r="X2" s="11">
        <f>SUMIFS(Clean_Data[NetRevenue],Clean_Data[Zone],W2,Clean_Data[Include],1)</f>
        <v>64779.95</v>
      </c>
    </row>
    <row r="3" spans="1:24" ht="22" customHeight="1">
      <c r="A3" s="3" t="s">
        <v>26</v>
      </c>
      <c r="B3" s="3">
        <f>SUM(Clean_Data[Include])</f>
        <v>900</v>
      </c>
      <c r="C3" s="3"/>
      <c r="D3" s="3"/>
      <c r="E3" s="3"/>
      <c r="F3" s="3"/>
      <c r="G3" s="3"/>
      <c r="H3" s="3" t="str">
        <f>IFERROR(INDEX(Clean!$G$2:$G$901,SMALL(Clean!$AC$2:$AC$901,ROWS($H$2:H3))),"")</f>
        <v>Household</v>
      </c>
      <c r="I3" s="11">
        <f>SUMIFS(Clean_Data[NetRevenue],Clean_Data[Category],H3,Clean_Data[Include],1)</f>
        <v>68024.75</v>
      </c>
      <c r="J3" s="3">
        <f>RANK(I3,$I$2:$I$7,0)+COUNTIFS($I$2:I3,I3)-1</f>
        <v>2</v>
      </c>
      <c r="K3" s="3"/>
      <c r="L3" s="3" t="str">
        <f t="shared" si="0"/>
        <v>Household</v>
      </c>
      <c r="M3" s="11">
        <f t="shared" si="1"/>
        <v>68024.75</v>
      </c>
      <c r="N3" s="3"/>
      <c r="O3" s="3" t="str">
        <f>IFERROR(INDEX(Clean!$H$2:$H$901,SMALL(Clean!$AD$2:$AD$901,ROWS($O$2:O3))),"")</f>
        <v>Dish soap</v>
      </c>
      <c r="P3" s="11">
        <f>SUMIFS(Clean_Data[NetRevenue],Clean_Data[Product],O3,Clean_Data[Include],1)</f>
        <v>18918</v>
      </c>
      <c r="Q3" s="3">
        <f>RANK(P3,$P$2:$P$19,0)+COUNTIFS($P$2:P3,P3)-1</f>
        <v>8</v>
      </c>
      <c r="R3" s="3"/>
      <c r="S3" s="3"/>
      <c r="T3" s="3" t="str">
        <f>INDEX($O$2:$O$19,MATCH(ROW()-1,$Q$2:$Q$19,0))</f>
        <v>Detergent</v>
      </c>
      <c r="U3" s="11">
        <f>INDEX($P$2:$P$19,MATCH(ROW()-1,$Q$2:$Q$19,0))</f>
        <v>36684</v>
      </c>
      <c r="V3" s="3"/>
      <c r="W3" s="3" t="str">
        <f>IFERROR(INDEX(Clean!$F$2:$F$901,SMALL(Clean!$AB$2:$AB$901,ROWS($W$2:W3))),"")</f>
        <v>West</v>
      </c>
      <c r="X3" s="11">
        <f>SUMIFS(Clean_Data[NetRevenue],Clean_Data[Zone],W3,Clean_Data[Include],1)</f>
        <v>67256</v>
      </c>
    </row>
    <row r="4" spans="1:24" ht="22" customHeight="1">
      <c r="A4" s="3" t="s">
        <v>27</v>
      </c>
      <c r="B4" s="3">
        <f>SUM(Clean_Data[DeliveredInclude])</f>
        <v>834</v>
      </c>
      <c r="C4" s="3"/>
      <c r="D4" s="3"/>
      <c r="E4" s="3"/>
      <c r="F4" s="3"/>
      <c r="G4" s="3"/>
      <c r="H4" s="3" t="str">
        <f>IFERROR(INDEX(Clean!$G$2:$G$901,SMALL(Clean!$AC$2:$AC$901,ROWS($H$2:H4))),"")</f>
        <v>Beverages</v>
      </c>
      <c r="I4" s="11">
        <f>SUMIFS(Clean_Data[NetRevenue],Clean_Data[Category],H4,Clean_Data[Include],1)</f>
        <v>80955</v>
      </c>
      <c r="J4" s="3">
        <f>RANK(I4,$I$2:$I$7,0)+COUNTIFS($I$2:I4,I4)-1</f>
        <v>1</v>
      </c>
      <c r="K4" s="3"/>
      <c r="L4" s="3" t="str">
        <f t="shared" si="0"/>
        <v>Snacks</v>
      </c>
      <c r="M4" s="11">
        <f t="shared" si="1"/>
        <v>43950</v>
      </c>
      <c r="N4" s="3"/>
      <c r="O4" s="3" t="str">
        <f>IFERROR(INDEX(Clean!$H$2:$H$901,SMALL(Clean!$AD$2:$AD$901,ROWS($O$2:O4))),"")</f>
        <v>Detergent</v>
      </c>
      <c r="P4" s="11">
        <f>SUMIFS(Clean_Data[NetRevenue],Clean_Data[Product],O4,Clean_Data[Include],1)</f>
        <v>36684</v>
      </c>
      <c r="Q4" s="3">
        <f>RANK(P4,$P$2:$P$19,0)+COUNTIFS($P$2:P4,P4)-1</f>
        <v>2</v>
      </c>
      <c r="R4" s="3"/>
      <c r="S4" s="3"/>
      <c r="T4" s="3" t="str">
        <f>INDEX($O$2:$O$19,MATCH(ROW()-1,$Q$2:$Q$19,0))</f>
        <v>Nuts</v>
      </c>
      <c r="U4" s="11">
        <f>INDEX($P$2:$P$19,MATCH(ROW()-1,$Q$2:$Q$19,0))</f>
        <v>30591</v>
      </c>
      <c r="V4" s="3"/>
      <c r="W4" s="3" t="str">
        <f>IFERROR(INDEX(Clean!$F$2:$F$901,SMALL(Clean!$AB$2:$AB$901,ROWS($W$2:W4))),"")</f>
        <v>North</v>
      </c>
      <c r="X4" s="11">
        <f>SUMIFS(Clean_Data[NetRevenue],Clean_Data[Zone],W4,Clean_Data[Include],1)</f>
        <v>62780.45</v>
      </c>
    </row>
    <row r="5" spans="1:24" ht="22" customHeight="1">
      <c r="A5" s="3" t="s">
        <v>28</v>
      </c>
      <c r="B5" s="3">
        <f>SUM(Customers!C2:C289)</f>
        <v>284</v>
      </c>
      <c r="C5" s="3"/>
      <c r="D5" s="3"/>
      <c r="E5" s="3"/>
      <c r="F5" s="3"/>
      <c r="G5" s="3"/>
      <c r="H5" s="3" t="str">
        <f>IFERROR(INDEX(Clean!$G$2:$G$901,SMALL(Clean!$AC$2:$AC$901,ROWS($H$2:H5))),"")</f>
        <v>Produce</v>
      </c>
      <c r="I5" s="11">
        <f>SUMIFS(Clean_Data[NetRevenue],Clean_Data[Category],H5,Clean_Data[Include],1)</f>
        <v>35687</v>
      </c>
      <c r="J5" s="3">
        <f>RANK(I5,$I$2:$I$7,0)+COUNTIFS($I$2:I5,I5)-1</f>
        <v>6</v>
      </c>
      <c r="K5" s="3"/>
      <c r="L5" s="3" t="str">
        <f t="shared" si="0"/>
        <v>Bakery</v>
      </c>
      <c r="M5" s="11">
        <f t="shared" si="1"/>
        <v>42028.75</v>
      </c>
      <c r="N5" s="3"/>
      <c r="O5" s="3" t="str">
        <f>IFERROR(INDEX(Clean!$H$2:$H$901,SMALL(Clean!$AD$2:$AD$901,ROWS($O$2:O5))),"")</f>
        <v>Juice</v>
      </c>
      <c r="P5" s="11">
        <f>SUMIFS(Clean_Data[NetRevenue],Clean_Data[Product],O5,Clean_Data[Include],1)</f>
        <v>13552.75</v>
      </c>
      <c r="Q5" s="3">
        <f>RANK(P5,$P$2:$P$19,0)+COUNTIFS($P$2:P5,P5)-1</f>
        <v>9</v>
      </c>
      <c r="R5" s="3"/>
      <c r="S5" s="3"/>
      <c r="T5" s="3" t="str">
        <f>INDEX($O$2:$O$19,MATCH(ROW()-1,$Q$2:$Q$19,0))</f>
        <v>Tea</v>
      </c>
      <c r="U5" s="11">
        <f>INDEX($P$2:$P$19,MATCH(ROW()-1,$Q$2:$Q$19,0))</f>
        <v>27934.25</v>
      </c>
      <c r="V5" s="3"/>
      <c r="W5" s="3" t="str">
        <f>IFERROR(INDEX(Clean!$F$2:$F$901,SMALL(Clean!$AB$2:$AB$901,ROWS($W$2:W5))),"")</f>
        <v>South</v>
      </c>
      <c r="X5" s="11">
        <f>SUMIFS(Clean_Data[NetRevenue],Clean_Data[Zone],W5,Clean_Data[Include],1)</f>
        <v>55896.3</v>
      </c>
    </row>
    <row r="6" spans="1:24" ht="22" customHeight="1">
      <c r="A6" s="3" t="s">
        <v>29</v>
      </c>
      <c r="B6" s="11">
        <f>IF(B4=0,"n.a.",B2/B4)</f>
        <v>372.73459232613914</v>
      </c>
      <c r="C6" s="3"/>
      <c r="D6" s="3"/>
      <c r="E6" s="3"/>
      <c r="F6" s="3"/>
      <c r="G6" s="3"/>
      <c r="H6" s="3" t="str">
        <f>IFERROR(INDEX(Clean!$G$2:$G$901,SMALL(Clean!$AC$2:$AC$901,ROWS($H$2:H6))),"")</f>
        <v>Snacks</v>
      </c>
      <c r="I6" s="11">
        <f>SUMIFS(Clean_Data[NetRevenue],Clean_Data[Category],H6,Clean_Data[Include],1)</f>
        <v>43950</v>
      </c>
      <c r="J6" s="3">
        <f>RANK(I6,$I$2:$I$7,0)+COUNTIFS($I$2:I6,I6)-1</f>
        <v>3</v>
      </c>
      <c r="K6" s="3"/>
      <c r="L6" s="3" t="str">
        <f t="shared" si="0"/>
        <v>Dairy</v>
      </c>
      <c r="M6" s="11">
        <f t="shared" si="1"/>
        <v>40215.149999999994</v>
      </c>
      <c r="N6" s="3"/>
      <c r="O6" s="3" t="str">
        <f>IFERROR(INDEX(Clean!$H$2:$H$901,SMALL(Clean!$AD$2:$AD$901,ROWS($O$2:O6))),"")</f>
        <v>Tea</v>
      </c>
      <c r="P6" s="11">
        <f>SUMIFS(Clean_Data[NetRevenue],Clean_Data[Product],O6,Clean_Data[Include],1)</f>
        <v>27934.25</v>
      </c>
      <c r="Q6" s="3">
        <f>RANK(P6,$P$2:$P$19,0)+COUNTIFS($P$2:P6,P6)-1</f>
        <v>4</v>
      </c>
      <c r="R6" s="3"/>
      <c r="S6" s="3"/>
      <c r="T6" s="3" t="str">
        <f>INDEX($O$2:$O$19,MATCH(ROW()-1,$Q$2:$Q$19,0))</f>
        <v>Apples</v>
      </c>
      <c r="U6" s="11">
        <f>INDEX($P$2:$P$19,MATCH(ROW()-1,$Q$2:$Q$19,0))</f>
        <v>24440</v>
      </c>
      <c r="V6" s="3"/>
      <c r="W6" s="3" t="str">
        <f>IFERROR(INDEX(Clean!$F$2:$F$901,SMALL(Clean!$AB$2:$AB$901,ROWS($W$2:W6))),"")</f>
        <v>East</v>
      </c>
      <c r="X6" s="11">
        <f>SUMIFS(Clean_Data[NetRevenue],Clean_Data[Zone],W6,Clean_Data[Include],1)</f>
        <v>60147.95</v>
      </c>
    </row>
    <row r="7" spans="1:24" ht="22" customHeight="1">
      <c r="A7" s="3" t="s">
        <v>30</v>
      </c>
      <c r="B7" s="8">
        <f>IF(B4=0,"n.a.",SUMIFS(Clean_Data[DeliveryMinutes],Clean_Data[DeliveredInclude],1)/B4)</f>
        <v>24.310551558752998</v>
      </c>
      <c r="C7" s="3"/>
      <c r="D7" s="3"/>
      <c r="E7" s="3"/>
      <c r="F7" s="3"/>
      <c r="G7" s="3"/>
      <c r="H7" s="3" t="str">
        <f>IFERROR(INDEX(Clean!$G$2:$G$901,SMALL(Clean!$AC$2:$AC$901,ROWS($H$2:H7))),"")</f>
        <v>Dairy</v>
      </c>
      <c r="I7" s="11">
        <f>SUMIFS(Clean_Data[NetRevenue],Clean_Data[Category],H7,Clean_Data[Include],1)</f>
        <v>40215.149999999994</v>
      </c>
      <c r="J7" s="3">
        <f>RANK(I7,$I$2:$I$7,0)+COUNTIFS($I$2:I7,I7)-1</f>
        <v>5</v>
      </c>
      <c r="K7" s="3"/>
      <c r="L7" s="3" t="str">
        <f t="shared" si="0"/>
        <v>Produce</v>
      </c>
      <c r="M7" s="11">
        <f t="shared" si="1"/>
        <v>35687</v>
      </c>
      <c r="N7" s="3"/>
      <c r="O7" s="3" t="str">
        <f>IFERROR(INDEX(Clean!$H$2:$H$901,SMALL(Clean!$AD$2:$AD$901,ROWS($O$2:O7))),"")</f>
        <v>Bread</v>
      </c>
      <c r="P7" s="11">
        <f>SUMIFS(Clean_Data[NetRevenue],Clean_Data[Product],O7,Clean_Data[Include],1)</f>
        <v>7582.5</v>
      </c>
      <c r="Q7" s="3">
        <f>RANK(P7,$P$2:$P$19,0)+COUNTIFS($P$2:P7,P7)-1</f>
        <v>15</v>
      </c>
      <c r="R7" s="3"/>
      <c r="S7" s="3"/>
      <c r="T7" s="3"/>
      <c r="U7" s="3"/>
      <c r="V7" s="3"/>
      <c r="W7" s="3"/>
      <c r="X7" s="3"/>
    </row>
    <row r="8" spans="1:24" ht="22" customHeight="1">
      <c r="A8" s="3" t="s">
        <v>31</v>
      </c>
      <c r="B8" s="4">
        <f>IF(B4=0,"n.a.",COUNTIFS(Clean_Data[DeliveredInclude],1,Clean_Data[OnTime],1)/B4)</f>
        <v>0.75059952038369304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tr">
        <f>IFERROR(INDEX(Clean!$H$2:$H$901,SMALL(Clean!$AD$2:$AD$901,ROWS($O$2:O8))),"")</f>
        <v>Tomatoes</v>
      </c>
      <c r="P8" s="11">
        <f>SUMIFS(Clean_Data[NetRevenue],Clean_Data[Product],O8,Clean_Data[Include],1)</f>
        <v>5917.5</v>
      </c>
      <c r="Q8" s="3">
        <f>RANK(P8,$P$2:$P$19,0)+COUNTIFS($P$2:P8,P8)-1</f>
        <v>16</v>
      </c>
      <c r="R8" s="3"/>
      <c r="S8" s="3"/>
      <c r="T8" s="3"/>
      <c r="U8" s="3"/>
      <c r="V8" s="3"/>
      <c r="W8" s="3"/>
      <c r="X8" s="3"/>
    </row>
    <row r="9" spans="1:24" ht="22" customHeight="1">
      <c r="A9" s="3" t="s">
        <v>32</v>
      </c>
      <c r="B9" s="4">
        <f>IF(B3=0,"n.a.",B4/B3)</f>
        <v>0.92666666666666664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tr">
        <f>IFERROR(INDEX(Clean!$H$2:$H$901,SMALL(Clean!$AD$2:$AD$901,ROWS($O$2:O9))),"")</f>
        <v>Tissues</v>
      </c>
      <c r="P9" s="11">
        <f>SUMIFS(Clean_Data[NetRevenue],Clean_Data[Product],O9,Clean_Data[Include],1)</f>
        <v>12422.75</v>
      </c>
      <c r="Q9" s="3">
        <f>RANK(P9,$P$2:$P$19,0)+COUNTIFS($P$2:P9,P9)-1</f>
        <v>11</v>
      </c>
      <c r="R9" s="3"/>
      <c r="S9" s="3"/>
      <c r="T9" s="3"/>
      <c r="U9" s="3"/>
      <c r="V9" s="3"/>
      <c r="W9" s="3"/>
      <c r="X9" s="3"/>
    </row>
    <row r="10" spans="1:24" ht="22" customHeight="1">
      <c r="A10" s="3" t="s">
        <v>33</v>
      </c>
      <c r="B10" s="5">
        <f>IF(B4=0,"n.a.",SUMIFS(Clean_Data[FulfilmentMinutes],Clean_Data[DeliveredInclude],1)/B4)</f>
        <v>9.4784172661870496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tr">
        <f>IFERROR(INDEX(Clean!$H$2:$H$901,SMALL(Clean!$AD$2:$AD$901,ROWS($O$2:O10))),"")</f>
        <v>Chips</v>
      </c>
      <c r="P10" s="11">
        <f>SUMIFS(Clean_Data[NetRevenue],Clean_Data[Product],O10,Clean_Data[Include],1)</f>
        <v>4974</v>
      </c>
      <c r="Q10" s="3">
        <f>RANK(P10,$P$2:$P$19,0)+COUNTIFS($P$2:P10,P10)-1</f>
        <v>18</v>
      </c>
      <c r="R10" s="3"/>
      <c r="S10" s="3"/>
      <c r="T10" s="3"/>
      <c r="U10" s="3"/>
      <c r="V10" s="3"/>
      <c r="W10" s="3"/>
      <c r="X10" s="3"/>
    </row>
    <row r="11" spans="1:24" ht="22" customHeight="1">
      <c r="A11" s="3" t="s">
        <v>34</v>
      </c>
      <c r="B11" s="4">
        <f>IF(B3=0,"n.a.",(B3-B4)/B3)</f>
        <v>7.3333333333333334E-2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tr">
        <f>IFERROR(INDEX(Clean!$H$2:$H$901,SMALL(Clean!$AD$2:$AD$901,ROWS($O$2:O11))),"")</f>
        <v>Cookies</v>
      </c>
      <c r="P11" s="11">
        <f>SUMIFS(Clean_Data[NetRevenue],Clean_Data[Product],O11,Clean_Data[Include],1)</f>
        <v>21103.5</v>
      </c>
      <c r="Q11" s="3">
        <f>RANK(P11,$P$2:$P$19,0)+COUNTIFS($P$2:P11,P11)-1</f>
        <v>6</v>
      </c>
      <c r="R11" s="3"/>
      <c r="S11" s="3"/>
      <c r="T11" s="3"/>
      <c r="U11" s="3"/>
      <c r="V11" s="3"/>
      <c r="W11" s="3"/>
      <c r="X11" s="3"/>
    </row>
    <row r="12" spans="1:24" ht="22" customHeight="1">
      <c r="A12" s="3" t="s">
        <v>35</v>
      </c>
      <c r="B12" s="5">
        <f>IF(B4=0,"n.a.",SUMIFS(Clean_Data[Rating],Clean_Data[DeliveredInclude],1)/B4)</f>
        <v>4.2505995203836928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tr">
        <f>IFERROR(INDEX(Clean!$H$2:$H$901,SMALL(Clean!$AD$2:$AD$901,ROWS($O$2:O12))),"")</f>
        <v>Apples</v>
      </c>
      <c r="P12" s="11">
        <f>SUMIFS(Clean_Data[NetRevenue],Clean_Data[Product],O12,Clean_Data[Include],1)</f>
        <v>24440</v>
      </c>
      <c r="Q12" s="3">
        <f>RANK(P12,$P$2:$P$19,0)+COUNTIFS($P$2:P12,P12)-1</f>
        <v>5</v>
      </c>
      <c r="R12" s="3"/>
      <c r="S12" s="3"/>
      <c r="T12" s="3"/>
      <c r="U12" s="3"/>
      <c r="V12" s="3"/>
      <c r="W12" s="3"/>
      <c r="X12" s="3"/>
    </row>
    <row r="13" spans="1:24" ht="2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tr">
        <f>IFERROR(INDEX(Clean!$H$2:$H$901,SMALL(Clean!$AD$2:$AD$901,ROWS($O$2:O13))),"")</f>
        <v>Nuts</v>
      </c>
      <c r="P13" s="11">
        <f>SUMIFS(Clean_Data[NetRevenue],Clean_Data[Product],O13,Clean_Data[Include],1)</f>
        <v>30591</v>
      </c>
      <c r="Q13" s="3">
        <f>RANK(P13,$P$2:$P$19,0)+COUNTIFS($P$2:P13,P13)-1</f>
        <v>3</v>
      </c>
      <c r="R13" s="3"/>
      <c r="S13" s="3"/>
      <c r="T13" s="3"/>
      <c r="U13" s="3"/>
      <c r="V13" s="3"/>
      <c r="W13" s="3"/>
      <c r="X13" s="3"/>
    </row>
    <row r="14" spans="1:24" ht="2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tr">
        <f>IFERROR(INDEX(Clean!$H$2:$H$901,SMALL(Clean!$AD$2:$AD$901,ROWS($O$2:O14))),"")</f>
        <v>Cheese</v>
      </c>
      <c r="P14" s="11">
        <f>SUMIFS(Clean_Data[NetRevenue],Clean_Data[Product],O14,Clean_Data[Include],1)</f>
        <v>20839.75</v>
      </c>
      <c r="Q14" s="3">
        <f>RANK(P14,$P$2:$P$19,0)+COUNTIFS($P$2:P14,P14)-1</f>
        <v>7</v>
      </c>
      <c r="R14" s="3"/>
      <c r="S14" s="3"/>
      <c r="T14" s="3"/>
      <c r="U14" s="3"/>
      <c r="V14" s="3"/>
      <c r="W14" s="3"/>
      <c r="X14" s="3"/>
    </row>
    <row r="15" spans="1:24" ht="2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tr">
        <f>IFERROR(INDEX(Clean!$H$2:$H$901,SMALL(Clean!$AD$2:$AD$901,ROWS($O$2:O15))),"")</f>
        <v>Milk</v>
      </c>
      <c r="P15" s="11">
        <f>SUMIFS(Clean_Data[NetRevenue],Clean_Data[Product],O15,Clean_Data[Include],1)</f>
        <v>9389.9000000000015</v>
      </c>
      <c r="Q15" s="3">
        <f>RANK(P15,$P$2:$P$19,0)+COUNTIFS($P$2:P15,P15)-1</f>
        <v>13</v>
      </c>
      <c r="R15" s="3"/>
      <c r="S15" s="3"/>
      <c r="T15" s="3"/>
      <c r="U15" s="3"/>
      <c r="V15" s="3"/>
      <c r="W15" s="3"/>
      <c r="X15" s="3"/>
    </row>
    <row r="16" spans="1:24" ht="2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tr">
        <f>IFERROR(INDEX(Clean!$H$2:$H$901,SMALL(Clean!$AD$2:$AD$901,ROWS($O$2:O16))),"")</f>
        <v>Coffee</v>
      </c>
      <c r="P16" s="11">
        <f>SUMIFS(Clean_Data[NetRevenue],Clean_Data[Product],O16,Clean_Data[Include],1)</f>
        <v>39468</v>
      </c>
      <c r="Q16" s="3">
        <f>RANK(P16,$P$2:$P$19,0)+COUNTIFS($P$2:P16,P16)-1</f>
        <v>1</v>
      </c>
      <c r="R16" s="3"/>
      <c r="S16" s="3"/>
      <c r="T16" s="3"/>
      <c r="U16" s="3"/>
      <c r="V16" s="3"/>
      <c r="W16" s="3"/>
      <c r="X16" s="3"/>
    </row>
    <row r="17" spans="1:24" ht="2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tr">
        <f>IFERROR(INDEX(Clean!$H$2:$H$901,SMALL(Clean!$AD$2:$AD$901,ROWS($O$2:O17))),"")</f>
        <v>Bananas</v>
      </c>
      <c r="P17" s="11">
        <f>SUMIFS(Clean_Data[NetRevenue],Clean_Data[Product],O17,Clean_Data[Include],1)</f>
        <v>5329.5</v>
      </c>
      <c r="Q17" s="3">
        <f>RANK(P17,$P$2:$P$19,0)+COUNTIFS($P$2:P17,P17)-1</f>
        <v>17</v>
      </c>
      <c r="R17" s="3"/>
      <c r="S17" s="3"/>
      <c r="T17" s="3"/>
      <c r="U17" s="3"/>
      <c r="V17" s="3"/>
      <c r="W17" s="3"/>
      <c r="X17" s="3"/>
    </row>
    <row r="18" spans="1:24" ht="2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tr">
        <f>IFERROR(INDEX(Clean!$H$2:$H$901,SMALL(Clean!$AD$2:$AD$901,ROWS($O$2:O18))),"")</f>
        <v>Popcorn</v>
      </c>
      <c r="P18" s="11">
        <f>SUMIFS(Clean_Data[NetRevenue],Clean_Data[Product],O18,Clean_Data[Include],1)</f>
        <v>8385</v>
      </c>
      <c r="Q18" s="3">
        <f>RANK(P18,$P$2:$P$19,0)+COUNTIFS($P$2:P18,P18)-1</f>
        <v>14</v>
      </c>
      <c r="R18" s="3"/>
      <c r="S18" s="3"/>
      <c r="T18" s="3"/>
      <c r="U18" s="3"/>
      <c r="V18" s="3"/>
      <c r="W18" s="3"/>
      <c r="X18" s="3"/>
    </row>
    <row r="19" spans="1:24" ht="2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tr">
        <f>IFERROR(INDEX(Clean!$H$2:$H$901,SMALL(Clean!$AD$2:$AD$901,ROWS($O$2:O19))),"")</f>
        <v>Yogurt</v>
      </c>
      <c r="P19" s="11">
        <f>SUMIFS(Clean_Data[NetRevenue],Clean_Data[Product],O19,Clean_Data[Include],1)</f>
        <v>9985.5</v>
      </c>
      <c r="Q19" s="3">
        <f>RANK(P19,$P$2:$P$19,0)+COUNTIFS($P$2:P19,P19)-1</f>
        <v>12</v>
      </c>
      <c r="R19" s="3"/>
      <c r="S19" s="3"/>
      <c r="T19" s="3"/>
      <c r="U19" s="3"/>
      <c r="V19" s="3"/>
      <c r="W19" s="3"/>
      <c r="X19" s="3"/>
    </row>
    <row r="20" spans="1:24" ht="28" customHeight="1">
      <c r="A20" s="6" t="s">
        <v>36</v>
      </c>
      <c r="B20" s="6" t="s">
        <v>22</v>
      </c>
      <c r="C20" s="6" t="s">
        <v>37</v>
      </c>
      <c r="D20" s="6" t="s">
        <v>38</v>
      </c>
      <c r="E20" s="6" t="s">
        <v>39</v>
      </c>
      <c r="F20" s="6" t="s">
        <v>40</v>
      </c>
      <c r="G20" s="6" t="s">
        <v>37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" customHeight="1">
      <c r="A21" s="2">
        <f>IF(MIN(Clean_Data[OrderDate])+ROWS($A$21:A21)-1&lt;=MAX(Clean_Data[OrderDate]),MIN(Clean_Data[OrderDate])+ROWS($A$21:A21)-1,"")</f>
        <v>46266</v>
      </c>
      <c r="B21" s="11">
        <f>SUMIFS(Clean_Data[NetRevenue],Clean_Data[OrderDate],A21,Clean_Data[Include],1)</f>
        <v>9906.25</v>
      </c>
      <c r="C21" s="3">
        <f>COUNTIFS(Clean_Data[OrderDate],A21,Clean_Data[Include],1)</f>
        <v>30</v>
      </c>
      <c r="D21" s="3" t="str">
        <f t="shared" ref="D21:D50" si="2">TEXT(A21,"dd-mmm")</f>
        <v>01-Sep</v>
      </c>
      <c r="E21" s="3">
        <f>IFERROR(SMALL(Clean!$AE$2:$AE$901,ROWS($E$21:E21)),"")</f>
        <v>2</v>
      </c>
      <c r="F21" s="3" t="str">
        <f>INDEX(Clean_Data[TimeBand],MATCH(E21,Clean_Data[TimeBandNo],0))</f>
        <v>Morning</v>
      </c>
      <c r="G21" s="3">
        <f>COUNTIFS(Clean_Data[TimeBandNo],E21,Clean_Data[Include],1)</f>
        <v>266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" customHeight="1">
      <c r="A22" s="2">
        <f>IF(MIN(Clean_Data[OrderDate])+ROWS($A$21:A22)-1&lt;=MAX(Clean_Data[OrderDate]),MIN(Clean_Data[OrderDate])+ROWS($A$21:A22)-1,"")</f>
        <v>46267</v>
      </c>
      <c r="B22" s="11">
        <f>SUMIFS(Clean_Data[NetRevenue],Clean_Data[OrderDate],A22,Clean_Data[Include],1)</f>
        <v>8997.15</v>
      </c>
      <c r="C22" s="3">
        <f>COUNTIFS(Clean_Data[OrderDate],A22,Clean_Data[Include],1)</f>
        <v>30</v>
      </c>
      <c r="D22" s="3" t="str">
        <f t="shared" si="2"/>
        <v>02-Sep</v>
      </c>
      <c r="E22" s="3">
        <f>IFERROR(SMALL(Clean!$AE$2:$AE$901,ROWS($E$21:E22)),"")</f>
        <v>3</v>
      </c>
      <c r="F22" s="3" t="str">
        <f>INDEX(Clean_Data[TimeBand],MATCH(E22,Clean_Data[TimeBandNo],0))</f>
        <v>Afternoon</v>
      </c>
      <c r="G22" s="3">
        <f>COUNTIFS(Clean_Data[TimeBandNo],E22,Clean_Data[Include],1)</f>
        <v>295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" customHeight="1">
      <c r="A23" s="2">
        <f>IF(MIN(Clean_Data[OrderDate])+ROWS($A$21:A23)-1&lt;=MAX(Clean_Data[OrderDate]),MIN(Clean_Data[OrderDate])+ROWS($A$21:A23)-1,"")</f>
        <v>46268</v>
      </c>
      <c r="B23" s="11">
        <f>SUMIFS(Clean_Data[NetRevenue],Clean_Data[OrderDate],A23,Clean_Data[Include],1)</f>
        <v>9217.75</v>
      </c>
      <c r="C23" s="3">
        <f>COUNTIFS(Clean_Data[OrderDate],A23,Clean_Data[Include],1)</f>
        <v>30</v>
      </c>
      <c r="D23" s="3" t="str">
        <f t="shared" si="2"/>
        <v>03-Sep</v>
      </c>
      <c r="E23" s="3">
        <f>IFERROR(SMALL(Clean!$AE$2:$AE$901,ROWS($E$21:E23)),"")</f>
        <v>4</v>
      </c>
      <c r="F23" s="3" t="str">
        <f>INDEX(Clean_Data[TimeBand],MATCH(E23,Clean_Data[TimeBandNo],0))</f>
        <v>Evening</v>
      </c>
      <c r="G23" s="3">
        <f>COUNTIFS(Clean_Data[TimeBandNo],E23,Clean_Data[Include],1)</f>
        <v>339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" customHeight="1">
      <c r="A24" s="2">
        <f>IF(MIN(Clean_Data[OrderDate])+ROWS($A$21:A24)-1&lt;=MAX(Clean_Data[OrderDate]),MIN(Clean_Data[OrderDate])+ROWS($A$21:A24)-1,"")</f>
        <v>46269</v>
      </c>
      <c r="B24" s="11">
        <f>SUMIFS(Clean_Data[NetRevenue],Clean_Data[OrderDate],A24,Clean_Data[Include],1)</f>
        <v>13605.35</v>
      </c>
      <c r="C24" s="3">
        <f>COUNTIFS(Clean_Data[OrderDate],A24,Clean_Data[Include],1)</f>
        <v>30</v>
      </c>
      <c r="D24" s="3" t="str">
        <f t="shared" si="2"/>
        <v>04-Sep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" customHeight="1">
      <c r="A25" s="2">
        <f>IF(MIN(Clean_Data[OrderDate])+ROWS($A$21:A25)-1&lt;=MAX(Clean_Data[OrderDate]),MIN(Clean_Data[OrderDate])+ROWS($A$21:A25)-1,"")</f>
        <v>46270</v>
      </c>
      <c r="B25" s="11">
        <f>SUMIFS(Clean_Data[NetRevenue],Clean_Data[OrderDate],A25,Clean_Data[Include],1)</f>
        <v>11834.95</v>
      </c>
      <c r="C25" s="3">
        <f>COUNTIFS(Clean_Data[OrderDate],A25,Clean_Data[Include],1)</f>
        <v>30</v>
      </c>
      <c r="D25" s="3" t="str">
        <f t="shared" si="2"/>
        <v>05-Sep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" customHeight="1">
      <c r="A26" s="2">
        <f>IF(MIN(Clean_Data[OrderDate])+ROWS($A$21:A26)-1&lt;=MAX(Clean_Data[OrderDate]),MIN(Clean_Data[OrderDate])+ROWS($A$21:A26)-1,"")</f>
        <v>46271</v>
      </c>
      <c r="B26" s="11">
        <f>SUMIFS(Clean_Data[NetRevenue],Clean_Data[OrderDate],A26,Clean_Data[Include],1)</f>
        <v>9340.2000000000007</v>
      </c>
      <c r="C26" s="3">
        <f>COUNTIFS(Clean_Data[OrderDate],A26,Clean_Data[Include],1)</f>
        <v>30</v>
      </c>
      <c r="D26" s="3" t="str">
        <f t="shared" si="2"/>
        <v>06-Sep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" customHeight="1">
      <c r="A27" s="2">
        <f>IF(MIN(Clean_Data[OrderDate])+ROWS($A$21:A27)-1&lt;=MAX(Clean_Data[OrderDate]),MIN(Clean_Data[OrderDate])+ROWS($A$21:A27)-1,"")</f>
        <v>46272</v>
      </c>
      <c r="B27" s="11">
        <f>SUMIFS(Clean_Data[NetRevenue],Clean_Data[OrderDate],A27,Clean_Data[Include],1)</f>
        <v>8267.5</v>
      </c>
      <c r="C27" s="3">
        <f>COUNTIFS(Clean_Data[OrderDate],A27,Clean_Data[Include],1)</f>
        <v>30</v>
      </c>
      <c r="D27" s="3" t="str">
        <f t="shared" si="2"/>
        <v>07-Sep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" customHeight="1">
      <c r="A28" s="2">
        <f>IF(MIN(Clean_Data[OrderDate])+ROWS($A$21:A28)-1&lt;=MAX(Clean_Data[OrderDate]),MIN(Clean_Data[OrderDate])+ROWS($A$21:A28)-1,"")</f>
        <v>46273</v>
      </c>
      <c r="B28" s="11">
        <f>SUMIFS(Clean_Data[NetRevenue],Clean_Data[OrderDate],A28,Clean_Data[Include],1)</f>
        <v>12269.25</v>
      </c>
      <c r="C28" s="3">
        <f>COUNTIFS(Clean_Data[OrderDate],A28,Clean_Data[Include],1)</f>
        <v>30</v>
      </c>
      <c r="D28" s="3" t="str">
        <f t="shared" si="2"/>
        <v>08-Sep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" customHeight="1">
      <c r="A29" s="2">
        <f>IF(MIN(Clean_Data[OrderDate])+ROWS($A$21:A29)-1&lt;=MAX(Clean_Data[OrderDate]),MIN(Clean_Data[OrderDate])+ROWS($A$21:A29)-1,"")</f>
        <v>46274</v>
      </c>
      <c r="B29" s="11">
        <f>SUMIFS(Clean_Data[NetRevenue],Clean_Data[OrderDate],A29,Clean_Data[Include],1)</f>
        <v>9703.75</v>
      </c>
      <c r="C29" s="3">
        <f>COUNTIFS(Clean_Data[OrderDate],A29,Clean_Data[Include],1)</f>
        <v>30</v>
      </c>
      <c r="D29" s="3" t="str">
        <f t="shared" si="2"/>
        <v>09-Sep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" customHeight="1">
      <c r="A30" s="2">
        <f>IF(MIN(Clean_Data[OrderDate])+ROWS($A$21:A30)-1&lt;=MAX(Clean_Data[OrderDate]),MIN(Clean_Data[OrderDate])+ROWS($A$21:A30)-1,"")</f>
        <v>46275</v>
      </c>
      <c r="B30" s="11">
        <f>SUMIFS(Clean_Data[NetRevenue],Clean_Data[OrderDate],A30,Clean_Data[Include],1)</f>
        <v>10117.25</v>
      </c>
      <c r="C30" s="3">
        <f>COUNTIFS(Clean_Data[OrderDate],A30,Clean_Data[Include],1)</f>
        <v>30</v>
      </c>
      <c r="D30" s="3" t="str">
        <f t="shared" si="2"/>
        <v>10-Sep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" customHeight="1">
      <c r="A31" s="2">
        <f>IF(MIN(Clean_Data[OrderDate])+ROWS($A$21:A31)-1&lt;=MAX(Clean_Data[OrderDate]),MIN(Clean_Data[OrderDate])+ROWS($A$21:A31)-1,"")</f>
        <v>46276</v>
      </c>
      <c r="B31" s="11">
        <f>SUMIFS(Clean_Data[NetRevenue],Clean_Data[OrderDate],A31,Clean_Data[Include],1)</f>
        <v>12683</v>
      </c>
      <c r="C31" s="3">
        <f>COUNTIFS(Clean_Data[OrderDate],A31,Clean_Data[Include],1)</f>
        <v>30</v>
      </c>
      <c r="D31" s="3" t="str">
        <f t="shared" si="2"/>
        <v>11-Sep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" customHeight="1">
      <c r="A32" s="2">
        <f>IF(MIN(Clean_Data[OrderDate])+ROWS($A$21:A32)-1&lt;=MAX(Clean_Data[OrderDate]),MIN(Clean_Data[OrderDate])+ROWS($A$21:A32)-1,"")</f>
        <v>46277</v>
      </c>
      <c r="B32" s="11">
        <f>SUMIFS(Clean_Data[NetRevenue],Clean_Data[OrderDate],A32,Clean_Data[Include],1)</f>
        <v>8433</v>
      </c>
      <c r="C32" s="3">
        <f>COUNTIFS(Clean_Data[OrderDate],A32,Clean_Data[Include],1)</f>
        <v>30</v>
      </c>
      <c r="D32" s="3" t="str">
        <f t="shared" si="2"/>
        <v>12-Sep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" customHeight="1">
      <c r="A33" s="2">
        <f>IF(MIN(Clean_Data[OrderDate])+ROWS($A$21:A33)-1&lt;=MAX(Clean_Data[OrderDate]),MIN(Clean_Data[OrderDate])+ROWS($A$21:A33)-1,"")</f>
        <v>46278</v>
      </c>
      <c r="B33" s="11">
        <f>SUMIFS(Clean_Data[NetRevenue],Clean_Data[OrderDate],A33,Clean_Data[Include],1)</f>
        <v>9943.7000000000007</v>
      </c>
      <c r="C33" s="3">
        <f>COUNTIFS(Clean_Data[OrderDate],A33,Clean_Data[Include],1)</f>
        <v>30</v>
      </c>
      <c r="D33" s="3" t="str">
        <f t="shared" si="2"/>
        <v>13-Sep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" customHeight="1">
      <c r="A34" s="2">
        <f>IF(MIN(Clean_Data[OrderDate])+ROWS($A$21:A34)-1&lt;=MAX(Clean_Data[OrderDate]),MIN(Clean_Data[OrderDate])+ROWS($A$21:A34)-1,"")</f>
        <v>46279</v>
      </c>
      <c r="B34" s="11">
        <f>SUMIFS(Clean_Data[NetRevenue],Clean_Data[OrderDate],A34,Clean_Data[Include],1)</f>
        <v>9549.5</v>
      </c>
      <c r="C34" s="3">
        <f>COUNTIFS(Clean_Data[OrderDate],A34,Clean_Data[Include],1)</f>
        <v>30</v>
      </c>
      <c r="D34" s="3" t="str">
        <f t="shared" si="2"/>
        <v>14-Sep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" customHeight="1">
      <c r="A35" s="2">
        <f>IF(MIN(Clean_Data[OrderDate])+ROWS($A$21:A35)-1&lt;=MAX(Clean_Data[OrderDate]),MIN(Clean_Data[OrderDate])+ROWS($A$21:A35)-1,"")</f>
        <v>46280</v>
      </c>
      <c r="B35" s="11">
        <f>SUMIFS(Clean_Data[NetRevenue],Clean_Data[OrderDate],A35,Clean_Data[Include],1)</f>
        <v>9134</v>
      </c>
      <c r="C35" s="3">
        <f>COUNTIFS(Clean_Data[OrderDate],A35,Clean_Data[Include],1)</f>
        <v>30</v>
      </c>
      <c r="D35" s="3" t="str">
        <f t="shared" si="2"/>
        <v>15-Sep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" customHeight="1">
      <c r="A36" s="2">
        <f>IF(MIN(Clean_Data[OrderDate])+ROWS($A$21:A36)-1&lt;=MAX(Clean_Data[OrderDate]),MIN(Clean_Data[OrderDate])+ROWS($A$21:A36)-1,"")</f>
        <v>46281</v>
      </c>
      <c r="B36" s="11">
        <f>SUMIFS(Clean_Data[NetRevenue],Clean_Data[OrderDate],A36,Clean_Data[Include],1)</f>
        <v>10973.75</v>
      </c>
      <c r="C36" s="3">
        <f>COUNTIFS(Clean_Data[OrderDate],A36,Clean_Data[Include],1)</f>
        <v>30</v>
      </c>
      <c r="D36" s="3" t="str">
        <f t="shared" si="2"/>
        <v>16-Sep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" customHeight="1">
      <c r="A37" s="2">
        <f>IF(MIN(Clean_Data[OrderDate])+ROWS($A$21:A37)-1&lt;=MAX(Clean_Data[OrderDate]),MIN(Clean_Data[OrderDate])+ROWS($A$21:A37)-1,"")</f>
        <v>46282</v>
      </c>
      <c r="B37" s="11">
        <f>SUMIFS(Clean_Data[NetRevenue],Clean_Data[OrderDate],A37,Clean_Data[Include],1)</f>
        <v>10489</v>
      </c>
      <c r="C37" s="3">
        <f>COUNTIFS(Clean_Data[OrderDate],A37,Clean_Data[Include],1)</f>
        <v>30</v>
      </c>
      <c r="D37" s="3" t="str">
        <f t="shared" si="2"/>
        <v>17-Sep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" customHeight="1">
      <c r="A38" s="2">
        <f>IF(MIN(Clean_Data[OrderDate])+ROWS($A$21:A38)-1&lt;=MAX(Clean_Data[OrderDate]),MIN(Clean_Data[OrderDate])+ROWS($A$21:A38)-1,"")</f>
        <v>46283</v>
      </c>
      <c r="B38" s="11">
        <f>SUMIFS(Clean_Data[NetRevenue],Clean_Data[OrderDate],A38,Clean_Data[Include],1)</f>
        <v>10682.6</v>
      </c>
      <c r="C38" s="3">
        <f>COUNTIFS(Clean_Data[OrderDate],A38,Clean_Data[Include],1)</f>
        <v>30</v>
      </c>
      <c r="D38" s="3" t="str">
        <f t="shared" si="2"/>
        <v>18-Sep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" customHeight="1">
      <c r="A39" s="2">
        <f>IF(MIN(Clean_Data[OrderDate])+ROWS($A$21:A39)-1&lt;=MAX(Clean_Data[OrderDate]),MIN(Clean_Data[OrderDate])+ROWS($A$21:A39)-1,"")</f>
        <v>46284</v>
      </c>
      <c r="B39" s="11">
        <f>SUMIFS(Clean_Data[NetRevenue],Clean_Data[OrderDate],A39,Clean_Data[Include],1)</f>
        <v>12688</v>
      </c>
      <c r="C39" s="3">
        <f>COUNTIFS(Clean_Data[OrderDate],A39,Clean_Data[Include],1)</f>
        <v>30</v>
      </c>
      <c r="D39" s="3" t="str">
        <f t="shared" si="2"/>
        <v>19-Sep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" customHeight="1">
      <c r="A40" s="2">
        <f>IF(MIN(Clean_Data[OrderDate])+ROWS($A$21:A40)-1&lt;=MAX(Clean_Data[OrderDate]),MIN(Clean_Data[OrderDate])+ROWS($A$21:A40)-1,"")</f>
        <v>46285</v>
      </c>
      <c r="B40" s="11">
        <f>SUMIFS(Clean_Data[NetRevenue],Clean_Data[OrderDate],A40,Clean_Data[Include],1)</f>
        <v>12127.6</v>
      </c>
      <c r="C40" s="3">
        <f>COUNTIFS(Clean_Data[OrderDate],A40,Clean_Data[Include],1)</f>
        <v>30</v>
      </c>
      <c r="D40" s="3" t="str">
        <f t="shared" si="2"/>
        <v>20-Sep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" customHeight="1">
      <c r="A41" s="2">
        <f>IF(MIN(Clean_Data[OrderDate])+ROWS($A$21:A41)-1&lt;=MAX(Clean_Data[OrderDate]),MIN(Clean_Data[OrderDate])+ROWS($A$21:A41)-1,"")</f>
        <v>46286</v>
      </c>
      <c r="B41" s="11">
        <f>SUMIFS(Clean_Data[NetRevenue],Clean_Data[OrderDate],A41,Clean_Data[Include],1)</f>
        <v>10217</v>
      </c>
      <c r="C41" s="3">
        <f>COUNTIFS(Clean_Data[OrderDate],A41,Clean_Data[Include],1)</f>
        <v>30</v>
      </c>
      <c r="D41" s="3" t="str">
        <f t="shared" si="2"/>
        <v>21-Sep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" customHeight="1">
      <c r="A42" s="2">
        <f>IF(MIN(Clean_Data[OrderDate])+ROWS($A$21:A42)-1&lt;=MAX(Clean_Data[OrderDate]),MIN(Clean_Data[OrderDate])+ROWS($A$21:A42)-1,"")</f>
        <v>46287</v>
      </c>
      <c r="B42" s="11">
        <f>SUMIFS(Clean_Data[NetRevenue],Clean_Data[OrderDate],A42,Clean_Data[Include],1)</f>
        <v>9260.7999999999993</v>
      </c>
      <c r="C42" s="3">
        <f>COUNTIFS(Clean_Data[OrderDate],A42,Clean_Data[Include],1)</f>
        <v>30</v>
      </c>
      <c r="D42" s="3" t="str">
        <f t="shared" si="2"/>
        <v>22-Sep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" customHeight="1">
      <c r="A43" s="2">
        <f>IF(MIN(Clean_Data[OrderDate])+ROWS($A$21:A43)-1&lt;=MAX(Clean_Data[OrderDate]),MIN(Clean_Data[OrderDate])+ROWS($A$21:A43)-1,"")</f>
        <v>46288</v>
      </c>
      <c r="B43" s="11">
        <f>SUMIFS(Clean_Data[NetRevenue],Clean_Data[OrderDate],A43,Clean_Data[Include],1)</f>
        <v>11340.6</v>
      </c>
      <c r="C43" s="3">
        <f>COUNTIFS(Clean_Data[OrderDate],A43,Clean_Data[Include],1)</f>
        <v>30</v>
      </c>
      <c r="D43" s="3" t="str">
        <f t="shared" si="2"/>
        <v>23-Sep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" customHeight="1">
      <c r="A44" s="2">
        <f>IF(MIN(Clean_Data[OrderDate])+ROWS($A$21:A44)-1&lt;=MAX(Clean_Data[OrderDate]),MIN(Clean_Data[OrderDate])+ROWS($A$21:A44)-1,"")</f>
        <v>46289</v>
      </c>
      <c r="B44" s="11">
        <f>SUMIFS(Clean_Data[NetRevenue],Clean_Data[OrderDate],A44,Clean_Data[Include],1)</f>
        <v>9225</v>
      </c>
      <c r="C44" s="3">
        <f>COUNTIFS(Clean_Data[OrderDate],A44,Clean_Data[Include],1)</f>
        <v>30</v>
      </c>
      <c r="D44" s="3" t="str">
        <f t="shared" si="2"/>
        <v>24-Sep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" customHeight="1">
      <c r="A45" s="2">
        <f>IF(MIN(Clean_Data[OrderDate])+ROWS($A$21:A45)-1&lt;=MAX(Clean_Data[OrderDate]),MIN(Clean_Data[OrderDate])+ROWS($A$21:A45)-1,"")</f>
        <v>46290</v>
      </c>
      <c r="B45" s="11">
        <f>SUMIFS(Clean_Data[NetRevenue],Clean_Data[OrderDate],A45,Clean_Data[Include],1)</f>
        <v>10201.700000000001</v>
      </c>
      <c r="C45" s="3">
        <f>COUNTIFS(Clean_Data[OrderDate],A45,Clean_Data[Include],1)</f>
        <v>30</v>
      </c>
      <c r="D45" s="3" t="str">
        <f t="shared" si="2"/>
        <v>25-Sep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" customHeight="1">
      <c r="A46" s="2">
        <f>IF(MIN(Clean_Data[OrderDate])+ROWS($A$21:A46)-1&lt;=MAX(Clean_Data[OrderDate]),MIN(Clean_Data[OrderDate])+ROWS($A$21:A46)-1,"")</f>
        <v>46291</v>
      </c>
      <c r="B46" s="11">
        <f>SUMIFS(Clean_Data[NetRevenue],Clean_Data[OrderDate],A46,Clean_Data[Include],1)</f>
        <v>10280.5</v>
      </c>
      <c r="C46" s="3">
        <f>COUNTIFS(Clean_Data[OrderDate],A46,Clean_Data[Include],1)</f>
        <v>30</v>
      </c>
      <c r="D46" s="3" t="str">
        <f t="shared" si="2"/>
        <v>26-Sep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" customHeight="1">
      <c r="A47" s="2">
        <f>IF(MIN(Clean_Data[OrderDate])+ROWS($A$21:A47)-1&lt;=MAX(Clean_Data[OrderDate]),MIN(Clean_Data[OrderDate])+ROWS($A$21:A47)-1,"")</f>
        <v>46292</v>
      </c>
      <c r="B47" s="11">
        <f>SUMIFS(Clean_Data[NetRevenue],Clean_Data[OrderDate],A47,Clean_Data[Include],1)</f>
        <v>8607.5</v>
      </c>
      <c r="C47" s="3">
        <f>COUNTIFS(Clean_Data[OrderDate],A47,Clean_Data[Include],1)</f>
        <v>30</v>
      </c>
      <c r="D47" s="3" t="str">
        <f t="shared" si="2"/>
        <v>27-Sep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" customHeight="1">
      <c r="A48" s="2">
        <f>IF(MIN(Clean_Data[OrderDate])+ROWS($A$21:A48)-1&lt;=MAX(Clean_Data[OrderDate]),MIN(Clean_Data[OrderDate])+ROWS($A$21:A48)-1,"")</f>
        <v>46293</v>
      </c>
      <c r="B48" s="11">
        <f>SUMIFS(Clean_Data[NetRevenue],Clean_Data[OrderDate],A48,Clean_Data[Include],1)</f>
        <v>11770</v>
      </c>
      <c r="C48" s="3">
        <f>COUNTIFS(Clean_Data[OrderDate],A48,Clean_Data[Include],1)</f>
        <v>30</v>
      </c>
      <c r="D48" s="3" t="str">
        <f t="shared" si="2"/>
        <v>28-Sep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" customHeight="1">
      <c r="A49" s="2">
        <f>IF(MIN(Clean_Data[OrderDate])+ROWS($A$21:A49)-1&lt;=MAX(Clean_Data[OrderDate]),MIN(Clean_Data[OrderDate])+ROWS($A$21:A49)-1,"")</f>
        <v>46294</v>
      </c>
      <c r="B49" s="11">
        <f>SUMIFS(Clean_Data[NetRevenue],Clean_Data[OrderDate],A49,Clean_Data[Include],1)</f>
        <v>9188</v>
      </c>
      <c r="C49" s="3">
        <f>COUNTIFS(Clean_Data[OrderDate],A49,Clean_Data[Include],1)</f>
        <v>30</v>
      </c>
      <c r="D49" s="3" t="str">
        <f t="shared" si="2"/>
        <v>29-Sep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" customHeight="1">
      <c r="A50" s="2">
        <f>IF(MIN(Clean_Data[OrderDate])+ROWS($A$21:A50)-1&lt;=MAX(Clean_Data[OrderDate]),MIN(Clean_Data[OrderDate])+ROWS($A$21:A50)-1,"")</f>
        <v>46295</v>
      </c>
      <c r="B50" s="11">
        <f>SUMIFS(Clean_Data[NetRevenue],Clean_Data[OrderDate],A50,Clean_Data[Include],1)</f>
        <v>10806</v>
      </c>
      <c r="C50" s="3">
        <f>COUNTIFS(Clean_Data[OrderDate],A50,Clean_Data[Include],1)</f>
        <v>30</v>
      </c>
      <c r="D50" s="3" t="str">
        <f t="shared" si="2"/>
        <v>30-Sep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" customHeight="1">
      <c r="A55" s="6" t="s">
        <v>41</v>
      </c>
      <c r="B55" s="6" t="s">
        <v>27</v>
      </c>
      <c r="C55" s="3"/>
      <c r="D55" s="3"/>
      <c r="E55" s="6" t="s">
        <v>42</v>
      </c>
      <c r="F55" s="6" t="s">
        <v>27</v>
      </c>
      <c r="G55" s="3"/>
      <c r="H55" s="6" t="s">
        <v>43</v>
      </c>
      <c r="I55" s="6" t="s">
        <v>13</v>
      </c>
      <c r="J55" s="6" t="str">
        <f>F21</f>
        <v>Morning</v>
      </c>
      <c r="K55" s="6" t="str">
        <f>F22</f>
        <v>Afternoon</v>
      </c>
      <c r="L55" s="6" t="str">
        <f>F23</f>
        <v>Evening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" customHeight="1">
      <c r="A56" s="3" t="str">
        <f>IFERROR(INDEX(Clean!$E$2:$E$901,SMALL(Clean!$AG$2:$AG$901,ROWS($A$56:A56))),"")</f>
        <v>Returning</v>
      </c>
      <c r="B56" s="3">
        <f>COUNTIFS(Clean_Data[CustomerType],A56,Clean_Data[DeliveredInclude],1)</f>
        <v>591</v>
      </c>
      <c r="C56" s="3"/>
      <c r="D56" s="3"/>
      <c r="E56" s="3" t="s">
        <v>44</v>
      </c>
      <c r="F56" s="3">
        <f>COUNTIFS(Clean_Data[DeliveredInclude],1,Clean_Data[OnTime],1)</f>
        <v>626</v>
      </c>
      <c r="G56" s="3"/>
      <c r="H56" s="3">
        <f>IFERROR(SMALL(Clean!$AF$2:$AF$901,ROWS($H$56:H56)),"")</f>
        <v>1</v>
      </c>
      <c r="I56" s="3" t="str">
        <f>INDEX(Clean_Data[Weekday],MATCH(H56,Clean_Data[WeekdayNo],0))</f>
        <v>Mon</v>
      </c>
      <c r="J56" s="3">
        <f>COUNTIFS(Clean_Data[WeekdayNo],$H56,Clean_Data[TimeBand],J$55,Clean_Data[Include],1)</f>
        <v>31</v>
      </c>
      <c r="K56" s="3">
        <f>COUNTIFS(Clean_Data[WeekdayNo],$H56,Clean_Data[TimeBand],K$55,Clean_Data[Include],1)</f>
        <v>39</v>
      </c>
      <c r="L56" s="3">
        <f>COUNTIFS(Clean_Data[WeekdayNo],$H56,Clean_Data[TimeBand],L$55,Clean_Data[Include],1)</f>
        <v>50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" customHeight="1">
      <c r="A57" s="3" t="str">
        <f>IFERROR(INDEX(Clean!$E$2:$E$901,SMALL(Clean!$AG$2:$AG$901,ROWS($A$56:A57))),"")</f>
        <v>New</v>
      </c>
      <c r="B57" s="3">
        <f>COUNTIFS(Clean_Data[CustomerType],A57,Clean_Data[DeliveredInclude],1)</f>
        <v>243</v>
      </c>
      <c r="C57" s="3"/>
      <c r="D57" s="3"/>
      <c r="E57" s="3" t="s">
        <v>45</v>
      </c>
      <c r="F57" s="3">
        <f>COUNTIFS(Clean_Data[DeliveredInclude],1,Clean_Data[OnTime],0)</f>
        <v>208</v>
      </c>
      <c r="G57" s="3"/>
      <c r="H57" s="3">
        <f>IFERROR(SMALL(Clean!$AF$2:$AF$901,ROWS($H$56:H57)),"")</f>
        <v>2</v>
      </c>
      <c r="I57" s="3" t="str">
        <f>INDEX(Clean_Data[Weekday],MATCH(H57,Clean_Data[WeekdayNo],0))</f>
        <v>Tue</v>
      </c>
      <c r="J57" s="3">
        <f>COUNTIFS(Clean_Data[WeekdayNo],$H57,Clean_Data[TimeBand],J$55,Clean_Data[Include],1)</f>
        <v>49</v>
      </c>
      <c r="K57" s="3">
        <f>COUNTIFS(Clean_Data[WeekdayNo],$H57,Clean_Data[TimeBand],K$55,Clean_Data[Include],1)</f>
        <v>39</v>
      </c>
      <c r="L57" s="3">
        <f>COUNTIFS(Clean_Data[WeekdayNo],$H57,Clean_Data[TimeBand],L$55,Clean_Data[Include],1)</f>
        <v>62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" customHeight="1">
      <c r="A58" s="3"/>
      <c r="B58" s="3"/>
      <c r="C58" s="3"/>
      <c r="D58" s="3"/>
      <c r="E58" s="3"/>
      <c r="F58" s="3"/>
      <c r="G58" s="3"/>
      <c r="H58" s="3">
        <f>IFERROR(SMALL(Clean!$AF$2:$AF$901,ROWS($H$56:H58)),"")</f>
        <v>3</v>
      </c>
      <c r="I58" s="3" t="str">
        <f>INDEX(Clean_Data[Weekday],MATCH(H58,Clean_Data[WeekdayNo],0))</f>
        <v>Wed</v>
      </c>
      <c r="J58" s="3">
        <f>COUNTIFS(Clean_Data[WeekdayNo],$H58,Clean_Data[TimeBand],J$55,Clean_Data[Include],1)</f>
        <v>44</v>
      </c>
      <c r="K58" s="3">
        <f>COUNTIFS(Clean_Data[WeekdayNo],$H58,Clean_Data[TimeBand],K$55,Clean_Data[Include],1)</f>
        <v>41</v>
      </c>
      <c r="L58" s="3">
        <f>COUNTIFS(Clean_Data[WeekdayNo],$H58,Clean_Data[TimeBand],L$55,Clean_Data[Include],1)</f>
        <v>65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" customHeight="1">
      <c r="A59" s="3"/>
      <c r="B59" s="3"/>
      <c r="C59" s="3"/>
      <c r="D59" s="3"/>
      <c r="E59" s="3"/>
      <c r="F59" s="3"/>
      <c r="G59" s="3"/>
      <c r="H59" s="3">
        <f>IFERROR(SMALL(Clean!$AF$2:$AF$901,ROWS($H$56:H59)),"")</f>
        <v>4</v>
      </c>
      <c r="I59" s="3" t="str">
        <f>INDEX(Clean_Data[Weekday],MATCH(H59,Clean_Data[WeekdayNo],0))</f>
        <v>Thu</v>
      </c>
      <c r="J59" s="3">
        <f>COUNTIFS(Clean_Data[WeekdayNo],$H59,Clean_Data[TimeBand],J$55,Clean_Data[Include],1)</f>
        <v>41</v>
      </c>
      <c r="K59" s="3">
        <f>COUNTIFS(Clean_Data[WeekdayNo],$H59,Clean_Data[TimeBand],K$55,Clean_Data[Include],1)</f>
        <v>38</v>
      </c>
      <c r="L59" s="3">
        <f>COUNTIFS(Clean_Data[WeekdayNo],$H59,Clean_Data[TimeBand],L$55,Clean_Data[Include],1)</f>
        <v>41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" customHeight="1">
      <c r="A60" s="3"/>
      <c r="B60" s="3"/>
      <c r="C60" s="3"/>
      <c r="D60" s="3"/>
      <c r="E60" s="3"/>
      <c r="F60" s="3"/>
      <c r="G60" s="3"/>
      <c r="H60" s="3">
        <f>IFERROR(SMALL(Clean!$AF$2:$AF$901,ROWS($H$56:H60)),"")</f>
        <v>5</v>
      </c>
      <c r="I60" s="3" t="str">
        <f>INDEX(Clean_Data[Weekday],MATCH(H60,Clean_Data[WeekdayNo],0))</f>
        <v>Fri</v>
      </c>
      <c r="J60" s="3">
        <f>COUNTIFS(Clean_Data[WeekdayNo],$H60,Clean_Data[TimeBand],J$55,Clean_Data[Include],1)</f>
        <v>38</v>
      </c>
      <c r="K60" s="3">
        <f>COUNTIFS(Clean_Data[WeekdayNo],$H60,Clean_Data[TimeBand],K$55,Clean_Data[Include],1)</f>
        <v>48</v>
      </c>
      <c r="L60" s="3">
        <f>COUNTIFS(Clean_Data[WeekdayNo],$H60,Clean_Data[TimeBand],L$55,Clean_Data[Include],1)</f>
        <v>34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" customHeight="1">
      <c r="A61" s="3"/>
      <c r="B61" s="3"/>
      <c r="C61" s="3"/>
      <c r="D61" s="3"/>
      <c r="E61" s="3"/>
      <c r="F61" s="3"/>
      <c r="G61" s="3"/>
      <c r="H61" s="3">
        <f>IFERROR(SMALL(Clean!$AF$2:$AF$901,ROWS($H$56:H61)),"")</f>
        <v>6</v>
      </c>
      <c r="I61" s="3" t="str">
        <f>INDEX(Clean_Data[Weekday],MATCH(H61,Clean_Data[WeekdayNo],0))</f>
        <v>Sat</v>
      </c>
      <c r="J61" s="3">
        <f>COUNTIFS(Clean_Data[WeekdayNo],$H61,Clean_Data[TimeBand],J$55,Clean_Data[Include],1)</f>
        <v>29</v>
      </c>
      <c r="K61" s="3">
        <f>COUNTIFS(Clean_Data[WeekdayNo],$H61,Clean_Data[TimeBand],K$55,Clean_Data[Include],1)</f>
        <v>41</v>
      </c>
      <c r="L61" s="3">
        <f>COUNTIFS(Clean_Data[WeekdayNo],$H61,Clean_Data[TimeBand],L$55,Clean_Data[Include],1)</f>
        <v>50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" customHeight="1">
      <c r="A62" s="3"/>
      <c r="B62" s="3"/>
      <c r="C62" s="3"/>
      <c r="D62" s="3"/>
      <c r="E62" s="3"/>
      <c r="F62" s="3"/>
      <c r="G62" s="3"/>
      <c r="H62" s="3">
        <f>IFERROR(SMALL(Clean!$AF$2:$AF$901,ROWS($H$56:H62)),"")</f>
        <v>7</v>
      </c>
      <c r="I62" s="3" t="str">
        <f>INDEX(Clean_Data[Weekday],MATCH(H62,Clean_Data[WeekdayNo],0))</f>
        <v>Sun</v>
      </c>
      <c r="J62" s="3">
        <f>COUNTIFS(Clean_Data[WeekdayNo],$H62,Clean_Data[TimeBand],J$55,Clean_Data[Include],1)</f>
        <v>34</v>
      </c>
      <c r="K62" s="3">
        <f>COUNTIFS(Clean_Data[WeekdayNo],$H62,Clean_Data[TimeBand],K$55,Clean_Data[Include],1)</f>
        <v>49</v>
      </c>
      <c r="L62" s="3">
        <f>COUNTIFS(Clean_Data[WeekdayNo],$H62,Clean_Data[TimeBand],L$55,Clean_Data[Include],1)</f>
        <v>37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9"/>
  <sheetViews>
    <sheetView showGridLines="0" topLeftCell="A174" workbookViewId="0"/>
  </sheetViews>
  <sheetFormatPr defaultRowHeight="14"/>
  <cols>
    <col min="1" max="1" width="20" customWidth="1"/>
    <col min="2" max="2" width="27" customWidth="1"/>
    <col min="3" max="5" width="20" customWidth="1"/>
  </cols>
  <sheetData>
    <row r="1" spans="1:5" ht="28" customHeight="1">
      <c r="A1" s="6" t="s">
        <v>46</v>
      </c>
      <c r="B1" s="6" t="s">
        <v>47</v>
      </c>
      <c r="C1" s="6" t="s">
        <v>48</v>
      </c>
      <c r="D1" s="3"/>
      <c r="E1" s="3" t="s">
        <v>49</v>
      </c>
    </row>
    <row r="2" spans="1:5" ht="22" customHeight="1">
      <c r="A2" s="3" t="str">
        <f>IFERROR(INDEX(Clean!$D$2:$D$901,SMALL(Clean!$AA$2:$AA$901,ROWS($A$2:A2))),"")</f>
        <v>C189</v>
      </c>
      <c r="B2" s="3">
        <f>COUNTIFS(Clean_Data[CustomerID],A2,Clean_Data[DeliveredInclude],1)</f>
        <v>4</v>
      </c>
      <c r="C2" s="3">
        <f t="shared" ref="C2:C65" si="0">IF(B2&gt;0,1,0)</f>
        <v>1</v>
      </c>
      <c r="D2" s="3"/>
      <c r="E2" s="3">
        <f>COUNTIF(Clean!$AA$2:$AA$901,"&lt;="&amp;ROWS(Clean_Data[OrderID]))</f>
        <v>288</v>
      </c>
    </row>
    <row r="3" spans="1:5" ht="22" customHeight="1">
      <c r="A3" s="3" t="str">
        <f>IFERROR(INDEX(Clean!$D$2:$D$901,SMALL(Clean!$AA$2:$AA$901,ROWS($A$2:A3))),"")</f>
        <v>C255</v>
      </c>
      <c r="B3" s="3">
        <f>COUNTIFS(Clean_Data[CustomerID],A3,Clean_Data[DeliveredInclude],1)</f>
        <v>4</v>
      </c>
      <c r="C3" s="3">
        <f t="shared" si="0"/>
        <v>1</v>
      </c>
      <c r="D3" s="3"/>
      <c r="E3" s="3"/>
    </row>
    <row r="4" spans="1:5" ht="22" customHeight="1">
      <c r="A4" s="3" t="str">
        <f>IFERROR(INDEX(Clean!$D$2:$D$901,SMALL(Clean!$AA$2:$AA$901,ROWS($A$2:A4))),"")</f>
        <v>C095</v>
      </c>
      <c r="B4" s="3">
        <f>COUNTIFS(Clean_Data[CustomerID],A4,Clean_Data[DeliveredInclude],1)</f>
        <v>3</v>
      </c>
      <c r="C4" s="3">
        <f t="shared" si="0"/>
        <v>1</v>
      </c>
      <c r="D4" s="3"/>
      <c r="E4" s="3"/>
    </row>
    <row r="5" spans="1:5" ht="22" customHeight="1">
      <c r="A5" s="3" t="str">
        <f>IFERROR(INDEX(Clean!$D$2:$D$901,SMALL(Clean!$AA$2:$AA$901,ROWS($A$2:A5))),"")</f>
        <v>C290</v>
      </c>
      <c r="B5" s="3">
        <f>COUNTIFS(Clean_Data[CustomerID],A5,Clean_Data[DeliveredInclude],1)</f>
        <v>2</v>
      </c>
      <c r="C5" s="3">
        <f t="shared" si="0"/>
        <v>1</v>
      </c>
      <c r="D5" s="3"/>
      <c r="E5" s="3"/>
    </row>
    <row r="6" spans="1:5" ht="22" customHeight="1">
      <c r="A6" s="3" t="str">
        <f>IFERROR(INDEX(Clean!$D$2:$D$901,SMALL(Clean!$AA$2:$AA$901,ROWS($A$2:A6))),"")</f>
        <v>C225</v>
      </c>
      <c r="B6" s="3">
        <f>COUNTIFS(Clean_Data[CustomerID],A6,Clean_Data[DeliveredInclude],1)</f>
        <v>2</v>
      </c>
      <c r="C6" s="3">
        <f t="shared" si="0"/>
        <v>1</v>
      </c>
      <c r="D6" s="3"/>
      <c r="E6" s="3"/>
    </row>
    <row r="7" spans="1:5" ht="22" customHeight="1">
      <c r="A7" s="3" t="str">
        <f>IFERROR(INDEX(Clean!$D$2:$D$901,SMALL(Clean!$AA$2:$AA$901,ROWS($A$2:A7))),"")</f>
        <v>C117</v>
      </c>
      <c r="B7" s="3">
        <f>COUNTIFS(Clean_Data[CustomerID],A7,Clean_Data[DeliveredInclude],1)</f>
        <v>3</v>
      </c>
      <c r="C7" s="3">
        <f t="shared" si="0"/>
        <v>1</v>
      </c>
      <c r="D7" s="3"/>
      <c r="E7" s="3"/>
    </row>
    <row r="8" spans="1:5" ht="22" customHeight="1">
      <c r="A8" s="3" t="str">
        <f>IFERROR(INDEX(Clean!$D$2:$D$901,SMALL(Clean!$AA$2:$AA$901,ROWS($A$2:A8))),"")</f>
        <v>C077</v>
      </c>
      <c r="B8" s="3">
        <f>COUNTIFS(Clean_Data[CustomerID],A8,Clean_Data[DeliveredInclude],1)</f>
        <v>4</v>
      </c>
      <c r="C8" s="3">
        <f t="shared" si="0"/>
        <v>1</v>
      </c>
      <c r="D8" s="3"/>
      <c r="E8" s="3"/>
    </row>
    <row r="9" spans="1:5" ht="22" customHeight="1">
      <c r="A9" s="3" t="str">
        <f>IFERROR(INDEX(Clean!$D$2:$D$901,SMALL(Clean!$AA$2:$AA$901,ROWS($A$2:A9))),"")</f>
        <v>C124</v>
      </c>
      <c r="B9" s="3">
        <f>COUNTIFS(Clean_Data[CustomerID],A9,Clean_Data[DeliveredInclude],1)</f>
        <v>6</v>
      </c>
      <c r="C9" s="3">
        <f t="shared" si="0"/>
        <v>1</v>
      </c>
      <c r="D9" s="3"/>
      <c r="E9" s="3"/>
    </row>
    <row r="10" spans="1:5" ht="22" customHeight="1">
      <c r="A10" s="3" t="str">
        <f>IFERROR(INDEX(Clean!$D$2:$D$901,SMALL(Clean!$AA$2:$AA$901,ROWS($A$2:A10))),"")</f>
        <v>C145</v>
      </c>
      <c r="B10" s="3">
        <f>COUNTIFS(Clean_Data[CustomerID],A10,Clean_Data[DeliveredInclude],1)</f>
        <v>4</v>
      </c>
      <c r="C10" s="3">
        <f t="shared" si="0"/>
        <v>1</v>
      </c>
      <c r="D10" s="3"/>
      <c r="E10" s="3"/>
    </row>
    <row r="11" spans="1:5" ht="22" customHeight="1">
      <c r="A11" s="3" t="str">
        <f>IFERROR(INDEX(Clean!$D$2:$D$901,SMALL(Clean!$AA$2:$AA$901,ROWS($A$2:A11))),"")</f>
        <v>C249</v>
      </c>
      <c r="B11" s="3">
        <f>COUNTIFS(Clean_Data[CustomerID],A11,Clean_Data[DeliveredInclude],1)</f>
        <v>1</v>
      </c>
      <c r="C11" s="3">
        <f t="shared" si="0"/>
        <v>1</v>
      </c>
      <c r="D11" s="3"/>
      <c r="E11" s="3"/>
    </row>
    <row r="12" spans="1:5" ht="22" customHeight="1">
      <c r="A12" s="3" t="str">
        <f>IFERROR(INDEX(Clean!$D$2:$D$901,SMALL(Clean!$AA$2:$AA$901,ROWS($A$2:A12))),"")</f>
        <v>C233</v>
      </c>
      <c r="B12" s="3">
        <f>COUNTIFS(Clean_Data[CustomerID],A12,Clean_Data[DeliveredInclude],1)</f>
        <v>1</v>
      </c>
      <c r="C12" s="3">
        <f t="shared" si="0"/>
        <v>1</v>
      </c>
      <c r="D12" s="3"/>
      <c r="E12" s="3"/>
    </row>
    <row r="13" spans="1:5" ht="22" customHeight="1">
      <c r="A13" s="3" t="str">
        <f>IFERROR(INDEX(Clean!$D$2:$D$901,SMALL(Clean!$AA$2:$AA$901,ROWS($A$2:A13))),"")</f>
        <v>C134</v>
      </c>
      <c r="B13" s="3">
        <f>COUNTIFS(Clean_Data[CustomerID],A13,Clean_Data[DeliveredInclude],1)</f>
        <v>4</v>
      </c>
      <c r="C13" s="3">
        <f t="shared" si="0"/>
        <v>1</v>
      </c>
      <c r="D13" s="3"/>
      <c r="E13" s="3"/>
    </row>
    <row r="14" spans="1:5" ht="22" customHeight="1">
      <c r="A14" s="3" t="str">
        <f>IFERROR(INDEX(Clean!$D$2:$D$901,SMALL(Clean!$AA$2:$AA$901,ROWS($A$2:A14))),"")</f>
        <v>C257</v>
      </c>
      <c r="B14" s="3">
        <f>COUNTIFS(Clean_Data[CustomerID],A14,Clean_Data[DeliveredInclude],1)</f>
        <v>1</v>
      </c>
      <c r="C14" s="3">
        <f t="shared" si="0"/>
        <v>1</v>
      </c>
      <c r="D14" s="3"/>
      <c r="E14" s="3"/>
    </row>
    <row r="15" spans="1:5" ht="22" customHeight="1">
      <c r="A15" s="3" t="str">
        <f>IFERROR(INDEX(Clean!$D$2:$D$901,SMALL(Clean!$AA$2:$AA$901,ROWS($A$2:A15))),"")</f>
        <v>C296</v>
      </c>
      <c r="B15" s="3">
        <f>COUNTIFS(Clean_Data[CustomerID],A15,Clean_Data[DeliveredInclude],1)</f>
        <v>4</v>
      </c>
      <c r="C15" s="3">
        <f t="shared" si="0"/>
        <v>1</v>
      </c>
      <c r="D15" s="3"/>
      <c r="E15" s="3"/>
    </row>
    <row r="16" spans="1:5" ht="22" customHeight="1">
      <c r="A16" s="3" t="str">
        <f>IFERROR(INDEX(Clean!$D$2:$D$901,SMALL(Clean!$AA$2:$AA$901,ROWS($A$2:A16))),"")</f>
        <v>C184</v>
      </c>
      <c r="B16" s="3">
        <f>COUNTIFS(Clean_Data[CustomerID],A16,Clean_Data[DeliveredInclude],1)</f>
        <v>3</v>
      </c>
      <c r="C16" s="3">
        <f t="shared" si="0"/>
        <v>1</v>
      </c>
      <c r="D16" s="3"/>
      <c r="E16" s="3"/>
    </row>
    <row r="17" spans="1:5" ht="22" customHeight="1">
      <c r="A17" s="3" t="str">
        <f>IFERROR(INDEX(Clean!$D$2:$D$901,SMALL(Clean!$AA$2:$AA$901,ROWS($A$2:A17))),"")</f>
        <v>C229</v>
      </c>
      <c r="B17" s="3">
        <f>COUNTIFS(Clean_Data[CustomerID],A17,Clean_Data[DeliveredInclude],1)</f>
        <v>3</v>
      </c>
      <c r="C17" s="3">
        <f t="shared" si="0"/>
        <v>1</v>
      </c>
      <c r="D17" s="3"/>
      <c r="E17" s="3"/>
    </row>
    <row r="18" spans="1:5" ht="22" customHeight="1">
      <c r="A18" s="3" t="str">
        <f>IFERROR(INDEX(Clean!$D$2:$D$901,SMALL(Clean!$AA$2:$AA$901,ROWS($A$2:A18))),"")</f>
        <v>C004</v>
      </c>
      <c r="B18" s="3">
        <f>COUNTIFS(Clean_Data[CustomerID],A18,Clean_Data[DeliveredInclude],1)</f>
        <v>2</v>
      </c>
      <c r="C18" s="3">
        <f t="shared" si="0"/>
        <v>1</v>
      </c>
      <c r="D18" s="3"/>
      <c r="E18" s="3"/>
    </row>
    <row r="19" spans="1:5" ht="22" customHeight="1">
      <c r="A19" s="3" t="str">
        <f>IFERROR(INDEX(Clean!$D$2:$D$901,SMALL(Clean!$AA$2:$AA$901,ROWS($A$2:A19))),"")</f>
        <v>C256</v>
      </c>
      <c r="B19" s="3">
        <f>COUNTIFS(Clean_Data[CustomerID],A19,Clean_Data[DeliveredInclude],1)</f>
        <v>3</v>
      </c>
      <c r="C19" s="3">
        <f t="shared" si="0"/>
        <v>1</v>
      </c>
      <c r="D19" s="3"/>
      <c r="E19" s="3"/>
    </row>
    <row r="20" spans="1:5" ht="22" customHeight="1">
      <c r="A20" s="3" t="str">
        <f>IFERROR(INDEX(Clean!$D$2:$D$901,SMALL(Clean!$AA$2:$AA$901,ROWS($A$2:A20))),"")</f>
        <v>C166</v>
      </c>
      <c r="B20" s="3">
        <f>COUNTIFS(Clean_Data[CustomerID],A20,Clean_Data[DeliveredInclude],1)</f>
        <v>2</v>
      </c>
      <c r="C20" s="3">
        <f t="shared" si="0"/>
        <v>1</v>
      </c>
      <c r="D20" s="3"/>
      <c r="E20" s="3"/>
    </row>
    <row r="21" spans="1:5" ht="22" customHeight="1">
      <c r="A21" s="3" t="str">
        <f>IFERROR(INDEX(Clean!$D$2:$D$901,SMALL(Clean!$AA$2:$AA$901,ROWS($A$2:A21))),"")</f>
        <v>C022</v>
      </c>
      <c r="B21" s="3">
        <f>COUNTIFS(Clean_Data[CustomerID],A21,Clean_Data[DeliveredInclude],1)</f>
        <v>3</v>
      </c>
      <c r="C21" s="3">
        <f t="shared" si="0"/>
        <v>1</v>
      </c>
      <c r="D21" s="3"/>
      <c r="E21" s="3"/>
    </row>
    <row r="22" spans="1:5" ht="22" customHeight="1">
      <c r="A22" s="3" t="str">
        <f>IFERROR(INDEX(Clean!$D$2:$D$901,SMALL(Clean!$AA$2:$AA$901,ROWS($A$2:A22))),"")</f>
        <v>C113</v>
      </c>
      <c r="B22" s="3">
        <f>COUNTIFS(Clean_Data[CustomerID],A22,Clean_Data[DeliveredInclude],1)</f>
        <v>4</v>
      </c>
      <c r="C22" s="3">
        <f t="shared" si="0"/>
        <v>1</v>
      </c>
      <c r="D22" s="3"/>
      <c r="E22" s="3"/>
    </row>
    <row r="23" spans="1:5" ht="22" customHeight="1">
      <c r="A23" s="3" t="str">
        <f>IFERROR(INDEX(Clean!$D$2:$D$901,SMALL(Clean!$AA$2:$AA$901,ROWS($A$2:A23))),"")</f>
        <v>C217</v>
      </c>
      <c r="B23" s="3">
        <f>COUNTIFS(Clean_Data[CustomerID],A23,Clean_Data[DeliveredInclude],1)</f>
        <v>4</v>
      </c>
      <c r="C23" s="3">
        <f t="shared" si="0"/>
        <v>1</v>
      </c>
      <c r="D23" s="3"/>
      <c r="E23" s="3"/>
    </row>
    <row r="24" spans="1:5" ht="22" customHeight="1">
      <c r="A24" s="3" t="str">
        <f>IFERROR(INDEX(Clean!$D$2:$D$901,SMALL(Clean!$AA$2:$AA$901,ROWS($A$2:A24))),"")</f>
        <v>C041</v>
      </c>
      <c r="B24" s="3">
        <f>COUNTIFS(Clean_Data[CustomerID],A24,Clean_Data[DeliveredInclude],1)</f>
        <v>2</v>
      </c>
      <c r="C24" s="3">
        <f t="shared" si="0"/>
        <v>1</v>
      </c>
      <c r="D24" s="3"/>
      <c r="E24" s="3"/>
    </row>
    <row r="25" spans="1:5" ht="22" customHeight="1">
      <c r="A25" s="3" t="str">
        <f>IFERROR(INDEX(Clean!$D$2:$D$901,SMALL(Clean!$AA$2:$AA$901,ROWS($A$2:A25))),"")</f>
        <v>C137</v>
      </c>
      <c r="B25" s="3">
        <f>COUNTIFS(Clean_Data[CustomerID],A25,Clean_Data[DeliveredInclude],1)</f>
        <v>3</v>
      </c>
      <c r="C25" s="3">
        <f t="shared" si="0"/>
        <v>1</v>
      </c>
      <c r="D25" s="3"/>
      <c r="E25" s="3"/>
    </row>
    <row r="26" spans="1:5" ht="22" customHeight="1">
      <c r="A26" s="3" t="str">
        <f>IFERROR(INDEX(Clean!$D$2:$D$901,SMALL(Clean!$AA$2:$AA$901,ROWS($A$2:A26))),"")</f>
        <v>C227</v>
      </c>
      <c r="B26" s="3">
        <f>COUNTIFS(Clean_Data[CustomerID],A26,Clean_Data[DeliveredInclude],1)</f>
        <v>3</v>
      </c>
      <c r="C26" s="3">
        <f t="shared" si="0"/>
        <v>1</v>
      </c>
      <c r="D26" s="3"/>
      <c r="E26" s="3"/>
    </row>
    <row r="27" spans="1:5" ht="22" customHeight="1">
      <c r="A27" s="3" t="str">
        <f>IFERROR(INDEX(Clean!$D$2:$D$901,SMALL(Clean!$AA$2:$AA$901,ROWS($A$2:A27))),"")</f>
        <v>C203</v>
      </c>
      <c r="B27" s="3">
        <f>COUNTIFS(Clean_Data[CustomerID],A27,Clean_Data[DeliveredInclude],1)</f>
        <v>4</v>
      </c>
      <c r="C27" s="3">
        <f t="shared" si="0"/>
        <v>1</v>
      </c>
      <c r="D27" s="3"/>
      <c r="E27" s="3"/>
    </row>
    <row r="28" spans="1:5" ht="22" customHeight="1">
      <c r="A28" s="3" t="str">
        <f>IFERROR(INDEX(Clean!$D$2:$D$901,SMALL(Clean!$AA$2:$AA$901,ROWS($A$2:A28))),"")</f>
        <v>C110</v>
      </c>
      <c r="B28" s="3">
        <f>COUNTIFS(Clean_Data[CustomerID],A28,Clean_Data[DeliveredInclude],1)</f>
        <v>2</v>
      </c>
      <c r="C28" s="3">
        <f t="shared" si="0"/>
        <v>1</v>
      </c>
      <c r="D28" s="3"/>
      <c r="E28" s="3"/>
    </row>
    <row r="29" spans="1:5" ht="22" customHeight="1">
      <c r="A29" s="3" t="str">
        <f>IFERROR(INDEX(Clean!$D$2:$D$901,SMALL(Clean!$AA$2:$AA$901,ROWS($A$2:A29))),"")</f>
        <v>C161</v>
      </c>
      <c r="B29" s="3">
        <f>COUNTIFS(Clean_Data[CustomerID],A29,Clean_Data[DeliveredInclude],1)</f>
        <v>4</v>
      </c>
      <c r="C29" s="3">
        <f t="shared" si="0"/>
        <v>1</v>
      </c>
      <c r="D29" s="3"/>
      <c r="E29" s="3"/>
    </row>
    <row r="30" spans="1:5" ht="22" customHeight="1">
      <c r="A30" s="3" t="str">
        <f>IFERROR(INDEX(Clean!$D$2:$D$901,SMALL(Clean!$AA$2:$AA$901,ROWS($A$2:A30))),"")</f>
        <v>C103</v>
      </c>
      <c r="B30" s="3">
        <f>COUNTIFS(Clean_Data[CustomerID],A30,Clean_Data[DeliveredInclude],1)</f>
        <v>2</v>
      </c>
      <c r="C30" s="3">
        <f t="shared" si="0"/>
        <v>1</v>
      </c>
      <c r="D30" s="3"/>
      <c r="E30" s="3"/>
    </row>
    <row r="31" spans="1:5" ht="22" customHeight="1">
      <c r="A31" s="3" t="str">
        <f>IFERROR(INDEX(Clean!$D$2:$D$901,SMALL(Clean!$AA$2:$AA$901,ROWS($A$2:A31))),"")</f>
        <v>C026</v>
      </c>
      <c r="B31" s="3">
        <f>COUNTIFS(Clean_Data[CustomerID],A31,Clean_Data[DeliveredInclude],1)</f>
        <v>1</v>
      </c>
      <c r="C31" s="3">
        <f t="shared" si="0"/>
        <v>1</v>
      </c>
      <c r="D31" s="3"/>
      <c r="E31" s="3"/>
    </row>
    <row r="32" spans="1:5" ht="22" customHeight="1">
      <c r="A32" s="3" t="str">
        <f>IFERROR(INDEX(Clean!$D$2:$D$901,SMALL(Clean!$AA$2:$AA$901,ROWS($A$2:A32))),"")</f>
        <v>C200</v>
      </c>
      <c r="B32" s="3">
        <f>COUNTIFS(Clean_Data[CustomerID],A32,Clean_Data[DeliveredInclude],1)</f>
        <v>2</v>
      </c>
      <c r="C32" s="3">
        <f t="shared" si="0"/>
        <v>1</v>
      </c>
      <c r="D32" s="3"/>
      <c r="E32" s="3"/>
    </row>
    <row r="33" spans="1:5" ht="22" customHeight="1">
      <c r="A33" s="3" t="str">
        <f>IFERROR(INDEX(Clean!$D$2:$D$901,SMALL(Clean!$AA$2:$AA$901,ROWS($A$2:A33))),"")</f>
        <v>C003</v>
      </c>
      <c r="B33" s="3">
        <f>COUNTIFS(Clean_Data[CustomerID],A33,Clean_Data[DeliveredInclude],1)</f>
        <v>5</v>
      </c>
      <c r="C33" s="3">
        <f t="shared" si="0"/>
        <v>1</v>
      </c>
      <c r="D33" s="3"/>
      <c r="E33" s="3"/>
    </row>
    <row r="34" spans="1:5" ht="22" customHeight="1">
      <c r="A34" s="3" t="str">
        <f>IFERROR(INDEX(Clean!$D$2:$D$901,SMALL(Clean!$AA$2:$AA$901,ROWS($A$2:A34))),"")</f>
        <v>C230</v>
      </c>
      <c r="B34" s="3">
        <f>COUNTIFS(Clean_Data[CustomerID],A34,Clean_Data[DeliveredInclude],1)</f>
        <v>2</v>
      </c>
      <c r="C34" s="3">
        <f t="shared" si="0"/>
        <v>1</v>
      </c>
      <c r="D34" s="3"/>
      <c r="E34" s="3"/>
    </row>
    <row r="35" spans="1:5" ht="22" customHeight="1">
      <c r="A35" s="3" t="str">
        <f>IFERROR(INDEX(Clean!$D$2:$D$901,SMALL(Clean!$AA$2:$AA$901,ROWS($A$2:A35))),"")</f>
        <v>C084</v>
      </c>
      <c r="B35" s="3">
        <f>COUNTIFS(Clean_Data[CustomerID],A35,Clean_Data[DeliveredInclude],1)</f>
        <v>4</v>
      </c>
      <c r="C35" s="3">
        <f t="shared" si="0"/>
        <v>1</v>
      </c>
      <c r="D35" s="3"/>
      <c r="E35" s="3"/>
    </row>
    <row r="36" spans="1:5" ht="22" customHeight="1">
      <c r="A36" s="3" t="str">
        <f>IFERROR(INDEX(Clean!$D$2:$D$901,SMALL(Clean!$AA$2:$AA$901,ROWS($A$2:A36))),"")</f>
        <v>C069</v>
      </c>
      <c r="B36" s="3">
        <f>COUNTIFS(Clean_Data[CustomerID],A36,Clean_Data[DeliveredInclude],1)</f>
        <v>6</v>
      </c>
      <c r="C36" s="3">
        <f t="shared" si="0"/>
        <v>1</v>
      </c>
      <c r="D36" s="3"/>
      <c r="E36" s="3"/>
    </row>
    <row r="37" spans="1:5" ht="22" customHeight="1">
      <c r="A37" s="3" t="str">
        <f>IFERROR(INDEX(Clean!$D$2:$D$901,SMALL(Clean!$AA$2:$AA$901,ROWS($A$2:A37))),"")</f>
        <v>C295</v>
      </c>
      <c r="B37" s="3">
        <f>COUNTIFS(Clean_Data[CustomerID],A37,Clean_Data[DeliveredInclude],1)</f>
        <v>4</v>
      </c>
      <c r="C37" s="3">
        <f t="shared" si="0"/>
        <v>1</v>
      </c>
      <c r="D37" s="3"/>
      <c r="E37" s="3"/>
    </row>
    <row r="38" spans="1:5" ht="22" customHeight="1">
      <c r="A38" s="3" t="str">
        <f>IFERROR(INDEX(Clean!$D$2:$D$901,SMALL(Clean!$AA$2:$AA$901,ROWS($A$2:A38))),"")</f>
        <v>C071</v>
      </c>
      <c r="B38" s="3">
        <f>COUNTIFS(Clean_Data[CustomerID],A38,Clean_Data[DeliveredInclude],1)</f>
        <v>1</v>
      </c>
      <c r="C38" s="3">
        <f t="shared" si="0"/>
        <v>1</v>
      </c>
      <c r="D38" s="3"/>
      <c r="E38" s="3"/>
    </row>
    <row r="39" spans="1:5" ht="22" customHeight="1">
      <c r="A39" s="3" t="str">
        <f>IFERROR(INDEX(Clean!$D$2:$D$901,SMALL(Clean!$AA$2:$AA$901,ROWS($A$2:A39))),"")</f>
        <v>C209</v>
      </c>
      <c r="B39" s="3">
        <f>COUNTIFS(Clean_Data[CustomerID],A39,Clean_Data[DeliveredInclude],1)</f>
        <v>5</v>
      </c>
      <c r="C39" s="3">
        <f t="shared" si="0"/>
        <v>1</v>
      </c>
      <c r="D39" s="3"/>
      <c r="E39" s="3"/>
    </row>
    <row r="40" spans="1:5" ht="22" customHeight="1">
      <c r="A40" s="3" t="str">
        <f>IFERROR(INDEX(Clean!$D$2:$D$901,SMALL(Clean!$AA$2:$AA$901,ROWS($A$2:A40))),"")</f>
        <v>C238</v>
      </c>
      <c r="B40" s="3">
        <f>COUNTIFS(Clean_Data[CustomerID],A40,Clean_Data[DeliveredInclude],1)</f>
        <v>4</v>
      </c>
      <c r="C40" s="3">
        <f t="shared" si="0"/>
        <v>1</v>
      </c>
      <c r="D40" s="3"/>
      <c r="E40" s="3"/>
    </row>
    <row r="41" spans="1:5" ht="22" customHeight="1">
      <c r="A41" s="3" t="str">
        <f>IFERROR(INDEX(Clean!$D$2:$D$901,SMALL(Clean!$AA$2:$AA$901,ROWS($A$2:A41))),"")</f>
        <v>C060</v>
      </c>
      <c r="B41" s="3">
        <f>COUNTIFS(Clean_Data[CustomerID],A41,Clean_Data[DeliveredInclude],1)</f>
        <v>2</v>
      </c>
      <c r="C41" s="3">
        <f t="shared" si="0"/>
        <v>1</v>
      </c>
      <c r="D41" s="3"/>
      <c r="E41" s="3"/>
    </row>
    <row r="42" spans="1:5" ht="22" customHeight="1">
      <c r="A42" s="3" t="str">
        <f>IFERROR(INDEX(Clean!$D$2:$D$901,SMALL(Clean!$AA$2:$AA$901,ROWS($A$2:A42))),"")</f>
        <v>C158</v>
      </c>
      <c r="B42" s="3">
        <f>COUNTIFS(Clean_Data[CustomerID],A42,Clean_Data[DeliveredInclude],1)</f>
        <v>4</v>
      </c>
      <c r="C42" s="3">
        <f t="shared" si="0"/>
        <v>1</v>
      </c>
      <c r="D42" s="3"/>
      <c r="E42" s="3"/>
    </row>
    <row r="43" spans="1:5" ht="22" customHeight="1">
      <c r="A43" s="3" t="str">
        <f>IFERROR(INDEX(Clean!$D$2:$D$901,SMALL(Clean!$AA$2:$AA$901,ROWS($A$2:A43))),"")</f>
        <v>C043</v>
      </c>
      <c r="B43" s="3">
        <f>COUNTIFS(Clean_Data[CustomerID],A43,Clean_Data[DeliveredInclude],1)</f>
        <v>1</v>
      </c>
      <c r="C43" s="3">
        <f t="shared" si="0"/>
        <v>1</v>
      </c>
      <c r="D43" s="3"/>
      <c r="E43" s="3"/>
    </row>
    <row r="44" spans="1:5" ht="22" customHeight="1">
      <c r="A44" s="3" t="str">
        <f>IFERROR(INDEX(Clean!$D$2:$D$901,SMALL(Clean!$AA$2:$AA$901,ROWS($A$2:A44))),"")</f>
        <v>C275</v>
      </c>
      <c r="B44" s="3">
        <f>COUNTIFS(Clean_Data[CustomerID],A44,Clean_Data[DeliveredInclude],1)</f>
        <v>2</v>
      </c>
      <c r="C44" s="3">
        <f t="shared" si="0"/>
        <v>1</v>
      </c>
      <c r="D44" s="3"/>
      <c r="E44" s="3"/>
    </row>
    <row r="45" spans="1:5" ht="22" customHeight="1">
      <c r="A45" s="3" t="str">
        <f>IFERROR(INDEX(Clean!$D$2:$D$901,SMALL(Clean!$AA$2:$AA$901,ROWS($A$2:A45))),"")</f>
        <v>C062</v>
      </c>
      <c r="B45" s="3">
        <f>COUNTIFS(Clean_Data[CustomerID],A45,Clean_Data[DeliveredInclude],1)</f>
        <v>5</v>
      </c>
      <c r="C45" s="3">
        <f t="shared" si="0"/>
        <v>1</v>
      </c>
      <c r="D45" s="3"/>
      <c r="E45" s="3"/>
    </row>
    <row r="46" spans="1:5" ht="22" customHeight="1">
      <c r="A46" s="3" t="str">
        <f>IFERROR(INDEX(Clean!$D$2:$D$901,SMALL(Clean!$AA$2:$AA$901,ROWS($A$2:A46))),"")</f>
        <v>C045</v>
      </c>
      <c r="B46" s="3">
        <f>COUNTIFS(Clean_Data[CustomerID],A46,Clean_Data[DeliveredInclude],1)</f>
        <v>1</v>
      </c>
      <c r="C46" s="3">
        <f t="shared" si="0"/>
        <v>1</v>
      </c>
      <c r="D46" s="3"/>
      <c r="E46" s="3"/>
    </row>
    <row r="47" spans="1:5" ht="22" customHeight="1">
      <c r="A47" s="3" t="str">
        <f>IFERROR(INDEX(Clean!$D$2:$D$901,SMALL(Clean!$AA$2:$AA$901,ROWS($A$2:A47))),"")</f>
        <v>C173</v>
      </c>
      <c r="B47" s="3">
        <f>COUNTIFS(Clean_Data[CustomerID],A47,Clean_Data[DeliveredInclude],1)</f>
        <v>2</v>
      </c>
      <c r="C47" s="3">
        <f t="shared" si="0"/>
        <v>1</v>
      </c>
      <c r="D47" s="3"/>
      <c r="E47" s="3"/>
    </row>
    <row r="48" spans="1:5" ht="22" customHeight="1">
      <c r="A48" s="3" t="str">
        <f>IFERROR(INDEX(Clean!$D$2:$D$901,SMALL(Clean!$AA$2:$AA$901,ROWS($A$2:A48))),"")</f>
        <v>C156</v>
      </c>
      <c r="B48" s="3">
        <f>COUNTIFS(Clean_Data[CustomerID],A48,Clean_Data[DeliveredInclude],1)</f>
        <v>4</v>
      </c>
      <c r="C48" s="3">
        <f t="shared" si="0"/>
        <v>1</v>
      </c>
      <c r="D48" s="3"/>
      <c r="E48" s="3"/>
    </row>
    <row r="49" spans="1:5" ht="22" customHeight="1">
      <c r="A49" s="3" t="str">
        <f>IFERROR(INDEX(Clean!$D$2:$D$901,SMALL(Clean!$AA$2:$AA$901,ROWS($A$2:A49))),"")</f>
        <v>C207</v>
      </c>
      <c r="B49" s="3">
        <f>COUNTIFS(Clean_Data[CustomerID],A49,Clean_Data[DeliveredInclude],1)</f>
        <v>5</v>
      </c>
      <c r="C49" s="3">
        <f t="shared" si="0"/>
        <v>1</v>
      </c>
      <c r="D49" s="3"/>
      <c r="E49" s="3"/>
    </row>
    <row r="50" spans="1:5" ht="22" customHeight="1">
      <c r="A50" s="3" t="str">
        <f>IFERROR(INDEX(Clean!$D$2:$D$901,SMALL(Clean!$AA$2:$AA$901,ROWS($A$2:A50))),"")</f>
        <v>C267</v>
      </c>
      <c r="B50" s="3">
        <f>COUNTIFS(Clean_Data[CustomerID],A50,Clean_Data[DeliveredInclude],1)</f>
        <v>4</v>
      </c>
      <c r="C50" s="3">
        <f t="shared" si="0"/>
        <v>1</v>
      </c>
      <c r="D50" s="3"/>
      <c r="E50" s="3"/>
    </row>
    <row r="51" spans="1:5" ht="22" customHeight="1">
      <c r="A51" s="3" t="str">
        <f>IFERROR(INDEX(Clean!$D$2:$D$901,SMALL(Clean!$AA$2:$AA$901,ROWS($A$2:A51))),"")</f>
        <v>C099</v>
      </c>
      <c r="B51" s="3">
        <f>COUNTIFS(Clean_Data[CustomerID],A51,Clean_Data[DeliveredInclude],1)</f>
        <v>2</v>
      </c>
      <c r="C51" s="3">
        <f t="shared" si="0"/>
        <v>1</v>
      </c>
      <c r="D51" s="3"/>
      <c r="E51" s="3"/>
    </row>
    <row r="52" spans="1:5" ht="22" customHeight="1">
      <c r="A52" s="3" t="str">
        <f>IFERROR(INDEX(Clean!$D$2:$D$901,SMALL(Clean!$AA$2:$AA$901,ROWS($A$2:A52))),"")</f>
        <v>C241</v>
      </c>
      <c r="B52" s="3">
        <f>COUNTIFS(Clean_Data[CustomerID],A52,Clean_Data[DeliveredInclude],1)</f>
        <v>4</v>
      </c>
      <c r="C52" s="3">
        <f t="shared" si="0"/>
        <v>1</v>
      </c>
      <c r="D52" s="3"/>
      <c r="E52" s="3"/>
    </row>
    <row r="53" spans="1:5" ht="22" customHeight="1">
      <c r="A53" s="3" t="str">
        <f>IFERROR(INDEX(Clean!$D$2:$D$901,SMALL(Clean!$AA$2:$AA$901,ROWS($A$2:A53))),"")</f>
        <v>C199</v>
      </c>
      <c r="B53" s="3">
        <f>COUNTIFS(Clean_Data[CustomerID],A53,Clean_Data[DeliveredInclude],1)</f>
        <v>4</v>
      </c>
      <c r="C53" s="3">
        <f t="shared" si="0"/>
        <v>1</v>
      </c>
      <c r="D53" s="3"/>
      <c r="E53" s="3"/>
    </row>
    <row r="54" spans="1:5" ht="22" customHeight="1">
      <c r="A54" s="3" t="str">
        <f>IFERROR(INDEX(Clean!$D$2:$D$901,SMALL(Clean!$AA$2:$AA$901,ROWS($A$2:A54))),"")</f>
        <v>C211</v>
      </c>
      <c r="B54" s="3">
        <f>COUNTIFS(Clean_Data[CustomerID],A54,Clean_Data[DeliveredInclude],1)</f>
        <v>3</v>
      </c>
      <c r="C54" s="3">
        <f t="shared" si="0"/>
        <v>1</v>
      </c>
      <c r="D54" s="3"/>
      <c r="E54" s="3"/>
    </row>
    <row r="55" spans="1:5" ht="22" customHeight="1">
      <c r="A55" s="3" t="str">
        <f>IFERROR(INDEX(Clean!$D$2:$D$901,SMALL(Clean!$AA$2:$AA$901,ROWS($A$2:A55))),"")</f>
        <v>C172</v>
      </c>
      <c r="B55" s="3">
        <f>COUNTIFS(Clean_Data[CustomerID],A55,Clean_Data[DeliveredInclude],1)</f>
        <v>4</v>
      </c>
      <c r="C55" s="3">
        <f t="shared" si="0"/>
        <v>1</v>
      </c>
      <c r="D55" s="3"/>
      <c r="E55" s="3"/>
    </row>
    <row r="56" spans="1:5" ht="22" customHeight="1">
      <c r="A56" s="3" t="str">
        <f>IFERROR(INDEX(Clean!$D$2:$D$901,SMALL(Clean!$AA$2:$AA$901,ROWS($A$2:A56))),"")</f>
        <v>C234</v>
      </c>
      <c r="B56" s="3">
        <f>COUNTIFS(Clean_Data[CustomerID],A56,Clean_Data[DeliveredInclude],1)</f>
        <v>3</v>
      </c>
      <c r="C56" s="3">
        <f t="shared" si="0"/>
        <v>1</v>
      </c>
      <c r="D56" s="3"/>
      <c r="E56" s="3"/>
    </row>
    <row r="57" spans="1:5" ht="22" customHeight="1">
      <c r="A57" s="3" t="str">
        <f>IFERROR(INDEX(Clean!$D$2:$D$901,SMALL(Clean!$AA$2:$AA$901,ROWS($A$2:A57))),"")</f>
        <v>C121</v>
      </c>
      <c r="B57" s="3">
        <f>COUNTIFS(Clean_Data[CustomerID],A57,Clean_Data[DeliveredInclude],1)</f>
        <v>5</v>
      </c>
      <c r="C57" s="3">
        <f t="shared" si="0"/>
        <v>1</v>
      </c>
      <c r="D57" s="3"/>
      <c r="E57" s="3"/>
    </row>
    <row r="58" spans="1:5" ht="22" customHeight="1">
      <c r="A58" s="3" t="str">
        <f>IFERROR(INDEX(Clean!$D$2:$D$901,SMALL(Clean!$AA$2:$AA$901,ROWS($A$2:A58))),"")</f>
        <v>C170</v>
      </c>
      <c r="B58" s="3">
        <f>COUNTIFS(Clean_Data[CustomerID],A58,Clean_Data[DeliveredInclude],1)</f>
        <v>4</v>
      </c>
      <c r="C58" s="3">
        <f t="shared" si="0"/>
        <v>1</v>
      </c>
      <c r="D58" s="3"/>
      <c r="E58" s="3"/>
    </row>
    <row r="59" spans="1:5" ht="22" customHeight="1">
      <c r="A59" s="3" t="str">
        <f>IFERROR(INDEX(Clean!$D$2:$D$901,SMALL(Clean!$AA$2:$AA$901,ROWS($A$2:A59))),"")</f>
        <v>C096</v>
      </c>
      <c r="B59" s="3">
        <f>COUNTIFS(Clean_Data[CustomerID],A59,Clean_Data[DeliveredInclude],1)</f>
        <v>1</v>
      </c>
      <c r="C59" s="3">
        <f t="shared" si="0"/>
        <v>1</v>
      </c>
      <c r="D59" s="3"/>
      <c r="E59" s="3"/>
    </row>
    <row r="60" spans="1:5" ht="22" customHeight="1">
      <c r="A60" s="3" t="str">
        <f>IFERROR(INDEX(Clean!$D$2:$D$901,SMALL(Clean!$AA$2:$AA$901,ROWS($A$2:A60))),"")</f>
        <v>C210</v>
      </c>
      <c r="B60" s="3">
        <f>COUNTIFS(Clean_Data[CustomerID],A60,Clean_Data[DeliveredInclude],1)</f>
        <v>8</v>
      </c>
      <c r="C60" s="3">
        <f t="shared" si="0"/>
        <v>1</v>
      </c>
      <c r="D60" s="3"/>
      <c r="E60" s="3"/>
    </row>
    <row r="61" spans="1:5" ht="22" customHeight="1">
      <c r="A61" s="3" t="str">
        <f>IFERROR(INDEX(Clean!$D$2:$D$901,SMALL(Clean!$AA$2:$AA$901,ROWS($A$2:A61))),"")</f>
        <v>C009</v>
      </c>
      <c r="B61" s="3">
        <f>COUNTIFS(Clean_Data[CustomerID],A61,Clean_Data[DeliveredInclude],1)</f>
        <v>5</v>
      </c>
      <c r="C61" s="3">
        <f t="shared" si="0"/>
        <v>1</v>
      </c>
      <c r="D61" s="3"/>
      <c r="E61" s="3"/>
    </row>
    <row r="62" spans="1:5" ht="22" customHeight="1">
      <c r="A62" s="3" t="str">
        <f>IFERROR(INDEX(Clean!$D$2:$D$901,SMALL(Clean!$AA$2:$AA$901,ROWS($A$2:A62))),"")</f>
        <v>C033</v>
      </c>
      <c r="B62" s="3">
        <f>COUNTIFS(Clean_Data[CustomerID],A62,Clean_Data[DeliveredInclude],1)</f>
        <v>3</v>
      </c>
      <c r="C62" s="3">
        <f t="shared" si="0"/>
        <v>1</v>
      </c>
      <c r="D62" s="3"/>
      <c r="E62" s="3"/>
    </row>
    <row r="63" spans="1:5" ht="22" customHeight="1">
      <c r="A63" s="3" t="str">
        <f>IFERROR(INDEX(Clean!$D$2:$D$901,SMALL(Clean!$AA$2:$AA$901,ROWS($A$2:A63))),"")</f>
        <v>C104</v>
      </c>
      <c r="B63" s="3">
        <f>COUNTIFS(Clean_Data[CustomerID],A63,Clean_Data[DeliveredInclude],1)</f>
        <v>3</v>
      </c>
      <c r="C63" s="3">
        <f t="shared" si="0"/>
        <v>1</v>
      </c>
      <c r="D63" s="3"/>
      <c r="E63" s="3"/>
    </row>
    <row r="64" spans="1:5" ht="22" customHeight="1">
      <c r="A64" s="3" t="str">
        <f>IFERROR(INDEX(Clean!$D$2:$D$901,SMALL(Clean!$AA$2:$AA$901,ROWS($A$2:A64))),"")</f>
        <v>C285</v>
      </c>
      <c r="B64" s="3">
        <f>COUNTIFS(Clean_Data[CustomerID],A64,Clean_Data[DeliveredInclude],1)</f>
        <v>3</v>
      </c>
      <c r="C64" s="3">
        <f t="shared" si="0"/>
        <v>1</v>
      </c>
      <c r="D64" s="3"/>
      <c r="E64" s="3"/>
    </row>
    <row r="65" spans="1:5" ht="22" customHeight="1">
      <c r="A65" s="3" t="str">
        <f>IFERROR(INDEX(Clean!$D$2:$D$901,SMALL(Clean!$AA$2:$AA$901,ROWS($A$2:A65))),"")</f>
        <v>C153</v>
      </c>
      <c r="B65" s="3">
        <f>COUNTIFS(Clean_Data[CustomerID],A65,Clean_Data[DeliveredInclude],1)</f>
        <v>3</v>
      </c>
      <c r="C65" s="3">
        <f t="shared" si="0"/>
        <v>1</v>
      </c>
      <c r="D65" s="3"/>
      <c r="E65" s="3"/>
    </row>
    <row r="66" spans="1:5" ht="22" customHeight="1">
      <c r="A66" s="3" t="str">
        <f>IFERROR(INDEX(Clean!$D$2:$D$901,SMALL(Clean!$AA$2:$AA$901,ROWS($A$2:A66))),"")</f>
        <v>C258</v>
      </c>
      <c r="B66" s="3">
        <f>COUNTIFS(Clean_Data[CustomerID],A66,Clean_Data[DeliveredInclude],1)</f>
        <v>3</v>
      </c>
      <c r="C66" s="3">
        <f t="shared" ref="C66:C129" si="1">IF(B66&gt;0,1,0)</f>
        <v>1</v>
      </c>
      <c r="D66" s="3"/>
      <c r="E66" s="3"/>
    </row>
    <row r="67" spans="1:5" ht="22" customHeight="1">
      <c r="A67" s="3" t="str">
        <f>IFERROR(INDEX(Clean!$D$2:$D$901,SMALL(Clean!$AA$2:$AA$901,ROWS($A$2:A67))),"")</f>
        <v>C278</v>
      </c>
      <c r="B67" s="3">
        <f>COUNTIFS(Clean_Data[CustomerID],A67,Clean_Data[DeliveredInclude],1)</f>
        <v>4</v>
      </c>
      <c r="C67" s="3">
        <f t="shared" si="1"/>
        <v>1</v>
      </c>
      <c r="D67" s="3"/>
      <c r="E67" s="3"/>
    </row>
    <row r="68" spans="1:5" ht="22" customHeight="1">
      <c r="A68" s="3" t="str">
        <f>IFERROR(INDEX(Clean!$D$2:$D$901,SMALL(Clean!$AA$2:$AA$901,ROWS($A$2:A68))),"")</f>
        <v>C078</v>
      </c>
      <c r="B68" s="3">
        <f>COUNTIFS(Clean_Data[CustomerID],A68,Clean_Data[DeliveredInclude],1)</f>
        <v>7</v>
      </c>
      <c r="C68" s="3">
        <f t="shared" si="1"/>
        <v>1</v>
      </c>
      <c r="D68" s="3"/>
      <c r="E68" s="3"/>
    </row>
    <row r="69" spans="1:5" ht="22" customHeight="1">
      <c r="A69" s="3" t="str">
        <f>IFERROR(INDEX(Clean!$D$2:$D$901,SMALL(Clean!$AA$2:$AA$901,ROWS($A$2:A69))),"")</f>
        <v>C031</v>
      </c>
      <c r="B69" s="3">
        <f>COUNTIFS(Clean_Data[CustomerID],A69,Clean_Data[DeliveredInclude],1)</f>
        <v>7</v>
      </c>
      <c r="C69" s="3">
        <f t="shared" si="1"/>
        <v>1</v>
      </c>
      <c r="D69" s="3"/>
      <c r="E69" s="3"/>
    </row>
    <row r="70" spans="1:5" ht="22" customHeight="1">
      <c r="A70" s="3" t="str">
        <f>IFERROR(INDEX(Clean!$D$2:$D$901,SMALL(Clean!$AA$2:$AA$901,ROWS($A$2:A70))),"")</f>
        <v>C102</v>
      </c>
      <c r="B70" s="3">
        <f>COUNTIFS(Clean_Data[CustomerID],A70,Clean_Data[DeliveredInclude],1)</f>
        <v>5</v>
      </c>
      <c r="C70" s="3">
        <f t="shared" si="1"/>
        <v>1</v>
      </c>
      <c r="D70" s="3"/>
      <c r="E70" s="3"/>
    </row>
    <row r="71" spans="1:5" ht="22" customHeight="1">
      <c r="A71" s="3" t="str">
        <f>IFERROR(INDEX(Clean!$D$2:$D$901,SMALL(Clean!$AA$2:$AA$901,ROWS($A$2:A71))),"")</f>
        <v>C027</v>
      </c>
      <c r="B71" s="3">
        <f>COUNTIFS(Clean_Data[CustomerID],A71,Clean_Data[DeliveredInclude],1)</f>
        <v>2</v>
      </c>
      <c r="C71" s="3">
        <f t="shared" si="1"/>
        <v>1</v>
      </c>
      <c r="D71" s="3"/>
      <c r="E71" s="3"/>
    </row>
    <row r="72" spans="1:5" ht="22" customHeight="1">
      <c r="A72" s="3" t="str">
        <f>IFERROR(INDEX(Clean!$D$2:$D$901,SMALL(Clean!$AA$2:$AA$901,ROWS($A$2:A72))),"")</f>
        <v>C186</v>
      </c>
      <c r="B72" s="3">
        <f>COUNTIFS(Clean_Data[CustomerID],A72,Clean_Data[DeliveredInclude],1)</f>
        <v>5</v>
      </c>
      <c r="C72" s="3">
        <f t="shared" si="1"/>
        <v>1</v>
      </c>
      <c r="D72" s="3"/>
      <c r="E72" s="3"/>
    </row>
    <row r="73" spans="1:5" ht="22" customHeight="1">
      <c r="A73" s="3" t="str">
        <f>IFERROR(INDEX(Clean!$D$2:$D$901,SMALL(Clean!$AA$2:$AA$901,ROWS($A$2:A73))),"")</f>
        <v>C076</v>
      </c>
      <c r="B73" s="3">
        <f>COUNTIFS(Clean_Data[CustomerID],A73,Clean_Data[DeliveredInclude],1)</f>
        <v>3</v>
      </c>
      <c r="C73" s="3">
        <f t="shared" si="1"/>
        <v>1</v>
      </c>
      <c r="D73" s="3"/>
      <c r="E73" s="3"/>
    </row>
    <row r="74" spans="1:5" ht="22" customHeight="1">
      <c r="A74" s="3" t="str">
        <f>IFERROR(INDEX(Clean!$D$2:$D$901,SMALL(Clean!$AA$2:$AA$901,ROWS($A$2:A74))),"")</f>
        <v>C066</v>
      </c>
      <c r="B74" s="3">
        <f>COUNTIFS(Clean_Data[CustomerID],A74,Clean_Data[DeliveredInclude],1)</f>
        <v>3</v>
      </c>
      <c r="C74" s="3">
        <f t="shared" si="1"/>
        <v>1</v>
      </c>
      <c r="D74" s="3"/>
      <c r="E74" s="3"/>
    </row>
    <row r="75" spans="1:5" ht="22" customHeight="1">
      <c r="A75" s="3" t="str">
        <f>IFERROR(INDEX(Clean!$D$2:$D$901,SMALL(Clean!$AA$2:$AA$901,ROWS($A$2:A75))),"")</f>
        <v>C131</v>
      </c>
      <c r="B75" s="3">
        <f>COUNTIFS(Clean_Data[CustomerID],A75,Clean_Data[DeliveredInclude],1)</f>
        <v>3</v>
      </c>
      <c r="C75" s="3">
        <f t="shared" si="1"/>
        <v>1</v>
      </c>
      <c r="D75" s="3"/>
      <c r="E75" s="3"/>
    </row>
    <row r="76" spans="1:5" ht="22" customHeight="1">
      <c r="A76" s="3" t="str">
        <f>IFERROR(INDEX(Clean!$D$2:$D$901,SMALL(Clean!$AA$2:$AA$901,ROWS($A$2:A76))),"")</f>
        <v>C164</v>
      </c>
      <c r="B76" s="3">
        <f>COUNTIFS(Clean_Data[CustomerID],A76,Clean_Data[DeliveredInclude],1)</f>
        <v>2</v>
      </c>
      <c r="C76" s="3">
        <f t="shared" si="1"/>
        <v>1</v>
      </c>
      <c r="D76" s="3"/>
      <c r="E76" s="3"/>
    </row>
    <row r="77" spans="1:5" ht="22" customHeight="1">
      <c r="A77" s="3" t="str">
        <f>IFERROR(INDEX(Clean!$D$2:$D$901,SMALL(Clean!$AA$2:$AA$901,ROWS($A$2:A77))),"")</f>
        <v>C180</v>
      </c>
      <c r="B77" s="3">
        <f>COUNTIFS(Clean_Data[CustomerID],A77,Clean_Data[DeliveredInclude],1)</f>
        <v>2</v>
      </c>
      <c r="C77" s="3">
        <f t="shared" si="1"/>
        <v>1</v>
      </c>
      <c r="D77" s="3"/>
      <c r="E77" s="3"/>
    </row>
    <row r="78" spans="1:5" ht="22" customHeight="1">
      <c r="A78" s="3" t="str">
        <f>IFERROR(INDEX(Clean!$D$2:$D$901,SMALL(Clean!$AA$2:$AA$901,ROWS($A$2:A78))),"")</f>
        <v>C116</v>
      </c>
      <c r="B78" s="3">
        <f>COUNTIFS(Clean_Data[CustomerID],A78,Clean_Data[DeliveredInclude],1)</f>
        <v>3</v>
      </c>
      <c r="C78" s="3">
        <f t="shared" si="1"/>
        <v>1</v>
      </c>
      <c r="D78" s="3"/>
      <c r="E78" s="3"/>
    </row>
    <row r="79" spans="1:5" ht="22" customHeight="1">
      <c r="A79" s="3" t="str">
        <f>IFERROR(INDEX(Clean!$D$2:$D$901,SMALL(Clean!$AA$2:$AA$901,ROWS($A$2:A79))),"")</f>
        <v>C269</v>
      </c>
      <c r="B79" s="3">
        <f>COUNTIFS(Clean_Data[CustomerID],A79,Clean_Data[DeliveredInclude],1)</f>
        <v>4</v>
      </c>
      <c r="C79" s="3">
        <f t="shared" si="1"/>
        <v>1</v>
      </c>
      <c r="D79" s="3"/>
      <c r="E79" s="3"/>
    </row>
    <row r="80" spans="1:5" ht="22" customHeight="1">
      <c r="A80" s="3" t="str">
        <f>IFERROR(INDEX(Clean!$D$2:$D$901,SMALL(Clean!$AA$2:$AA$901,ROWS($A$2:A80))),"")</f>
        <v>C059</v>
      </c>
      <c r="B80" s="3">
        <f>COUNTIFS(Clean_Data[CustomerID],A80,Clean_Data[DeliveredInclude],1)</f>
        <v>3</v>
      </c>
      <c r="C80" s="3">
        <f t="shared" si="1"/>
        <v>1</v>
      </c>
      <c r="D80" s="3"/>
      <c r="E80" s="3"/>
    </row>
    <row r="81" spans="1:5" ht="22" customHeight="1">
      <c r="A81" s="3" t="str">
        <f>IFERROR(INDEX(Clean!$D$2:$D$901,SMALL(Clean!$AA$2:$AA$901,ROWS($A$2:A81))),"")</f>
        <v>C252</v>
      </c>
      <c r="B81" s="3">
        <f>COUNTIFS(Clean_Data[CustomerID],A81,Clean_Data[DeliveredInclude],1)</f>
        <v>4</v>
      </c>
      <c r="C81" s="3">
        <f t="shared" si="1"/>
        <v>1</v>
      </c>
      <c r="D81" s="3"/>
      <c r="E81" s="3"/>
    </row>
    <row r="82" spans="1:5" ht="22" customHeight="1">
      <c r="A82" s="3" t="str">
        <f>IFERROR(INDEX(Clean!$D$2:$D$901,SMALL(Clean!$AA$2:$AA$901,ROWS($A$2:A82))),"")</f>
        <v>C264</v>
      </c>
      <c r="B82" s="3">
        <f>COUNTIFS(Clean_Data[CustomerID],A82,Clean_Data[DeliveredInclude],1)</f>
        <v>5</v>
      </c>
      <c r="C82" s="3">
        <f t="shared" si="1"/>
        <v>1</v>
      </c>
      <c r="D82" s="3"/>
      <c r="E82" s="3"/>
    </row>
    <row r="83" spans="1:5" ht="22" customHeight="1">
      <c r="A83" s="3" t="str">
        <f>IFERROR(INDEX(Clean!$D$2:$D$901,SMALL(Clean!$AA$2:$AA$901,ROWS($A$2:A83))),"")</f>
        <v>C005</v>
      </c>
      <c r="B83" s="3">
        <f>COUNTIFS(Clean_Data[CustomerID],A83,Clean_Data[DeliveredInclude],1)</f>
        <v>6</v>
      </c>
      <c r="C83" s="3">
        <f t="shared" si="1"/>
        <v>1</v>
      </c>
      <c r="D83" s="3"/>
      <c r="E83" s="3"/>
    </row>
    <row r="84" spans="1:5" ht="22" customHeight="1">
      <c r="A84" s="3" t="str">
        <f>IFERROR(INDEX(Clean!$D$2:$D$901,SMALL(Clean!$AA$2:$AA$901,ROWS($A$2:A84))),"")</f>
        <v>C197</v>
      </c>
      <c r="B84" s="3">
        <f>COUNTIFS(Clean_Data[CustomerID],A84,Clean_Data[DeliveredInclude],1)</f>
        <v>3</v>
      </c>
      <c r="C84" s="3">
        <f t="shared" si="1"/>
        <v>1</v>
      </c>
      <c r="D84" s="3"/>
      <c r="E84" s="3"/>
    </row>
    <row r="85" spans="1:5" ht="22" customHeight="1">
      <c r="A85" s="3" t="str">
        <f>IFERROR(INDEX(Clean!$D$2:$D$901,SMALL(Clean!$AA$2:$AA$901,ROWS($A$2:A85))),"")</f>
        <v>C272</v>
      </c>
      <c r="B85" s="3">
        <f>COUNTIFS(Clean_Data[CustomerID],A85,Clean_Data[DeliveredInclude],1)</f>
        <v>2</v>
      </c>
      <c r="C85" s="3">
        <f t="shared" si="1"/>
        <v>1</v>
      </c>
      <c r="D85" s="3"/>
      <c r="E85" s="3"/>
    </row>
    <row r="86" spans="1:5" ht="22" customHeight="1">
      <c r="A86" s="3" t="str">
        <f>IFERROR(INDEX(Clean!$D$2:$D$901,SMALL(Clean!$AA$2:$AA$901,ROWS($A$2:A86))),"")</f>
        <v>C218</v>
      </c>
      <c r="B86" s="3">
        <f>COUNTIFS(Clean_Data[CustomerID],A86,Clean_Data[DeliveredInclude],1)</f>
        <v>5</v>
      </c>
      <c r="C86" s="3">
        <f t="shared" si="1"/>
        <v>1</v>
      </c>
      <c r="D86" s="3"/>
      <c r="E86" s="3"/>
    </row>
    <row r="87" spans="1:5" ht="22" customHeight="1">
      <c r="A87" s="3" t="str">
        <f>IFERROR(INDEX(Clean!$D$2:$D$901,SMALL(Clean!$AA$2:$AA$901,ROWS($A$2:A87))),"")</f>
        <v>C174</v>
      </c>
      <c r="B87" s="3">
        <f>COUNTIFS(Clean_Data[CustomerID],A87,Clean_Data[DeliveredInclude],1)</f>
        <v>4</v>
      </c>
      <c r="C87" s="3">
        <f t="shared" si="1"/>
        <v>1</v>
      </c>
      <c r="D87" s="3"/>
      <c r="E87" s="3"/>
    </row>
    <row r="88" spans="1:5" ht="22" customHeight="1">
      <c r="A88" s="3" t="str">
        <f>IFERROR(INDEX(Clean!$D$2:$D$901,SMALL(Clean!$AA$2:$AA$901,ROWS($A$2:A88))),"")</f>
        <v>C139</v>
      </c>
      <c r="B88" s="3">
        <f>COUNTIFS(Clean_Data[CustomerID],A88,Clean_Data[DeliveredInclude],1)</f>
        <v>3</v>
      </c>
      <c r="C88" s="3">
        <f t="shared" si="1"/>
        <v>1</v>
      </c>
      <c r="D88" s="3"/>
      <c r="E88" s="3"/>
    </row>
    <row r="89" spans="1:5" ht="22" customHeight="1">
      <c r="A89" s="3" t="str">
        <f>IFERROR(INDEX(Clean!$D$2:$D$901,SMALL(Clean!$AA$2:$AA$901,ROWS($A$2:A89))),"")</f>
        <v>C126</v>
      </c>
      <c r="B89" s="3">
        <f>COUNTIFS(Clean_Data[CustomerID],A89,Clean_Data[DeliveredInclude],1)</f>
        <v>3</v>
      </c>
      <c r="C89" s="3">
        <f t="shared" si="1"/>
        <v>1</v>
      </c>
      <c r="D89" s="3"/>
      <c r="E89" s="3"/>
    </row>
    <row r="90" spans="1:5" ht="22" customHeight="1">
      <c r="A90" s="3" t="str">
        <f>IFERROR(INDEX(Clean!$D$2:$D$901,SMALL(Clean!$AA$2:$AA$901,ROWS($A$2:A90))),"")</f>
        <v>C028</v>
      </c>
      <c r="B90" s="3">
        <f>COUNTIFS(Clean_Data[CustomerID],A90,Clean_Data[DeliveredInclude],1)</f>
        <v>1</v>
      </c>
      <c r="C90" s="3">
        <f t="shared" si="1"/>
        <v>1</v>
      </c>
      <c r="D90" s="3"/>
      <c r="E90" s="3"/>
    </row>
    <row r="91" spans="1:5" ht="22" customHeight="1">
      <c r="A91" s="3" t="str">
        <f>IFERROR(INDEX(Clean!$D$2:$D$901,SMALL(Clean!$AA$2:$AA$901,ROWS($A$2:A91))),"")</f>
        <v>C192</v>
      </c>
      <c r="B91" s="3">
        <f>COUNTIFS(Clean_Data[CustomerID],A91,Clean_Data[DeliveredInclude],1)</f>
        <v>2</v>
      </c>
      <c r="C91" s="3">
        <f t="shared" si="1"/>
        <v>1</v>
      </c>
      <c r="D91" s="3"/>
      <c r="E91" s="3"/>
    </row>
    <row r="92" spans="1:5" ht="22" customHeight="1">
      <c r="A92" s="3" t="str">
        <f>IFERROR(INDEX(Clean!$D$2:$D$901,SMALL(Clean!$AA$2:$AA$901,ROWS($A$2:A92))),"")</f>
        <v>C001</v>
      </c>
      <c r="B92" s="3">
        <f>COUNTIFS(Clean_Data[CustomerID],A92,Clean_Data[DeliveredInclude],1)</f>
        <v>2</v>
      </c>
      <c r="C92" s="3">
        <f t="shared" si="1"/>
        <v>1</v>
      </c>
      <c r="D92" s="3"/>
      <c r="E92" s="3"/>
    </row>
    <row r="93" spans="1:5" ht="22" customHeight="1">
      <c r="A93" s="3" t="str">
        <f>IFERROR(INDEX(Clean!$D$2:$D$901,SMALL(Clean!$AA$2:$AA$901,ROWS($A$2:A93))),"")</f>
        <v>C016</v>
      </c>
      <c r="B93" s="3">
        <f>COUNTIFS(Clean_Data[CustomerID],A93,Clean_Data[DeliveredInclude],1)</f>
        <v>2</v>
      </c>
      <c r="C93" s="3">
        <f t="shared" si="1"/>
        <v>1</v>
      </c>
      <c r="D93" s="3"/>
      <c r="E93" s="3"/>
    </row>
    <row r="94" spans="1:5" ht="22" customHeight="1">
      <c r="A94" s="3" t="str">
        <f>IFERROR(INDEX(Clean!$D$2:$D$901,SMALL(Clean!$AA$2:$AA$901,ROWS($A$2:A94))),"")</f>
        <v>C019</v>
      </c>
      <c r="B94" s="3">
        <f>COUNTIFS(Clean_Data[CustomerID],A94,Clean_Data[DeliveredInclude],1)</f>
        <v>2</v>
      </c>
      <c r="C94" s="3">
        <f t="shared" si="1"/>
        <v>1</v>
      </c>
      <c r="D94" s="3"/>
      <c r="E94" s="3"/>
    </row>
    <row r="95" spans="1:5" ht="22" customHeight="1">
      <c r="A95" s="3" t="str">
        <f>IFERROR(INDEX(Clean!$D$2:$D$901,SMALL(Clean!$AA$2:$AA$901,ROWS($A$2:A95))),"")</f>
        <v>C294</v>
      </c>
      <c r="B95" s="3">
        <f>COUNTIFS(Clean_Data[CustomerID],A95,Clean_Data[DeliveredInclude],1)</f>
        <v>3</v>
      </c>
      <c r="C95" s="3">
        <f t="shared" si="1"/>
        <v>1</v>
      </c>
      <c r="D95" s="3"/>
      <c r="E95" s="3"/>
    </row>
    <row r="96" spans="1:5" ht="22" customHeight="1">
      <c r="A96" s="3" t="str">
        <f>IFERROR(INDEX(Clean!$D$2:$D$901,SMALL(Clean!$AA$2:$AA$901,ROWS($A$2:A96))),"")</f>
        <v>C007</v>
      </c>
      <c r="B96" s="3">
        <f>COUNTIFS(Clean_Data[CustomerID],A96,Clean_Data[DeliveredInclude],1)</f>
        <v>3</v>
      </c>
      <c r="C96" s="3">
        <f t="shared" si="1"/>
        <v>1</v>
      </c>
      <c r="D96" s="3"/>
      <c r="E96" s="3"/>
    </row>
    <row r="97" spans="1:5" ht="22" customHeight="1">
      <c r="A97" s="3" t="str">
        <f>IFERROR(INDEX(Clean!$D$2:$D$901,SMALL(Clean!$AA$2:$AA$901,ROWS($A$2:A97))),"")</f>
        <v>C018</v>
      </c>
      <c r="B97" s="3">
        <f>COUNTIFS(Clean_Data[CustomerID],A97,Clean_Data[DeliveredInclude],1)</f>
        <v>1</v>
      </c>
      <c r="C97" s="3">
        <f t="shared" si="1"/>
        <v>1</v>
      </c>
      <c r="D97" s="3"/>
      <c r="E97" s="3"/>
    </row>
    <row r="98" spans="1:5" ht="22" customHeight="1">
      <c r="A98" s="3" t="str">
        <f>IFERROR(INDEX(Clean!$D$2:$D$901,SMALL(Clean!$AA$2:$AA$901,ROWS($A$2:A98))),"")</f>
        <v>C120</v>
      </c>
      <c r="B98" s="3">
        <f>COUNTIFS(Clean_Data[CustomerID],A98,Clean_Data[DeliveredInclude],1)</f>
        <v>5</v>
      </c>
      <c r="C98" s="3">
        <f t="shared" si="1"/>
        <v>1</v>
      </c>
      <c r="D98" s="3"/>
      <c r="E98" s="3"/>
    </row>
    <row r="99" spans="1:5" ht="22" customHeight="1">
      <c r="A99" s="3" t="str">
        <f>IFERROR(INDEX(Clean!$D$2:$D$901,SMALL(Clean!$AA$2:$AA$901,ROWS($A$2:A99))),"")</f>
        <v>C262</v>
      </c>
      <c r="B99" s="3">
        <f>COUNTIFS(Clean_Data[CustomerID],A99,Clean_Data[DeliveredInclude],1)</f>
        <v>4</v>
      </c>
      <c r="C99" s="3">
        <f t="shared" si="1"/>
        <v>1</v>
      </c>
      <c r="D99" s="3"/>
      <c r="E99" s="3"/>
    </row>
    <row r="100" spans="1:5" ht="22" customHeight="1">
      <c r="A100" s="3" t="str">
        <f>IFERROR(INDEX(Clean!$D$2:$D$901,SMALL(Clean!$AA$2:$AA$901,ROWS($A$2:A100))),"")</f>
        <v>C008</v>
      </c>
      <c r="B100" s="3">
        <f>COUNTIFS(Clean_Data[CustomerID],A100,Clean_Data[DeliveredInclude],1)</f>
        <v>5</v>
      </c>
      <c r="C100" s="3">
        <f t="shared" si="1"/>
        <v>1</v>
      </c>
      <c r="D100" s="3"/>
      <c r="E100" s="3"/>
    </row>
    <row r="101" spans="1:5" ht="22" customHeight="1">
      <c r="A101" s="3" t="str">
        <f>IFERROR(INDEX(Clean!$D$2:$D$901,SMALL(Clean!$AA$2:$AA$901,ROWS($A$2:A101))),"")</f>
        <v>C151</v>
      </c>
      <c r="B101" s="3">
        <f>COUNTIFS(Clean_Data[CustomerID],A101,Clean_Data[DeliveredInclude],1)</f>
        <v>2</v>
      </c>
      <c r="C101" s="3">
        <f t="shared" si="1"/>
        <v>1</v>
      </c>
      <c r="D101" s="3"/>
      <c r="E101" s="3"/>
    </row>
    <row r="102" spans="1:5" ht="22" customHeight="1">
      <c r="A102" s="3" t="str">
        <f>IFERROR(INDEX(Clean!$D$2:$D$901,SMALL(Clean!$AA$2:$AA$901,ROWS($A$2:A102))),"")</f>
        <v>C159</v>
      </c>
      <c r="B102" s="3">
        <f>COUNTIFS(Clean_Data[CustomerID],A102,Clean_Data[DeliveredInclude],1)</f>
        <v>3</v>
      </c>
      <c r="C102" s="3">
        <f t="shared" si="1"/>
        <v>1</v>
      </c>
      <c r="D102" s="3"/>
      <c r="E102" s="3"/>
    </row>
    <row r="103" spans="1:5" ht="22" customHeight="1">
      <c r="A103" s="3" t="str">
        <f>IFERROR(INDEX(Clean!$D$2:$D$901,SMALL(Clean!$AA$2:$AA$901,ROWS($A$2:A103))),"")</f>
        <v>C046</v>
      </c>
      <c r="B103" s="3">
        <f>COUNTIFS(Clean_Data[CustomerID],A103,Clean_Data[DeliveredInclude],1)</f>
        <v>1</v>
      </c>
      <c r="C103" s="3">
        <f t="shared" si="1"/>
        <v>1</v>
      </c>
      <c r="D103" s="3"/>
      <c r="E103" s="3"/>
    </row>
    <row r="104" spans="1:5" ht="22" customHeight="1">
      <c r="A104" s="3" t="str">
        <f>IFERROR(INDEX(Clean!$D$2:$D$901,SMALL(Clean!$AA$2:$AA$901,ROWS($A$2:A104))),"")</f>
        <v>C101</v>
      </c>
      <c r="B104" s="3">
        <f>COUNTIFS(Clean_Data[CustomerID],A104,Clean_Data[DeliveredInclude],1)</f>
        <v>4</v>
      </c>
      <c r="C104" s="3">
        <f t="shared" si="1"/>
        <v>1</v>
      </c>
      <c r="D104" s="3"/>
      <c r="E104" s="3"/>
    </row>
    <row r="105" spans="1:5" ht="22" customHeight="1">
      <c r="A105" s="3" t="str">
        <f>IFERROR(INDEX(Clean!$D$2:$D$901,SMALL(Clean!$AA$2:$AA$901,ROWS($A$2:A105))),"")</f>
        <v>C053</v>
      </c>
      <c r="B105" s="3">
        <f>COUNTIFS(Clean_Data[CustomerID],A105,Clean_Data[DeliveredInclude],1)</f>
        <v>4</v>
      </c>
      <c r="C105" s="3">
        <f t="shared" si="1"/>
        <v>1</v>
      </c>
      <c r="D105" s="3"/>
      <c r="E105" s="3"/>
    </row>
    <row r="106" spans="1:5" ht="22" customHeight="1">
      <c r="A106" s="3" t="str">
        <f>IFERROR(INDEX(Clean!$D$2:$D$901,SMALL(Clean!$AA$2:$AA$901,ROWS($A$2:A106))),"")</f>
        <v>C176</v>
      </c>
      <c r="B106" s="3">
        <f>COUNTIFS(Clean_Data[CustomerID],A106,Clean_Data[DeliveredInclude],1)</f>
        <v>2</v>
      </c>
      <c r="C106" s="3">
        <f t="shared" si="1"/>
        <v>1</v>
      </c>
      <c r="D106" s="3"/>
      <c r="E106" s="3"/>
    </row>
    <row r="107" spans="1:5" ht="22" customHeight="1">
      <c r="A107" s="3" t="str">
        <f>IFERROR(INDEX(Clean!$D$2:$D$901,SMALL(Clean!$AA$2:$AA$901,ROWS($A$2:A107))),"")</f>
        <v>C261</v>
      </c>
      <c r="B107" s="3">
        <f>COUNTIFS(Clean_Data[CustomerID],A107,Clean_Data[DeliveredInclude],1)</f>
        <v>7</v>
      </c>
      <c r="C107" s="3">
        <f t="shared" si="1"/>
        <v>1</v>
      </c>
      <c r="D107" s="3"/>
      <c r="E107" s="3"/>
    </row>
    <row r="108" spans="1:5" ht="22" customHeight="1">
      <c r="A108" s="3" t="str">
        <f>IFERROR(INDEX(Clean!$D$2:$D$901,SMALL(Clean!$AA$2:$AA$901,ROWS($A$2:A108))),"")</f>
        <v>C155</v>
      </c>
      <c r="B108" s="3">
        <f>COUNTIFS(Clean_Data[CustomerID],A108,Clean_Data[DeliveredInclude],1)</f>
        <v>3</v>
      </c>
      <c r="C108" s="3">
        <f t="shared" si="1"/>
        <v>1</v>
      </c>
      <c r="D108" s="3"/>
      <c r="E108" s="3"/>
    </row>
    <row r="109" spans="1:5" ht="22" customHeight="1">
      <c r="A109" s="3" t="str">
        <f>IFERROR(INDEX(Clean!$D$2:$D$901,SMALL(Clean!$AA$2:$AA$901,ROWS($A$2:A109))),"")</f>
        <v>C136</v>
      </c>
      <c r="B109" s="3">
        <f>COUNTIFS(Clean_Data[CustomerID],A109,Clean_Data[DeliveredInclude],1)</f>
        <v>2</v>
      </c>
      <c r="C109" s="3">
        <f t="shared" si="1"/>
        <v>1</v>
      </c>
      <c r="D109" s="3"/>
      <c r="E109" s="3"/>
    </row>
    <row r="110" spans="1:5" ht="22" customHeight="1">
      <c r="A110" s="3" t="str">
        <f>IFERROR(INDEX(Clean!$D$2:$D$901,SMALL(Clean!$AA$2:$AA$901,ROWS($A$2:A110))),"")</f>
        <v>C193</v>
      </c>
      <c r="B110" s="3">
        <f>COUNTIFS(Clean_Data[CustomerID],A110,Clean_Data[DeliveredInclude],1)</f>
        <v>7</v>
      </c>
      <c r="C110" s="3">
        <f t="shared" si="1"/>
        <v>1</v>
      </c>
      <c r="D110" s="3"/>
      <c r="E110" s="3"/>
    </row>
    <row r="111" spans="1:5" ht="22" customHeight="1">
      <c r="A111" s="3" t="str">
        <f>IFERROR(INDEX(Clean!$D$2:$D$901,SMALL(Clean!$AA$2:$AA$901,ROWS($A$2:A111))),"")</f>
        <v>C224</v>
      </c>
      <c r="B111" s="3">
        <f>COUNTIFS(Clean_Data[CustomerID],A111,Clean_Data[DeliveredInclude],1)</f>
        <v>4</v>
      </c>
      <c r="C111" s="3">
        <f t="shared" si="1"/>
        <v>1</v>
      </c>
      <c r="D111" s="3"/>
      <c r="E111" s="3"/>
    </row>
    <row r="112" spans="1:5" ht="22" customHeight="1">
      <c r="A112" s="3" t="str">
        <f>IFERROR(INDEX(Clean!$D$2:$D$901,SMALL(Clean!$AA$2:$AA$901,ROWS($A$2:A112))),"")</f>
        <v>C138</v>
      </c>
      <c r="B112" s="3">
        <f>COUNTIFS(Clean_Data[CustomerID],A112,Clean_Data[DeliveredInclude],1)</f>
        <v>2</v>
      </c>
      <c r="C112" s="3">
        <f t="shared" si="1"/>
        <v>1</v>
      </c>
      <c r="D112" s="3"/>
      <c r="E112" s="3"/>
    </row>
    <row r="113" spans="1:5" ht="22" customHeight="1">
      <c r="A113" s="3" t="str">
        <f>IFERROR(INDEX(Clean!$D$2:$D$901,SMALL(Clean!$AA$2:$AA$901,ROWS($A$2:A113))),"")</f>
        <v>C056</v>
      </c>
      <c r="B113" s="3">
        <f>COUNTIFS(Clean_Data[CustomerID],A113,Clean_Data[DeliveredInclude],1)</f>
        <v>4</v>
      </c>
      <c r="C113" s="3">
        <f t="shared" si="1"/>
        <v>1</v>
      </c>
      <c r="D113" s="3"/>
      <c r="E113" s="3"/>
    </row>
    <row r="114" spans="1:5" ht="22" customHeight="1">
      <c r="A114" s="3" t="str">
        <f>IFERROR(INDEX(Clean!$D$2:$D$901,SMALL(Clean!$AA$2:$AA$901,ROWS($A$2:A114))),"")</f>
        <v>C279</v>
      </c>
      <c r="B114" s="3">
        <f>COUNTIFS(Clean_Data[CustomerID],A114,Clean_Data[DeliveredInclude],1)</f>
        <v>5</v>
      </c>
      <c r="C114" s="3">
        <f t="shared" si="1"/>
        <v>1</v>
      </c>
      <c r="D114" s="3"/>
      <c r="E114" s="3"/>
    </row>
    <row r="115" spans="1:5" ht="22" customHeight="1">
      <c r="A115" s="3" t="str">
        <f>IFERROR(INDEX(Clean!$D$2:$D$901,SMALL(Clean!$AA$2:$AA$901,ROWS($A$2:A115))),"")</f>
        <v>C089</v>
      </c>
      <c r="B115" s="3">
        <f>COUNTIFS(Clean_Data[CustomerID],A115,Clean_Data[DeliveredInclude],1)</f>
        <v>5</v>
      </c>
      <c r="C115" s="3">
        <f t="shared" si="1"/>
        <v>1</v>
      </c>
      <c r="D115" s="3"/>
      <c r="E115" s="3"/>
    </row>
    <row r="116" spans="1:5" ht="22" customHeight="1">
      <c r="A116" s="3" t="str">
        <f>IFERROR(INDEX(Clean!$D$2:$D$901,SMALL(Clean!$AA$2:$AA$901,ROWS($A$2:A116))),"")</f>
        <v>C169</v>
      </c>
      <c r="B116" s="3">
        <f>COUNTIFS(Clean_Data[CustomerID],A116,Clean_Data[DeliveredInclude],1)</f>
        <v>5</v>
      </c>
      <c r="C116" s="3">
        <f t="shared" si="1"/>
        <v>1</v>
      </c>
      <c r="D116" s="3"/>
      <c r="E116" s="3"/>
    </row>
    <row r="117" spans="1:5" ht="22" customHeight="1">
      <c r="A117" s="3" t="str">
        <f>IFERROR(INDEX(Clean!$D$2:$D$901,SMALL(Clean!$AA$2:$AA$901,ROWS($A$2:A117))),"")</f>
        <v>C038</v>
      </c>
      <c r="B117" s="3">
        <f>COUNTIFS(Clean_Data[CustomerID],A117,Clean_Data[DeliveredInclude],1)</f>
        <v>3</v>
      </c>
      <c r="C117" s="3">
        <f t="shared" si="1"/>
        <v>1</v>
      </c>
      <c r="D117" s="3"/>
      <c r="E117" s="3"/>
    </row>
    <row r="118" spans="1:5" ht="22" customHeight="1">
      <c r="A118" s="3" t="str">
        <f>IFERROR(INDEX(Clean!$D$2:$D$901,SMALL(Clean!$AA$2:$AA$901,ROWS($A$2:A118))),"")</f>
        <v>C049</v>
      </c>
      <c r="B118" s="3">
        <f>COUNTIFS(Clean_Data[CustomerID],A118,Clean_Data[DeliveredInclude],1)</f>
        <v>6</v>
      </c>
      <c r="C118" s="3">
        <f t="shared" si="1"/>
        <v>1</v>
      </c>
      <c r="D118" s="3"/>
      <c r="E118" s="3"/>
    </row>
    <row r="119" spans="1:5" ht="22" customHeight="1">
      <c r="A119" s="3" t="str">
        <f>IFERROR(INDEX(Clean!$D$2:$D$901,SMALL(Clean!$AA$2:$AA$901,ROWS($A$2:A119))),"")</f>
        <v>C002</v>
      </c>
      <c r="B119" s="3">
        <f>COUNTIFS(Clean_Data[CustomerID],A119,Clean_Data[DeliveredInclude],1)</f>
        <v>2</v>
      </c>
      <c r="C119" s="3">
        <f t="shared" si="1"/>
        <v>1</v>
      </c>
      <c r="D119" s="3"/>
      <c r="E119" s="3"/>
    </row>
    <row r="120" spans="1:5" ht="22" customHeight="1">
      <c r="A120" s="3" t="str">
        <f>IFERROR(INDEX(Clean!$D$2:$D$901,SMALL(Clean!$AA$2:$AA$901,ROWS($A$2:A120))),"")</f>
        <v>C195</v>
      </c>
      <c r="B120" s="3">
        <f>COUNTIFS(Clean_Data[CustomerID],A120,Clean_Data[DeliveredInclude],1)</f>
        <v>3</v>
      </c>
      <c r="C120" s="3">
        <f t="shared" si="1"/>
        <v>1</v>
      </c>
      <c r="D120" s="3"/>
      <c r="E120" s="3"/>
    </row>
    <row r="121" spans="1:5" ht="22" customHeight="1">
      <c r="A121" s="3" t="str">
        <f>IFERROR(INDEX(Clean!$D$2:$D$901,SMALL(Clean!$AA$2:$AA$901,ROWS($A$2:A121))),"")</f>
        <v>C048</v>
      </c>
      <c r="B121" s="3">
        <f>COUNTIFS(Clean_Data[CustomerID],A121,Clean_Data[DeliveredInclude],1)</f>
        <v>3</v>
      </c>
      <c r="C121" s="3">
        <f t="shared" si="1"/>
        <v>1</v>
      </c>
      <c r="D121" s="3"/>
      <c r="E121" s="3"/>
    </row>
    <row r="122" spans="1:5" ht="22" customHeight="1">
      <c r="A122" s="3" t="str">
        <f>IFERROR(INDEX(Clean!$D$2:$D$901,SMALL(Clean!$AA$2:$AA$901,ROWS($A$2:A122))),"")</f>
        <v>C190</v>
      </c>
      <c r="B122" s="3">
        <f>COUNTIFS(Clean_Data[CustomerID],A122,Clean_Data[DeliveredInclude],1)</f>
        <v>5</v>
      </c>
      <c r="C122" s="3">
        <f t="shared" si="1"/>
        <v>1</v>
      </c>
      <c r="D122" s="3"/>
      <c r="E122" s="3"/>
    </row>
    <row r="123" spans="1:5" ht="22" customHeight="1">
      <c r="A123" s="3" t="str">
        <f>IFERROR(INDEX(Clean!$D$2:$D$901,SMALL(Clean!$AA$2:$AA$901,ROWS($A$2:A123))),"")</f>
        <v>C221</v>
      </c>
      <c r="B123" s="3">
        <f>COUNTIFS(Clean_Data[CustomerID],A123,Clean_Data[DeliveredInclude],1)</f>
        <v>3</v>
      </c>
      <c r="C123" s="3">
        <f t="shared" si="1"/>
        <v>1</v>
      </c>
      <c r="D123" s="3"/>
      <c r="E123" s="3"/>
    </row>
    <row r="124" spans="1:5" ht="22" customHeight="1">
      <c r="A124" s="3" t="str">
        <f>IFERROR(INDEX(Clean!$D$2:$D$901,SMALL(Clean!$AA$2:$AA$901,ROWS($A$2:A124))),"")</f>
        <v>C253</v>
      </c>
      <c r="B124" s="3">
        <f>COUNTIFS(Clean_Data[CustomerID],A124,Clean_Data[DeliveredInclude],1)</f>
        <v>4</v>
      </c>
      <c r="C124" s="3">
        <f t="shared" si="1"/>
        <v>1</v>
      </c>
      <c r="D124" s="3"/>
      <c r="E124" s="3"/>
    </row>
    <row r="125" spans="1:5" ht="22" customHeight="1">
      <c r="A125" s="3" t="str">
        <f>IFERROR(INDEX(Clean!$D$2:$D$901,SMALL(Clean!$AA$2:$AA$901,ROWS($A$2:A125))),"")</f>
        <v>C289</v>
      </c>
      <c r="B125" s="3">
        <f>COUNTIFS(Clean_Data[CustomerID],A125,Clean_Data[DeliveredInclude],1)</f>
        <v>3</v>
      </c>
      <c r="C125" s="3">
        <f t="shared" si="1"/>
        <v>1</v>
      </c>
      <c r="D125" s="3"/>
      <c r="E125" s="3"/>
    </row>
    <row r="126" spans="1:5" ht="22" customHeight="1">
      <c r="A126" s="3" t="str">
        <f>IFERROR(INDEX(Clean!$D$2:$D$901,SMALL(Clean!$AA$2:$AA$901,ROWS($A$2:A126))),"")</f>
        <v>C157</v>
      </c>
      <c r="B126" s="3">
        <f>COUNTIFS(Clean_Data[CustomerID],A126,Clean_Data[DeliveredInclude],1)</f>
        <v>2</v>
      </c>
      <c r="C126" s="3">
        <f t="shared" si="1"/>
        <v>1</v>
      </c>
      <c r="D126" s="3"/>
      <c r="E126" s="3"/>
    </row>
    <row r="127" spans="1:5" ht="22" customHeight="1">
      <c r="A127" s="3" t="str">
        <f>IFERROR(INDEX(Clean!$D$2:$D$901,SMALL(Clean!$AA$2:$AA$901,ROWS($A$2:A127))),"")</f>
        <v>C194</v>
      </c>
      <c r="B127" s="3">
        <f>COUNTIFS(Clean_Data[CustomerID],A127,Clean_Data[DeliveredInclude],1)</f>
        <v>5</v>
      </c>
      <c r="C127" s="3">
        <f t="shared" si="1"/>
        <v>1</v>
      </c>
      <c r="D127" s="3"/>
      <c r="E127" s="3"/>
    </row>
    <row r="128" spans="1:5" ht="22" customHeight="1">
      <c r="A128" s="3" t="str">
        <f>IFERROR(INDEX(Clean!$D$2:$D$901,SMALL(Clean!$AA$2:$AA$901,ROWS($A$2:A128))),"")</f>
        <v>C263</v>
      </c>
      <c r="B128" s="3">
        <f>COUNTIFS(Clean_Data[CustomerID],A128,Clean_Data[DeliveredInclude],1)</f>
        <v>6</v>
      </c>
      <c r="C128" s="3">
        <f t="shared" si="1"/>
        <v>1</v>
      </c>
      <c r="D128" s="3"/>
      <c r="E128" s="3"/>
    </row>
    <row r="129" spans="1:5" ht="22" customHeight="1">
      <c r="A129" s="3" t="str">
        <f>IFERROR(INDEX(Clean!$D$2:$D$901,SMALL(Clean!$AA$2:$AA$901,ROWS($A$2:A129))),"")</f>
        <v>C052</v>
      </c>
      <c r="B129" s="3">
        <f>COUNTIFS(Clean_Data[CustomerID],A129,Clean_Data[DeliveredInclude],1)</f>
        <v>4</v>
      </c>
      <c r="C129" s="3">
        <f t="shared" si="1"/>
        <v>1</v>
      </c>
      <c r="D129" s="3"/>
      <c r="E129" s="3"/>
    </row>
    <row r="130" spans="1:5" ht="22" customHeight="1">
      <c r="A130" s="3" t="str">
        <f>IFERROR(INDEX(Clean!$D$2:$D$901,SMALL(Clean!$AA$2:$AA$901,ROWS($A$2:A130))),"")</f>
        <v>C242</v>
      </c>
      <c r="B130" s="3">
        <f>COUNTIFS(Clean_Data[CustomerID],A130,Clean_Data[DeliveredInclude],1)</f>
        <v>4</v>
      </c>
      <c r="C130" s="3">
        <f t="shared" ref="C130:C193" si="2">IF(B130&gt;0,1,0)</f>
        <v>1</v>
      </c>
      <c r="D130" s="3"/>
      <c r="E130" s="3"/>
    </row>
    <row r="131" spans="1:5" ht="22" customHeight="1">
      <c r="A131" s="3" t="str">
        <f>IFERROR(INDEX(Clean!$D$2:$D$901,SMALL(Clean!$AA$2:$AA$901,ROWS($A$2:A131))),"")</f>
        <v>C017</v>
      </c>
      <c r="B131" s="3">
        <f>COUNTIFS(Clean_Data[CustomerID],A131,Clean_Data[DeliveredInclude],1)</f>
        <v>4</v>
      </c>
      <c r="C131" s="3">
        <f t="shared" si="2"/>
        <v>1</v>
      </c>
      <c r="D131" s="3"/>
      <c r="E131" s="3"/>
    </row>
    <row r="132" spans="1:5" ht="22" customHeight="1">
      <c r="A132" s="3" t="str">
        <f>IFERROR(INDEX(Clean!$D$2:$D$901,SMALL(Clean!$AA$2:$AA$901,ROWS($A$2:A132))),"")</f>
        <v>C204</v>
      </c>
      <c r="B132" s="3">
        <f>COUNTIFS(Clean_Data[CustomerID],A132,Clean_Data[DeliveredInclude],1)</f>
        <v>4</v>
      </c>
      <c r="C132" s="3">
        <f t="shared" si="2"/>
        <v>1</v>
      </c>
      <c r="D132" s="3"/>
      <c r="E132" s="3"/>
    </row>
    <row r="133" spans="1:5" ht="22" customHeight="1">
      <c r="A133" s="3" t="str">
        <f>IFERROR(INDEX(Clean!$D$2:$D$901,SMALL(Clean!$AA$2:$AA$901,ROWS($A$2:A133))),"")</f>
        <v>C013</v>
      </c>
      <c r="B133" s="3">
        <f>COUNTIFS(Clean_Data[CustomerID],A133,Clean_Data[DeliveredInclude],1)</f>
        <v>1</v>
      </c>
      <c r="C133" s="3">
        <f t="shared" si="2"/>
        <v>1</v>
      </c>
      <c r="D133" s="3"/>
      <c r="E133" s="3"/>
    </row>
    <row r="134" spans="1:5" ht="22" customHeight="1">
      <c r="A134" s="3" t="str">
        <f>IFERROR(INDEX(Clean!$D$2:$D$901,SMALL(Clean!$AA$2:$AA$901,ROWS($A$2:A134))),"")</f>
        <v>C039</v>
      </c>
      <c r="B134" s="3">
        <f>COUNTIFS(Clean_Data[CustomerID],A134,Clean_Data[DeliveredInclude],1)</f>
        <v>3</v>
      </c>
      <c r="C134" s="3">
        <f t="shared" si="2"/>
        <v>1</v>
      </c>
      <c r="D134" s="3"/>
      <c r="E134" s="3"/>
    </row>
    <row r="135" spans="1:5" ht="22" customHeight="1">
      <c r="A135" s="3" t="str">
        <f>IFERROR(INDEX(Clean!$D$2:$D$901,SMALL(Clean!$AA$2:$AA$901,ROWS($A$2:A135))),"")</f>
        <v>C244</v>
      </c>
      <c r="B135" s="3">
        <f>COUNTIFS(Clean_Data[CustomerID],A135,Clean_Data[DeliveredInclude],1)</f>
        <v>3</v>
      </c>
      <c r="C135" s="3">
        <f t="shared" si="2"/>
        <v>1</v>
      </c>
      <c r="D135" s="3"/>
      <c r="E135" s="3"/>
    </row>
    <row r="136" spans="1:5" ht="22" customHeight="1">
      <c r="A136" s="3" t="str">
        <f>IFERROR(INDEX(Clean!$D$2:$D$901,SMALL(Clean!$AA$2:$AA$901,ROWS($A$2:A136))),"")</f>
        <v>C123</v>
      </c>
      <c r="B136" s="3">
        <f>COUNTIFS(Clean_Data[CustomerID],A136,Clean_Data[DeliveredInclude],1)</f>
        <v>3</v>
      </c>
      <c r="C136" s="3">
        <f t="shared" si="2"/>
        <v>1</v>
      </c>
      <c r="D136" s="3"/>
      <c r="E136" s="3"/>
    </row>
    <row r="137" spans="1:5" ht="22" customHeight="1">
      <c r="A137" s="3" t="str">
        <f>IFERROR(INDEX(Clean!$D$2:$D$901,SMALL(Clean!$AA$2:$AA$901,ROWS($A$2:A137))),"")</f>
        <v>C293</v>
      </c>
      <c r="B137" s="3">
        <f>COUNTIFS(Clean_Data[CustomerID],A137,Clean_Data[DeliveredInclude],1)</f>
        <v>3</v>
      </c>
      <c r="C137" s="3">
        <f t="shared" si="2"/>
        <v>1</v>
      </c>
      <c r="D137" s="3"/>
      <c r="E137" s="3"/>
    </row>
    <row r="138" spans="1:5" ht="22" customHeight="1">
      <c r="A138" s="3" t="str">
        <f>IFERROR(INDEX(Clean!$D$2:$D$901,SMALL(Clean!$AA$2:$AA$901,ROWS($A$2:A138))),"")</f>
        <v>C271</v>
      </c>
      <c r="B138" s="3">
        <f>COUNTIFS(Clean_Data[CustomerID],A138,Clean_Data[DeliveredInclude],1)</f>
        <v>3</v>
      </c>
      <c r="C138" s="3">
        <f t="shared" si="2"/>
        <v>1</v>
      </c>
      <c r="D138" s="3"/>
      <c r="E138" s="3"/>
    </row>
    <row r="139" spans="1:5" ht="22" customHeight="1">
      <c r="A139" s="3" t="str">
        <f>IFERROR(INDEX(Clean!$D$2:$D$901,SMALL(Clean!$AA$2:$AA$901,ROWS($A$2:A139))),"")</f>
        <v>C291</v>
      </c>
      <c r="B139" s="3">
        <f>COUNTIFS(Clean_Data[CustomerID],A139,Clean_Data[DeliveredInclude],1)</f>
        <v>3</v>
      </c>
      <c r="C139" s="3">
        <f t="shared" si="2"/>
        <v>1</v>
      </c>
      <c r="D139" s="3"/>
      <c r="E139" s="3"/>
    </row>
    <row r="140" spans="1:5" ht="22" customHeight="1">
      <c r="A140" s="3" t="str">
        <f>IFERROR(INDEX(Clean!$D$2:$D$901,SMALL(Clean!$AA$2:$AA$901,ROWS($A$2:A140))),"")</f>
        <v>C201</v>
      </c>
      <c r="B140" s="3">
        <f>COUNTIFS(Clean_Data[CustomerID],A140,Clean_Data[DeliveredInclude],1)</f>
        <v>2</v>
      </c>
      <c r="C140" s="3">
        <f t="shared" si="2"/>
        <v>1</v>
      </c>
      <c r="D140" s="3"/>
      <c r="E140" s="3"/>
    </row>
    <row r="141" spans="1:5" ht="22" customHeight="1">
      <c r="A141" s="3" t="str">
        <f>IFERROR(INDEX(Clean!$D$2:$D$901,SMALL(Clean!$AA$2:$AA$901,ROWS($A$2:A141))),"")</f>
        <v>C055</v>
      </c>
      <c r="B141" s="3">
        <f>COUNTIFS(Clean_Data[CustomerID],A141,Clean_Data[DeliveredInclude],1)</f>
        <v>6</v>
      </c>
      <c r="C141" s="3">
        <f t="shared" si="2"/>
        <v>1</v>
      </c>
      <c r="D141" s="3"/>
      <c r="E141" s="3"/>
    </row>
    <row r="142" spans="1:5" ht="22" customHeight="1">
      <c r="A142" s="3" t="str">
        <f>IFERROR(INDEX(Clean!$D$2:$D$901,SMALL(Clean!$AA$2:$AA$901,ROWS($A$2:A142))),"")</f>
        <v>C150</v>
      </c>
      <c r="B142" s="3">
        <f>COUNTIFS(Clean_Data[CustomerID],A142,Clean_Data[DeliveredInclude],1)</f>
        <v>3</v>
      </c>
      <c r="C142" s="3">
        <f t="shared" si="2"/>
        <v>1</v>
      </c>
      <c r="D142" s="3"/>
      <c r="E142" s="3"/>
    </row>
    <row r="143" spans="1:5" ht="22" customHeight="1">
      <c r="A143" s="3" t="str">
        <f>IFERROR(INDEX(Clean!$D$2:$D$901,SMALL(Clean!$AA$2:$AA$901,ROWS($A$2:A143))),"")</f>
        <v>C130</v>
      </c>
      <c r="B143" s="3">
        <f>COUNTIFS(Clean_Data[CustomerID],A143,Clean_Data[DeliveredInclude],1)</f>
        <v>2</v>
      </c>
      <c r="C143" s="3">
        <f t="shared" si="2"/>
        <v>1</v>
      </c>
      <c r="D143" s="3"/>
      <c r="E143" s="3"/>
    </row>
    <row r="144" spans="1:5" ht="22" customHeight="1">
      <c r="A144" s="3" t="str">
        <f>IFERROR(INDEX(Clean!$D$2:$D$901,SMALL(Clean!$AA$2:$AA$901,ROWS($A$2:A144))),"")</f>
        <v>C248</v>
      </c>
      <c r="B144" s="3">
        <f>COUNTIFS(Clean_Data[CustomerID],A144,Clean_Data[DeliveredInclude],1)</f>
        <v>2</v>
      </c>
      <c r="C144" s="3">
        <f t="shared" si="2"/>
        <v>1</v>
      </c>
      <c r="D144" s="3"/>
      <c r="E144" s="3"/>
    </row>
    <row r="145" spans="1:5" ht="22" customHeight="1">
      <c r="A145" s="3" t="str">
        <f>IFERROR(INDEX(Clean!$D$2:$D$901,SMALL(Clean!$AA$2:$AA$901,ROWS($A$2:A145))),"")</f>
        <v>C178</v>
      </c>
      <c r="B145" s="3">
        <f>COUNTIFS(Clean_Data[CustomerID],A145,Clean_Data[DeliveredInclude],1)</f>
        <v>4</v>
      </c>
      <c r="C145" s="3">
        <f t="shared" si="2"/>
        <v>1</v>
      </c>
      <c r="D145" s="3"/>
      <c r="E145" s="3"/>
    </row>
    <row r="146" spans="1:5" ht="22" customHeight="1">
      <c r="A146" s="3" t="str">
        <f>IFERROR(INDEX(Clean!$D$2:$D$901,SMALL(Clean!$AA$2:$AA$901,ROWS($A$2:A146))),"")</f>
        <v>C141</v>
      </c>
      <c r="B146" s="3">
        <f>COUNTIFS(Clean_Data[CustomerID],A146,Clean_Data[DeliveredInclude],1)</f>
        <v>5</v>
      </c>
      <c r="C146" s="3">
        <f t="shared" si="2"/>
        <v>1</v>
      </c>
      <c r="D146" s="3"/>
      <c r="E146" s="3"/>
    </row>
    <row r="147" spans="1:5" ht="22" customHeight="1">
      <c r="A147" s="3" t="str">
        <f>IFERROR(INDEX(Clean!$D$2:$D$901,SMALL(Clean!$AA$2:$AA$901,ROWS($A$2:A147))),"")</f>
        <v>C300</v>
      </c>
      <c r="B147" s="3">
        <f>COUNTIFS(Clean_Data[CustomerID],A147,Clean_Data[DeliveredInclude],1)</f>
        <v>5</v>
      </c>
      <c r="C147" s="3">
        <f t="shared" si="2"/>
        <v>1</v>
      </c>
      <c r="D147" s="3"/>
      <c r="E147" s="3"/>
    </row>
    <row r="148" spans="1:5" ht="22" customHeight="1">
      <c r="A148" s="3" t="str">
        <f>IFERROR(INDEX(Clean!$D$2:$D$901,SMALL(Clean!$AA$2:$AA$901,ROWS($A$2:A148))),"")</f>
        <v>C162</v>
      </c>
      <c r="B148" s="3">
        <f>COUNTIFS(Clean_Data[CustomerID],A148,Clean_Data[DeliveredInclude],1)</f>
        <v>4</v>
      </c>
      <c r="C148" s="3">
        <f t="shared" si="2"/>
        <v>1</v>
      </c>
      <c r="D148" s="3"/>
      <c r="E148" s="3"/>
    </row>
    <row r="149" spans="1:5" ht="22" customHeight="1">
      <c r="A149" s="3" t="str">
        <f>IFERROR(INDEX(Clean!$D$2:$D$901,SMALL(Clean!$AA$2:$AA$901,ROWS($A$2:A149))),"")</f>
        <v>C081</v>
      </c>
      <c r="B149" s="3">
        <f>COUNTIFS(Clean_Data[CustomerID],A149,Clean_Data[DeliveredInclude],1)</f>
        <v>1</v>
      </c>
      <c r="C149" s="3">
        <f t="shared" si="2"/>
        <v>1</v>
      </c>
      <c r="D149" s="3"/>
      <c r="E149" s="3"/>
    </row>
    <row r="150" spans="1:5" ht="22" customHeight="1">
      <c r="A150" s="3" t="str">
        <f>IFERROR(INDEX(Clean!$D$2:$D$901,SMALL(Clean!$AA$2:$AA$901,ROWS($A$2:A150))),"")</f>
        <v>C072</v>
      </c>
      <c r="B150" s="3">
        <f>COUNTIFS(Clean_Data[CustomerID],A150,Clean_Data[DeliveredInclude],1)</f>
        <v>6</v>
      </c>
      <c r="C150" s="3">
        <f t="shared" si="2"/>
        <v>1</v>
      </c>
      <c r="D150" s="3"/>
      <c r="E150" s="3"/>
    </row>
    <row r="151" spans="1:5" ht="22" customHeight="1">
      <c r="A151" s="3" t="str">
        <f>IFERROR(INDEX(Clean!$D$2:$D$901,SMALL(Clean!$AA$2:$AA$901,ROWS($A$2:A151))),"")</f>
        <v>C277</v>
      </c>
      <c r="B151" s="3">
        <f>COUNTIFS(Clean_Data[CustomerID],A151,Clean_Data[DeliveredInclude],1)</f>
        <v>4</v>
      </c>
      <c r="C151" s="3">
        <f t="shared" si="2"/>
        <v>1</v>
      </c>
      <c r="D151" s="3"/>
      <c r="E151" s="3"/>
    </row>
    <row r="152" spans="1:5" ht="22" customHeight="1">
      <c r="A152" s="3" t="str">
        <f>IFERROR(INDEX(Clean!$D$2:$D$901,SMALL(Clean!$AA$2:$AA$901,ROWS($A$2:A152))),"")</f>
        <v>C106</v>
      </c>
      <c r="B152" s="3">
        <f>COUNTIFS(Clean_Data[CustomerID],A152,Clean_Data[DeliveredInclude],1)</f>
        <v>2</v>
      </c>
      <c r="C152" s="3">
        <f t="shared" si="2"/>
        <v>1</v>
      </c>
      <c r="D152" s="3"/>
      <c r="E152" s="3"/>
    </row>
    <row r="153" spans="1:5" ht="22" customHeight="1">
      <c r="A153" s="3" t="str">
        <f>IFERROR(INDEX(Clean!$D$2:$D$901,SMALL(Clean!$AA$2:$AA$901,ROWS($A$2:A153))),"")</f>
        <v>C063</v>
      </c>
      <c r="B153" s="3">
        <f>COUNTIFS(Clean_Data[CustomerID],A153,Clean_Data[DeliveredInclude],1)</f>
        <v>2</v>
      </c>
      <c r="C153" s="3">
        <f t="shared" si="2"/>
        <v>1</v>
      </c>
      <c r="D153" s="3"/>
      <c r="E153" s="3"/>
    </row>
    <row r="154" spans="1:5" ht="22" customHeight="1">
      <c r="A154" s="3" t="str">
        <f>IFERROR(INDEX(Clean!$D$2:$D$901,SMALL(Clean!$AA$2:$AA$901,ROWS($A$2:A154))),"")</f>
        <v>C115</v>
      </c>
      <c r="B154" s="3">
        <f>COUNTIFS(Clean_Data[CustomerID],A154,Clean_Data[DeliveredInclude],1)</f>
        <v>2</v>
      </c>
      <c r="C154" s="3">
        <f t="shared" si="2"/>
        <v>1</v>
      </c>
      <c r="D154" s="3"/>
      <c r="E154" s="3"/>
    </row>
    <row r="155" spans="1:5" ht="22" customHeight="1">
      <c r="A155" s="3" t="str">
        <f>IFERROR(INDEX(Clean!$D$2:$D$901,SMALL(Clean!$AA$2:$AA$901,ROWS($A$2:A155))),"")</f>
        <v>C212</v>
      </c>
      <c r="B155" s="3">
        <f>COUNTIFS(Clean_Data[CustomerID],A155,Clean_Data[DeliveredInclude],1)</f>
        <v>3</v>
      </c>
      <c r="C155" s="3">
        <f t="shared" si="2"/>
        <v>1</v>
      </c>
      <c r="D155" s="3"/>
      <c r="E155" s="3"/>
    </row>
    <row r="156" spans="1:5" ht="22" customHeight="1">
      <c r="A156" s="3" t="str">
        <f>IFERROR(INDEX(Clean!$D$2:$D$901,SMALL(Clean!$AA$2:$AA$901,ROWS($A$2:A156))),"")</f>
        <v>C034</v>
      </c>
      <c r="B156" s="3">
        <f>COUNTIFS(Clean_Data[CustomerID],A156,Clean_Data[DeliveredInclude],1)</f>
        <v>4</v>
      </c>
      <c r="C156" s="3">
        <f t="shared" si="2"/>
        <v>1</v>
      </c>
      <c r="D156" s="3"/>
      <c r="E156" s="3"/>
    </row>
    <row r="157" spans="1:5" ht="22" customHeight="1">
      <c r="A157" s="3" t="str">
        <f>IFERROR(INDEX(Clean!$D$2:$D$901,SMALL(Clean!$AA$2:$AA$901,ROWS($A$2:A157))),"")</f>
        <v>C177</v>
      </c>
      <c r="B157" s="3">
        <f>COUNTIFS(Clean_Data[CustomerID],A157,Clean_Data[DeliveredInclude],1)</f>
        <v>2</v>
      </c>
      <c r="C157" s="3">
        <f t="shared" si="2"/>
        <v>1</v>
      </c>
      <c r="D157" s="3"/>
      <c r="E157" s="3"/>
    </row>
    <row r="158" spans="1:5" ht="22" customHeight="1">
      <c r="A158" s="3" t="str">
        <f>IFERROR(INDEX(Clean!$D$2:$D$901,SMALL(Clean!$AA$2:$AA$901,ROWS($A$2:A158))),"")</f>
        <v>C287</v>
      </c>
      <c r="B158" s="3">
        <f>COUNTIFS(Clean_Data[CustomerID],A158,Clean_Data[DeliveredInclude],1)</f>
        <v>2</v>
      </c>
      <c r="C158" s="3">
        <f t="shared" si="2"/>
        <v>1</v>
      </c>
      <c r="D158" s="3"/>
      <c r="E158" s="3"/>
    </row>
    <row r="159" spans="1:5" ht="22" customHeight="1">
      <c r="A159" s="3" t="str">
        <f>IFERROR(INDEX(Clean!$D$2:$D$901,SMALL(Clean!$AA$2:$AA$901,ROWS($A$2:A159))),"")</f>
        <v>C035</v>
      </c>
      <c r="B159" s="3">
        <f>COUNTIFS(Clean_Data[CustomerID],A159,Clean_Data[DeliveredInclude],1)</f>
        <v>4</v>
      </c>
      <c r="C159" s="3">
        <f t="shared" si="2"/>
        <v>1</v>
      </c>
      <c r="D159" s="3"/>
      <c r="E159" s="3"/>
    </row>
    <row r="160" spans="1:5" ht="22" customHeight="1">
      <c r="A160" s="3" t="str">
        <f>IFERROR(INDEX(Clean!$D$2:$D$901,SMALL(Clean!$AA$2:$AA$901,ROWS($A$2:A160))),"")</f>
        <v>C091</v>
      </c>
      <c r="B160" s="3">
        <f>COUNTIFS(Clean_Data[CustomerID],A160,Clean_Data[DeliveredInclude],1)</f>
        <v>5</v>
      </c>
      <c r="C160" s="3">
        <f t="shared" si="2"/>
        <v>1</v>
      </c>
      <c r="D160" s="3"/>
      <c r="E160" s="3"/>
    </row>
    <row r="161" spans="1:5" ht="22" customHeight="1">
      <c r="A161" s="3" t="str">
        <f>IFERROR(INDEX(Clean!$D$2:$D$901,SMALL(Clean!$AA$2:$AA$901,ROWS($A$2:A161))),"")</f>
        <v>C216</v>
      </c>
      <c r="B161" s="3">
        <f>COUNTIFS(Clean_Data[CustomerID],A161,Clean_Data[DeliveredInclude],1)</f>
        <v>1</v>
      </c>
      <c r="C161" s="3">
        <f t="shared" si="2"/>
        <v>1</v>
      </c>
      <c r="D161" s="3"/>
      <c r="E161" s="3"/>
    </row>
    <row r="162" spans="1:5" ht="22" customHeight="1">
      <c r="A162" s="3" t="str">
        <f>IFERROR(INDEX(Clean!$D$2:$D$901,SMALL(Clean!$AA$2:$AA$901,ROWS($A$2:A162))),"")</f>
        <v>C168</v>
      </c>
      <c r="B162" s="3">
        <f>COUNTIFS(Clean_Data[CustomerID],A162,Clean_Data[DeliveredInclude],1)</f>
        <v>2</v>
      </c>
      <c r="C162" s="3">
        <f t="shared" si="2"/>
        <v>1</v>
      </c>
      <c r="D162" s="3"/>
      <c r="E162" s="3"/>
    </row>
    <row r="163" spans="1:5" ht="22" customHeight="1">
      <c r="A163" s="3" t="str">
        <f>IFERROR(INDEX(Clean!$D$2:$D$901,SMALL(Clean!$AA$2:$AA$901,ROWS($A$2:A163))),"")</f>
        <v>C239</v>
      </c>
      <c r="B163" s="3">
        <f>COUNTIFS(Clean_Data[CustomerID],A163,Clean_Data[DeliveredInclude],1)</f>
        <v>4</v>
      </c>
      <c r="C163" s="3">
        <f t="shared" si="2"/>
        <v>1</v>
      </c>
      <c r="D163" s="3"/>
      <c r="E163" s="3"/>
    </row>
    <row r="164" spans="1:5" ht="22" customHeight="1">
      <c r="A164" s="3" t="str">
        <f>IFERROR(INDEX(Clean!$D$2:$D$901,SMALL(Clean!$AA$2:$AA$901,ROWS($A$2:A164))),"")</f>
        <v>C092</v>
      </c>
      <c r="B164" s="3">
        <f>COUNTIFS(Clean_Data[CustomerID],A164,Clean_Data[DeliveredInclude],1)</f>
        <v>1</v>
      </c>
      <c r="C164" s="3">
        <f t="shared" si="2"/>
        <v>1</v>
      </c>
      <c r="D164" s="3"/>
      <c r="E164" s="3"/>
    </row>
    <row r="165" spans="1:5" ht="22" customHeight="1">
      <c r="A165" s="3" t="str">
        <f>IFERROR(INDEX(Clean!$D$2:$D$901,SMALL(Clean!$AA$2:$AA$901,ROWS($A$2:A165))),"")</f>
        <v>C044</v>
      </c>
      <c r="B165" s="3">
        <f>COUNTIFS(Clean_Data[CustomerID],A165,Clean_Data[DeliveredInclude],1)</f>
        <v>2</v>
      </c>
      <c r="C165" s="3">
        <f t="shared" si="2"/>
        <v>1</v>
      </c>
      <c r="D165" s="3"/>
      <c r="E165" s="3"/>
    </row>
    <row r="166" spans="1:5" ht="22" customHeight="1">
      <c r="A166" s="3" t="str">
        <f>IFERROR(INDEX(Clean!$D$2:$D$901,SMALL(Clean!$AA$2:$AA$901,ROWS($A$2:A166))),"")</f>
        <v>C219</v>
      </c>
      <c r="B166" s="3">
        <f>COUNTIFS(Clean_Data[CustomerID],A166,Clean_Data[DeliveredInclude],1)</f>
        <v>2</v>
      </c>
      <c r="C166" s="3">
        <f t="shared" si="2"/>
        <v>1</v>
      </c>
      <c r="D166" s="3"/>
      <c r="E166" s="3"/>
    </row>
    <row r="167" spans="1:5" ht="22" customHeight="1">
      <c r="A167" s="3" t="str">
        <f>IFERROR(INDEX(Clean!$D$2:$D$901,SMALL(Clean!$AA$2:$AA$901,ROWS($A$2:A167))),"")</f>
        <v>C011</v>
      </c>
      <c r="B167" s="3">
        <f>COUNTIFS(Clean_Data[CustomerID],A167,Clean_Data[DeliveredInclude],1)</f>
        <v>5</v>
      </c>
      <c r="C167" s="3">
        <f t="shared" si="2"/>
        <v>1</v>
      </c>
      <c r="D167" s="3"/>
      <c r="E167" s="3"/>
    </row>
    <row r="168" spans="1:5" ht="22" customHeight="1">
      <c r="A168" s="3" t="str">
        <f>IFERROR(INDEX(Clean!$D$2:$D$901,SMALL(Clean!$AA$2:$AA$901,ROWS($A$2:A168))),"")</f>
        <v>C051</v>
      </c>
      <c r="B168" s="3">
        <f>COUNTIFS(Clean_Data[CustomerID],A168,Clean_Data[DeliveredInclude],1)</f>
        <v>1</v>
      </c>
      <c r="C168" s="3">
        <f t="shared" si="2"/>
        <v>1</v>
      </c>
      <c r="D168" s="3"/>
      <c r="E168" s="3"/>
    </row>
    <row r="169" spans="1:5" ht="22" customHeight="1">
      <c r="A169" s="3" t="str">
        <f>IFERROR(INDEX(Clean!$D$2:$D$901,SMALL(Clean!$AA$2:$AA$901,ROWS($A$2:A169))),"")</f>
        <v>C146</v>
      </c>
      <c r="B169" s="3">
        <f>COUNTIFS(Clean_Data[CustomerID],A169,Clean_Data[DeliveredInclude],1)</f>
        <v>4</v>
      </c>
      <c r="C169" s="3">
        <f t="shared" si="2"/>
        <v>1</v>
      </c>
      <c r="D169" s="3"/>
      <c r="E169" s="3"/>
    </row>
    <row r="170" spans="1:5" ht="22" customHeight="1">
      <c r="A170" s="3" t="str">
        <f>IFERROR(INDEX(Clean!$D$2:$D$901,SMALL(Clean!$AA$2:$AA$901,ROWS($A$2:A170))),"")</f>
        <v>C109</v>
      </c>
      <c r="B170" s="3">
        <f>COUNTIFS(Clean_Data[CustomerID],A170,Clean_Data[DeliveredInclude],1)</f>
        <v>4</v>
      </c>
      <c r="C170" s="3">
        <f t="shared" si="2"/>
        <v>1</v>
      </c>
      <c r="D170" s="3"/>
      <c r="E170" s="3"/>
    </row>
    <row r="171" spans="1:5" ht="22" customHeight="1">
      <c r="A171" s="3" t="str">
        <f>IFERROR(INDEX(Clean!$D$2:$D$901,SMALL(Clean!$AA$2:$AA$901,ROWS($A$2:A171))),"")</f>
        <v>C198</v>
      </c>
      <c r="B171" s="3">
        <f>COUNTIFS(Clean_Data[CustomerID],A171,Clean_Data[DeliveredInclude],1)</f>
        <v>3</v>
      </c>
      <c r="C171" s="3">
        <f t="shared" si="2"/>
        <v>1</v>
      </c>
      <c r="D171" s="3"/>
      <c r="E171" s="3"/>
    </row>
    <row r="172" spans="1:5" ht="22" customHeight="1">
      <c r="A172" s="3" t="str">
        <f>IFERROR(INDEX(Clean!$D$2:$D$901,SMALL(Clean!$AA$2:$AA$901,ROWS($A$2:A172))),"")</f>
        <v>C281</v>
      </c>
      <c r="B172" s="3">
        <f>COUNTIFS(Clean_Data[CustomerID],A172,Clean_Data[DeliveredInclude],1)</f>
        <v>3</v>
      </c>
      <c r="C172" s="3">
        <f t="shared" si="2"/>
        <v>1</v>
      </c>
      <c r="D172" s="3"/>
      <c r="E172" s="3"/>
    </row>
    <row r="173" spans="1:5" ht="22" customHeight="1">
      <c r="A173" s="3" t="str">
        <f>IFERROR(INDEX(Clean!$D$2:$D$901,SMALL(Clean!$AA$2:$AA$901,ROWS($A$2:A173))),"")</f>
        <v>C127</v>
      </c>
      <c r="B173" s="3">
        <f>COUNTIFS(Clean_Data[CustomerID],A173,Clean_Data[DeliveredInclude],1)</f>
        <v>2</v>
      </c>
      <c r="C173" s="3">
        <f t="shared" si="2"/>
        <v>1</v>
      </c>
      <c r="D173" s="3"/>
      <c r="E173" s="3"/>
    </row>
    <row r="174" spans="1:5" ht="22" customHeight="1">
      <c r="A174" s="3" t="str">
        <f>IFERROR(INDEX(Clean!$D$2:$D$901,SMALL(Clean!$AA$2:$AA$901,ROWS($A$2:A174))),"")</f>
        <v>C214</v>
      </c>
      <c r="B174" s="3">
        <f>COUNTIFS(Clean_Data[CustomerID],A174,Clean_Data[DeliveredInclude],1)</f>
        <v>1</v>
      </c>
      <c r="C174" s="3">
        <f t="shared" si="2"/>
        <v>1</v>
      </c>
      <c r="D174" s="3"/>
      <c r="E174" s="3"/>
    </row>
    <row r="175" spans="1:5" ht="22" customHeight="1">
      <c r="A175" s="3" t="str">
        <f>IFERROR(INDEX(Clean!$D$2:$D$901,SMALL(Clean!$AA$2:$AA$901,ROWS($A$2:A175))),"")</f>
        <v>C128</v>
      </c>
      <c r="B175" s="3">
        <f>COUNTIFS(Clean_Data[CustomerID],A175,Clean_Data[DeliveredInclude],1)</f>
        <v>4</v>
      </c>
      <c r="C175" s="3">
        <f t="shared" si="2"/>
        <v>1</v>
      </c>
      <c r="D175" s="3"/>
      <c r="E175" s="3"/>
    </row>
    <row r="176" spans="1:5" ht="22" customHeight="1">
      <c r="A176" s="3" t="str">
        <f>IFERROR(INDEX(Clean!$D$2:$D$901,SMALL(Clean!$AA$2:$AA$901,ROWS($A$2:A176))),"")</f>
        <v>C073</v>
      </c>
      <c r="B176" s="3">
        <f>COUNTIFS(Clean_Data[CustomerID],A176,Clean_Data[DeliveredInclude],1)</f>
        <v>2</v>
      </c>
      <c r="C176" s="3">
        <f t="shared" si="2"/>
        <v>1</v>
      </c>
      <c r="D176" s="3"/>
      <c r="E176" s="3"/>
    </row>
    <row r="177" spans="1:5" ht="22" customHeight="1">
      <c r="A177" s="3" t="str">
        <f>IFERROR(INDEX(Clean!$D$2:$D$901,SMALL(Clean!$AA$2:$AA$901,ROWS($A$2:A177))),"")</f>
        <v>C154</v>
      </c>
      <c r="B177" s="3">
        <f>COUNTIFS(Clean_Data[CustomerID],A177,Clean_Data[DeliveredInclude],1)</f>
        <v>2</v>
      </c>
      <c r="C177" s="3">
        <f t="shared" si="2"/>
        <v>1</v>
      </c>
      <c r="D177" s="3"/>
      <c r="E177" s="3"/>
    </row>
    <row r="178" spans="1:5" ht="22" customHeight="1">
      <c r="A178" s="3" t="str">
        <f>IFERROR(INDEX(Clean!$D$2:$D$901,SMALL(Clean!$AA$2:$AA$901,ROWS($A$2:A178))),"")</f>
        <v>C047</v>
      </c>
      <c r="B178" s="3">
        <f>COUNTIFS(Clean_Data[CustomerID],A178,Clean_Data[DeliveredInclude],1)</f>
        <v>1</v>
      </c>
      <c r="C178" s="3">
        <f t="shared" si="2"/>
        <v>1</v>
      </c>
      <c r="D178" s="3"/>
      <c r="E178" s="3"/>
    </row>
    <row r="179" spans="1:5" ht="22" customHeight="1">
      <c r="A179" s="3" t="str">
        <f>IFERROR(INDEX(Clean!$D$2:$D$901,SMALL(Clean!$AA$2:$AA$901,ROWS($A$2:A179))),"")</f>
        <v>C058</v>
      </c>
      <c r="B179" s="3">
        <f>COUNTIFS(Clean_Data[CustomerID],A179,Clean_Data[DeliveredInclude],1)</f>
        <v>3</v>
      </c>
      <c r="C179" s="3">
        <f t="shared" si="2"/>
        <v>1</v>
      </c>
      <c r="D179" s="3"/>
      <c r="E179" s="3"/>
    </row>
    <row r="180" spans="1:5" ht="22" customHeight="1">
      <c r="A180" s="3" t="str">
        <f>IFERROR(INDEX(Clean!$D$2:$D$901,SMALL(Clean!$AA$2:$AA$901,ROWS($A$2:A180))),"")</f>
        <v>C266</v>
      </c>
      <c r="B180" s="3">
        <f>COUNTIFS(Clean_Data[CustomerID],A180,Clean_Data[DeliveredInclude],1)</f>
        <v>4</v>
      </c>
      <c r="C180" s="3">
        <f t="shared" si="2"/>
        <v>1</v>
      </c>
      <c r="D180" s="3"/>
      <c r="E180" s="3"/>
    </row>
    <row r="181" spans="1:5" ht="22" customHeight="1">
      <c r="A181" s="3" t="str">
        <f>IFERROR(INDEX(Clean!$D$2:$D$901,SMALL(Clean!$AA$2:$AA$901,ROWS($A$2:A181))),"")</f>
        <v>C083</v>
      </c>
      <c r="B181" s="3">
        <f>COUNTIFS(Clean_Data[CustomerID],A181,Clean_Data[DeliveredInclude],1)</f>
        <v>2</v>
      </c>
      <c r="C181" s="3">
        <f t="shared" si="2"/>
        <v>1</v>
      </c>
      <c r="D181" s="3"/>
      <c r="E181" s="3"/>
    </row>
    <row r="182" spans="1:5" ht="22" customHeight="1">
      <c r="A182" s="3" t="str">
        <f>IFERROR(INDEX(Clean!$D$2:$D$901,SMALL(Clean!$AA$2:$AA$901,ROWS($A$2:A182))),"")</f>
        <v>C288</v>
      </c>
      <c r="B182" s="3">
        <f>COUNTIFS(Clean_Data[CustomerID],A182,Clean_Data[DeliveredInclude],1)</f>
        <v>1</v>
      </c>
      <c r="C182" s="3">
        <f t="shared" si="2"/>
        <v>1</v>
      </c>
      <c r="D182" s="3"/>
      <c r="E182" s="3"/>
    </row>
    <row r="183" spans="1:5" ht="22" customHeight="1">
      <c r="A183" s="3" t="str">
        <f>IFERROR(INDEX(Clean!$D$2:$D$901,SMALL(Clean!$AA$2:$AA$901,ROWS($A$2:A183))),"")</f>
        <v>C268</v>
      </c>
      <c r="B183" s="3">
        <f>COUNTIFS(Clean_Data[CustomerID],A183,Clean_Data[DeliveredInclude],1)</f>
        <v>1</v>
      </c>
      <c r="C183" s="3">
        <f t="shared" si="2"/>
        <v>1</v>
      </c>
      <c r="D183" s="3"/>
      <c r="E183" s="3"/>
    </row>
    <row r="184" spans="1:5" ht="22" customHeight="1">
      <c r="A184" s="3" t="str">
        <f>IFERROR(INDEX(Clean!$D$2:$D$901,SMALL(Clean!$AA$2:$AA$901,ROWS($A$2:A184))),"")</f>
        <v>C182</v>
      </c>
      <c r="B184" s="3">
        <f>COUNTIFS(Clean_Data[CustomerID],A184,Clean_Data[DeliveredInclude],1)</f>
        <v>2</v>
      </c>
      <c r="C184" s="3">
        <f t="shared" si="2"/>
        <v>1</v>
      </c>
      <c r="D184" s="3"/>
      <c r="E184" s="3"/>
    </row>
    <row r="185" spans="1:5" ht="22" customHeight="1">
      <c r="A185" s="3" t="str">
        <f>IFERROR(INDEX(Clean!$D$2:$D$901,SMALL(Clean!$AA$2:$AA$901,ROWS($A$2:A185))),"")</f>
        <v>C080</v>
      </c>
      <c r="B185" s="3">
        <f>COUNTIFS(Clean_Data[CustomerID],A185,Clean_Data[DeliveredInclude],1)</f>
        <v>4</v>
      </c>
      <c r="C185" s="3">
        <f t="shared" si="2"/>
        <v>1</v>
      </c>
      <c r="D185" s="3"/>
      <c r="E185" s="3"/>
    </row>
    <row r="186" spans="1:5" ht="22" customHeight="1">
      <c r="A186" s="3" t="str">
        <f>IFERROR(INDEX(Clean!$D$2:$D$901,SMALL(Clean!$AA$2:$AA$901,ROWS($A$2:A186))),"")</f>
        <v>C037</v>
      </c>
      <c r="B186" s="3">
        <f>COUNTIFS(Clean_Data[CustomerID],A186,Clean_Data[DeliveredInclude],1)</f>
        <v>2</v>
      </c>
      <c r="C186" s="3">
        <f t="shared" si="2"/>
        <v>1</v>
      </c>
      <c r="D186" s="3"/>
      <c r="E186" s="3"/>
    </row>
    <row r="187" spans="1:5" ht="22" customHeight="1">
      <c r="A187" s="3" t="str">
        <f>IFERROR(INDEX(Clean!$D$2:$D$901,SMALL(Clean!$AA$2:$AA$901,ROWS($A$2:A187))),"")</f>
        <v>C245</v>
      </c>
      <c r="B187" s="3">
        <f>COUNTIFS(Clean_Data[CustomerID],A187,Clean_Data[DeliveredInclude],1)</f>
        <v>0</v>
      </c>
      <c r="C187" s="3">
        <f t="shared" si="2"/>
        <v>0</v>
      </c>
      <c r="D187" s="3"/>
      <c r="E187" s="3"/>
    </row>
    <row r="188" spans="1:5" ht="22" customHeight="1">
      <c r="A188" s="3" t="str">
        <f>IFERROR(INDEX(Clean!$D$2:$D$901,SMALL(Clean!$AA$2:$AA$901,ROWS($A$2:A188))),"")</f>
        <v>C097</v>
      </c>
      <c r="B188" s="3">
        <f>COUNTIFS(Clean_Data[CustomerID],A188,Clean_Data[DeliveredInclude],1)</f>
        <v>4</v>
      </c>
      <c r="C188" s="3">
        <f t="shared" si="2"/>
        <v>1</v>
      </c>
      <c r="D188" s="3"/>
      <c r="E188" s="3"/>
    </row>
    <row r="189" spans="1:5" ht="22" customHeight="1">
      <c r="A189" s="3" t="str">
        <f>IFERROR(INDEX(Clean!$D$2:$D$901,SMALL(Clean!$AA$2:$AA$901,ROWS($A$2:A189))),"")</f>
        <v>C175</v>
      </c>
      <c r="B189" s="3">
        <f>COUNTIFS(Clean_Data[CustomerID],A189,Clean_Data[DeliveredInclude],1)</f>
        <v>4</v>
      </c>
      <c r="C189" s="3">
        <f t="shared" si="2"/>
        <v>1</v>
      </c>
      <c r="D189" s="3"/>
      <c r="E189" s="3"/>
    </row>
    <row r="190" spans="1:5" ht="22" customHeight="1">
      <c r="A190" s="3" t="str">
        <f>IFERROR(INDEX(Clean!$D$2:$D$901,SMALL(Clean!$AA$2:$AA$901,ROWS($A$2:A190))),"")</f>
        <v>C030</v>
      </c>
      <c r="B190" s="3">
        <f>COUNTIFS(Clean_Data[CustomerID],A190,Clean_Data[DeliveredInclude],1)</f>
        <v>4</v>
      </c>
      <c r="C190" s="3">
        <f t="shared" si="2"/>
        <v>1</v>
      </c>
      <c r="D190" s="3"/>
      <c r="E190" s="3"/>
    </row>
    <row r="191" spans="1:5" ht="22" customHeight="1">
      <c r="A191" s="3" t="str">
        <f>IFERROR(INDEX(Clean!$D$2:$D$901,SMALL(Clean!$AA$2:$AA$901,ROWS($A$2:A191))),"")</f>
        <v>C057</v>
      </c>
      <c r="B191" s="3">
        <f>COUNTIFS(Clean_Data[CustomerID],A191,Clean_Data[DeliveredInclude],1)</f>
        <v>2</v>
      </c>
      <c r="C191" s="3">
        <f t="shared" si="2"/>
        <v>1</v>
      </c>
      <c r="D191" s="3"/>
      <c r="E191" s="3"/>
    </row>
    <row r="192" spans="1:5" ht="22" customHeight="1">
      <c r="A192" s="3" t="str">
        <f>IFERROR(INDEX(Clean!$D$2:$D$901,SMALL(Clean!$AA$2:$AA$901,ROWS($A$2:A192))),"")</f>
        <v>C112</v>
      </c>
      <c r="B192" s="3">
        <f>COUNTIFS(Clean_Data[CustomerID],A192,Clean_Data[DeliveredInclude],1)</f>
        <v>1</v>
      </c>
      <c r="C192" s="3">
        <f t="shared" si="2"/>
        <v>1</v>
      </c>
      <c r="D192" s="3"/>
      <c r="E192" s="3"/>
    </row>
    <row r="193" spans="1:5" ht="22" customHeight="1">
      <c r="A193" s="3" t="str">
        <f>IFERROR(INDEX(Clean!$D$2:$D$901,SMALL(Clean!$AA$2:$AA$901,ROWS($A$2:A193))),"")</f>
        <v>C265</v>
      </c>
      <c r="B193" s="3">
        <f>COUNTIFS(Clean_Data[CustomerID],A193,Clean_Data[DeliveredInclude],1)</f>
        <v>5</v>
      </c>
      <c r="C193" s="3">
        <f t="shared" si="2"/>
        <v>1</v>
      </c>
      <c r="D193" s="3"/>
      <c r="E193" s="3"/>
    </row>
    <row r="194" spans="1:5" ht="22" customHeight="1">
      <c r="A194" s="3" t="str">
        <f>IFERROR(INDEX(Clean!$D$2:$D$901,SMALL(Clean!$AA$2:$AA$901,ROWS($A$2:A194))),"")</f>
        <v>C179</v>
      </c>
      <c r="B194" s="3">
        <f>COUNTIFS(Clean_Data[CustomerID],A194,Clean_Data[DeliveredInclude],1)</f>
        <v>2</v>
      </c>
      <c r="C194" s="3">
        <f t="shared" ref="C194:C257" si="3">IF(B194&gt;0,1,0)</f>
        <v>1</v>
      </c>
      <c r="D194" s="3"/>
      <c r="E194" s="3"/>
    </row>
    <row r="195" spans="1:5" ht="22" customHeight="1">
      <c r="A195" s="3" t="str">
        <f>IFERROR(INDEX(Clean!$D$2:$D$901,SMALL(Clean!$AA$2:$AA$901,ROWS($A$2:A195))),"")</f>
        <v>C132</v>
      </c>
      <c r="B195" s="3">
        <f>COUNTIFS(Clean_Data[CustomerID],A195,Clean_Data[DeliveredInclude],1)</f>
        <v>3</v>
      </c>
      <c r="C195" s="3">
        <f t="shared" si="3"/>
        <v>1</v>
      </c>
      <c r="D195" s="3"/>
      <c r="E195" s="3"/>
    </row>
    <row r="196" spans="1:5" ht="22" customHeight="1">
      <c r="A196" s="3" t="str">
        <f>IFERROR(INDEX(Clean!$D$2:$D$901,SMALL(Clean!$AA$2:$AA$901,ROWS($A$2:A196))),"")</f>
        <v>C188</v>
      </c>
      <c r="B196" s="3">
        <f>COUNTIFS(Clean_Data[CustomerID],A196,Clean_Data[DeliveredInclude],1)</f>
        <v>3</v>
      </c>
      <c r="C196" s="3">
        <f t="shared" si="3"/>
        <v>1</v>
      </c>
      <c r="D196" s="3"/>
      <c r="E196" s="3"/>
    </row>
    <row r="197" spans="1:5" ht="22" customHeight="1">
      <c r="A197" s="3" t="str">
        <f>IFERROR(INDEX(Clean!$D$2:$D$901,SMALL(Clean!$AA$2:$AA$901,ROWS($A$2:A197))),"")</f>
        <v>C082</v>
      </c>
      <c r="B197" s="3">
        <f>COUNTIFS(Clean_Data[CustomerID],A197,Clean_Data[DeliveredInclude],1)</f>
        <v>3</v>
      </c>
      <c r="C197" s="3">
        <f t="shared" si="3"/>
        <v>1</v>
      </c>
      <c r="D197" s="3"/>
      <c r="E197" s="3"/>
    </row>
    <row r="198" spans="1:5" ht="22" customHeight="1">
      <c r="A198" s="3" t="str">
        <f>IFERROR(INDEX(Clean!$D$2:$D$901,SMALL(Clean!$AA$2:$AA$901,ROWS($A$2:A198))),"")</f>
        <v>C223</v>
      </c>
      <c r="B198" s="3">
        <f>COUNTIFS(Clean_Data[CustomerID],A198,Clean_Data[DeliveredInclude],1)</f>
        <v>2</v>
      </c>
      <c r="C198" s="3">
        <f t="shared" si="3"/>
        <v>1</v>
      </c>
      <c r="D198" s="3"/>
      <c r="E198" s="3"/>
    </row>
    <row r="199" spans="1:5" ht="22" customHeight="1">
      <c r="A199" s="3" t="str">
        <f>IFERROR(INDEX(Clean!$D$2:$D$901,SMALL(Clean!$AA$2:$AA$901,ROWS($A$2:A199))),"")</f>
        <v>C149</v>
      </c>
      <c r="B199" s="3">
        <f>COUNTIFS(Clean_Data[CustomerID],A199,Clean_Data[DeliveredInclude],1)</f>
        <v>7</v>
      </c>
      <c r="C199" s="3">
        <f t="shared" si="3"/>
        <v>1</v>
      </c>
      <c r="D199" s="3"/>
      <c r="E199" s="3"/>
    </row>
    <row r="200" spans="1:5" ht="22" customHeight="1">
      <c r="A200" s="3" t="str">
        <f>IFERROR(INDEX(Clean!$D$2:$D$901,SMALL(Clean!$AA$2:$AA$901,ROWS($A$2:A200))),"")</f>
        <v>C105</v>
      </c>
      <c r="B200" s="3">
        <f>COUNTIFS(Clean_Data[CustomerID],A200,Clean_Data[DeliveredInclude],1)</f>
        <v>3</v>
      </c>
      <c r="C200" s="3">
        <f t="shared" si="3"/>
        <v>1</v>
      </c>
      <c r="D200" s="3"/>
      <c r="E200" s="3"/>
    </row>
    <row r="201" spans="1:5" ht="22" customHeight="1">
      <c r="A201" s="3" t="str">
        <f>IFERROR(INDEX(Clean!$D$2:$D$901,SMALL(Clean!$AA$2:$AA$901,ROWS($A$2:A201))),"")</f>
        <v>C100</v>
      </c>
      <c r="B201" s="3">
        <f>COUNTIFS(Clean_Data[CustomerID],A201,Clean_Data[DeliveredInclude],1)</f>
        <v>3</v>
      </c>
      <c r="C201" s="3">
        <f t="shared" si="3"/>
        <v>1</v>
      </c>
      <c r="D201" s="3"/>
      <c r="E201" s="3"/>
    </row>
    <row r="202" spans="1:5" ht="22" customHeight="1">
      <c r="A202" s="3" t="str">
        <f>IFERROR(INDEX(Clean!$D$2:$D$901,SMALL(Clean!$AA$2:$AA$901,ROWS($A$2:A202))),"")</f>
        <v>C205</v>
      </c>
      <c r="B202" s="3">
        <f>COUNTIFS(Clean_Data[CustomerID],A202,Clean_Data[DeliveredInclude],1)</f>
        <v>4</v>
      </c>
      <c r="C202" s="3">
        <f t="shared" si="3"/>
        <v>1</v>
      </c>
      <c r="D202" s="3"/>
      <c r="E202" s="3"/>
    </row>
    <row r="203" spans="1:5" ht="22" customHeight="1">
      <c r="A203" s="3" t="str">
        <f>IFERROR(INDEX(Clean!$D$2:$D$901,SMALL(Clean!$AA$2:$AA$901,ROWS($A$2:A203))),"")</f>
        <v>C098</v>
      </c>
      <c r="B203" s="3">
        <f>COUNTIFS(Clean_Data[CustomerID],A203,Clean_Data[DeliveredInclude],1)</f>
        <v>3</v>
      </c>
      <c r="C203" s="3">
        <f t="shared" si="3"/>
        <v>1</v>
      </c>
      <c r="D203" s="3"/>
      <c r="E203" s="3"/>
    </row>
    <row r="204" spans="1:5" ht="22" customHeight="1">
      <c r="A204" s="3" t="str">
        <f>IFERROR(INDEX(Clean!$D$2:$D$901,SMALL(Clean!$AA$2:$AA$901,ROWS($A$2:A204))),"")</f>
        <v>C286</v>
      </c>
      <c r="B204" s="3">
        <f>COUNTIFS(Clean_Data[CustomerID],A204,Clean_Data[DeliveredInclude],1)</f>
        <v>2</v>
      </c>
      <c r="C204" s="3">
        <f t="shared" si="3"/>
        <v>1</v>
      </c>
      <c r="D204" s="3"/>
      <c r="E204" s="3"/>
    </row>
    <row r="205" spans="1:5" ht="22" customHeight="1">
      <c r="A205" s="3" t="str">
        <f>IFERROR(INDEX(Clean!$D$2:$D$901,SMALL(Clean!$AA$2:$AA$901,ROWS($A$2:A205))),"")</f>
        <v>C283</v>
      </c>
      <c r="B205" s="3">
        <f>COUNTIFS(Clean_Data[CustomerID],A205,Clean_Data[DeliveredInclude],1)</f>
        <v>2</v>
      </c>
      <c r="C205" s="3">
        <f t="shared" si="3"/>
        <v>1</v>
      </c>
      <c r="D205" s="3"/>
      <c r="E205" s="3"/>
    </row>
    <row r="206" spans="1:5" ht="22" customHeight="1">
      <c r="A206" s="3" t="str">
        <f>IFERROR(INDEX(Clean!$D$2:$D$901,SMALL(Clean!$AA$2:$AA$901,ROWS($A$2:A206))),"")</f>
        <v>C246</v>
      </c>
      <c r="B206" s="3">
        <f>COUNTIFS(Clean_Data[CustomerID],A206,Clean_Data[DeliveredInclude],1)</f>
        <v>4</v>
      </c>
      <c r="C206" s="3">
        <f t="shared" si="3"/>
        <v>1</v>
      </c>
      <c r="D206" s="3"/>
      <c r="E206" s="3"/>
    </row>
    <row r="207" spans="1:5" ht="22" customHeight="1">
      <c r="A207" s="3" t="str">
        <f>IFERROR(INDEX(Clean!$D$2:$D$901,SMALL(Clean!$AA$2:$AA$901,ROWS($A$2:A207))),"")</f>
        <v>C206</v>
      </c>
      <c r="B207" s="3">
        <f>COUNTIFS(Clean_Data[CustomerID],A207,Clean_Data[DeliveredInclude],1)</f>
        <v>1</v>
      </c>
      <c r="C207" s="3">
        <f t="shared" si="3"/>
        <v>1</v>
      </c>
      <c r="D207" s="3"/>
      <c r="E207" s="3"/>
    </row>
    <row r="208" spans="1:5" ht="22" customHeight="1">
      <c r="A208" s="3" t="str">
        <f>IFERROR(INDEX(Clean!$D$2:$D$901,SMALL(Clean!$AA$2:$AA$901,ROWS($A$2:A208))),"")</f>
        <v>C090</v>
      </c>
      <c r="B208" s="3">
        <f>COUNTIFS(Clean_Data[CustomerID],A208,Clean_Data[DeliveredInclude],1)</f>
        <v>1</v>
      </c>
      <c r="C208" s="3">
        <f t="shared" si="3"/>
        <v>1</v>
      </c>
      <c r="D208" s="3"/>
      <c r="E208" s="3"/>
    </row>
    <row r="209" spans="1:5" ht="22" customHeight="1">
      <c r="A209" s="3" t="str">
        <f>IFERROR(INDEX(Clean!$D$2:$D$901,SMALL(Clean!$AA$2:$AA$901,ROWS($A$2:A209))),"")</f>
        <v>C147</v>
      </c>
      <c r="B209" s="3">
        <f>COUNTIFS(Clean_Data[CustomerID],A209,Clean_Data[DeliveredInclude],1)</f>
        <v>2</v>
      </c>
      <c r="C209" s="3">
        <f t="shared" si="3"/>
        <v>1</v>
      </c>
      <c r="D209" s="3"/>
      <c r="E209" s="3"/>
    </row>
    <row r="210" spans="1:5" ht="22" customHeight="1">
      <c r="A210" s="3" t="str">
        <f>IFERROR(INDEX(Clean!$D$2:$D$901,SMALL(Clean!$AA$2:$AA$901,ROWS($A$2:A210))),"")</f>
        <v>C040</v>
      </c>
      <c r="B210" s="3">
        <f>COUNTIFS(Clean_Data[CustomerID],A210,Clean_Data[DeliveredInclude],1)</f>
        <v>5</v>
      </c>
      <c r="C210" s="3">
        <f t="shared" si="3"/>
        <v>1</v>
      </c>
      <c r="D210" s="3"/>
      <c r="E210" s="3"/>
    </row>
    <row r="211" spans="1:5" ht="22" customHeight="1">
      <c r="A211" s="3" t="str">
        <f>IFERROR(INDEX(Clean!$D$2:$D$901,SMALL(Clean!$AA$2:$AA$901,ROWS($A$2:A211))),"")</f>
        <v>C276</v>
      </c>
      <c r="B211" s="3">
        <f>COUNTIFS(Clean_Data[CustomerID],A211,Clean_Data[DeliveredInclude],1)</f>
        <v>1</v>
      </c>
      <c r="C211" s="3">
        <f t="shared" si="3"/>
        <v>1</v>
      </c>
      <c r="D211" s="3"/>
      <c r="E211" s="3"/>
    </row>
    <row r="212" spans="1:5" ht="22" customHeight="1">
      <c r="A212" s="3" t="str">
        <f>IFERROR(INDEX(Clean!$D$2:$D$901,SMALL(Clean!$AA$2:$AA$901,ROWS($A$2:A212))),"")</f>
        <v>C064</v>
      </c>
      <c r="B212" s="3">
        <f>COUNTIFS(Clean_Data[CustomerID],A212,Clean_Data[DeliveredInclude],1)</f>
        <v>3</v>
      </c>
      <c r="C212" s="3">
        <f t="shared" si="3"/>
        <v>1</v>
      </c>
      <c r="D212" s="3"/>
      <c r="E212" s="3"/>
    </row>
    <row r="213" spans="1:5" ht="22" customHeight="1">
      <c r="A213" s="3" t="str">
        <f>IFERROR(INDEX(Clean!$D$2:$D$901,SMALL(Clean!$AA$2:$AA$901,ROWS($A$2:A213))),"")</f>
        <v>C240</v>
      </c>
      <c r="B213" s="3">
        <f>COUNTIFS(Clean_Data[CustomerID],A213,Clean_Data[DeliveredInclude],1)</f>
        <v>3</v>
      </c>
      <c r="C213" s="3">
        <f t="shared" si="3"/>
        <v>1</v>
      </c>
      <c r="D213" s="3"/>
      <c r="E213" s="3"/>
    </row>
    <row r="214" spans="1:5" ht="22" customHeight="1">
      <c r="A214" s="3" t="str">
        <f>IFERROR(INDEX(Clean!$D$2:$D$901,SMALL(Clean!$AA$2:$AA$901,ROWS($A$2:A214))),"")</f>
        <v>C196</v>
      </c>
      <c r="B214" s="3">
        <f>COUNTIFS(Clean_Data[CustomerID],A214,Clean_Data[DeliveredInclude],1)</f>
        <v>4</v>
      </c>
      <c r="C214" s="3">
        <f t="shared" si="3"/>
        <v>1</v>
      </c>
      <c r="D214" s="3"/>
      <c r="E214" s="3"/>
    </row>
    <row r="215" spans="1:5" ht="22" customHeight="1">
      <c r="A215" s="3" t="str">
        <f>IFERROR(INDEX(Clean!$D$2:$D$901,SMALL(Clean!$AA$2:$AA$901,ROWS($A$2:A215))),"")</f>
        <v>C251</v>
      </c>
      <c r="B215" s="3">
        <f>COUNTIFS(Clean_Data[CustomerID],A215,Clean_Data[DeliveredInclude],1)</f>
        <v>2</v>
      </c>
      <c r="C215" s="3">
        <f t="shared" si="3"/>
        <v>1</v>
      </c>
      <c r="D215" s="3"/>
      <c r="E215" s="3"/>
    </row>
    <row r="216" spans="1:5" ht="22" customHeight="1">
      <c r="A216" s="3" t="str">
        <f>IFERROR(INDEX(Clean!$D$2:$D$901,SMALL(Clean!$AA$2:$AA$901,ROWS($A$2:A216))),"")</f>
        <v>C014</v>
      </c>
      <c r="B216" s="3">
        <f>COUNTIFS(Clean_Data[CustomerID],A216,Clean_Data[DeliveredInclude],1)</f>
        <v>3</v>
      </c>
      <c r="C216" s="3">
        <f t="shared" si="3"/>
        <v>1</v>
      </c>
      <c r="D216" s="3"/>
      <c r="E216" s="3"/>
    </row>
    <row r="217" spans="1:5" ht="22" customHeight="1">
      <c r="A217" s="3" t="str">
        <f>IFERROR(INDEX(Clean!$D$2:$D$901,SMALL(Clean!$AA$2:$AA$901,ROWS($A$2:A217))),"")</f>
        <v>C025</v>
      </c>
      <c r="B217" s="3">
        <f>COUNTIFS(Clean_Data[CustomerID],A217,Clean_Data[DeliveredInclude],1)</f>
        <v>1</v>
      </c>
      <c r="C217" s="3">
        <f t="shared" si="3"/>
        <v>1</v>
      </c>
      <c r="D217" s="3"/>
      <c r="E217" s="3"/>
    </row>
    <row r="218" spans="1:5" ht="22" customHeight="1">
      <c r="A218" s="3" t="str">
        <f>IFERROR(INDEX(Clean!$D$2:$D$901,SMALL(Clean!$AA$2:$AA$901,ROWS($A$2:A218))),"")</f>
        <v>C070</v>
      </c>
      <c r="B218" s="3">
        <f>COUNTIFS(Clean_Data[CustomerID],A218,Clean_Data[DeliveredInclude],1)</f>
        <v>2</v>
      </c>
      <c r="C218" s="3">
        <f t="shared" si="3"/>
        <v>1</v>
      </c>
      <c r="D218" s="3"/>
      <c r="E218" s="3"/>
    </row>
    <row r="219" spans="1:5" ht="22" customHeight="1">
      <c r="A219" s="3" t="str">
        <f>IFERROR(INDEX(Clean!$D$2:$D$901,SMALL(Clean!$AA$2:$AA$901,ROWS($A$2:A219))),"")</f>
        <v>C143</v>
      </c>
      <c r="B219" s="3">
        <f>COUNTIFS(Clean_Data[CustomerID],A219,Clean_Data[DeliveredInclude],1)</f>
        <v>2</v>
      </c>
      <c r="C219" s="3">
        <f t="shared" si="3"/>
        <v>1</v>
      </c>
      <c r="D219" s="3"/>
      <c r="E219" s="3"/>
    </row>
    <row r="220" spans="1:5" ht="22" customHeight="1">
      <c r="A220" s="3" t="str">
        <f>IFERROR(INDEX(Clean!$D$2:$D$901,SMALL(Clean!$AA$2:$AA$901,ROWS($A$2:A220))),"")</f>
        <v>C054</v>
      </c>
      <c r="B220" s="3">
        <f>COUNTIFS(Clean_Data[CustomerID],A220,Clean_Data[DeliveredInclude],1)</f>
        <v>1</v>
      </c>
      <c r="C220" s="3">
        <f t="shared" si="3"/>
        <v>1</v>
      </c>
      <c r="D220" s="3"/>
      <c r="E220" s="3"/>
    </row>
    <row r="221" spans="1:5" ht="22" customHeight="1">
      <c r="A221" s="3" t="str">
        <f>IFERROR(INDEX(Clean!$D$2:$D$901,SMALL(Clean!$AA$2:$AA$901,ROWS($A$2:A221))),"")</f>
        <v>C125</v>
      </c>
      <c r="B221" s="3">
        <f>COUNTIFS(Clean_Data[CustomerID],A221,Clean_Data[DeliveredInclude],1)</f>
        <v>2</v>
      </c>
      <c r="C221" s="3">
        <f t="shared" si="3"/>
        <v>1</v>
      </c>
      <c r="D221" s="3"/>
      <c r="E221" s="3"/>
    </row>
    <row r="222" spans="1:5" ht="22" customHeight="1">
      <c r="A222" s="3" t="str">
        <f>IFERROR(INDEX(Clean!$D$2:$D$901,SMALL(Clean!$AA$2:$AA$901,ROWS($A$2:A222))),"")</f>
        <v>C231</v>
      </c>
      <c r="B222" s="3">
        <f>COUNTIFS(Clean_Data[CustomerID],A222,Clean_Data[DeliveredInclude],1)</f>
        <v>3</v>
      </c>
      <c r="C222" s="3">
        <f t="shared" si="3"/>
        <v>1</v>
      </c>
      <c r="D222" s="3"/>
      <c r="E222" s="3"/>
    </row>
    <row r="223" spans="1:5" ht="22" customHeight="1">
      <c r="A223" s="3" t="str">
        <f>IFERROR(INDEX(Clean!$D$2:$D$901,SMALL(Clean!$AA$2:$AA$901,ROWS($A$2:A223))),"")</f>
        <v>C020</v>
      </c>
      <c r="B223" s="3">
        <f>COUNTIFS(Clean_Data[CustomerID],A223,Clean_Data[DeliveredInclude],1)</f>
        <v>1</v>
      </c>
      <c r="C223" s="3">
        <f t="shared" si="3"/>
        <v>1</v>
      </c>
      <c r="D223" s="3"/>
      <c r="E223" s="3"/>
    </row>
    <row r="224" spans="1:5" ht="22" customHeight="1">
      <c r="A224" s="3" t="str">
        <f>IFERROR(INDEX(Clean!$D$2:$D$901,SMALL(Clean!$AA$2:$AA$901,ROWS($A$2:A224))),"")</f>
        <v>C023</v>
      </c>
      <c r="B224" s="3">
        <f>COUNTIFS(Clean_Data[CustomerID],A224,Clean_Data[DeliveredInclude],1)</f>
        <v>3</v>
      </c>
      <c r="C224" s="3">
        <f t="shared" si="3"/>
        <v>1</v>
      </c>
      <c r="D224" s="3"/>
      <c r="E224" s="3"/>
    </row>
    <row r="225" spans="1:5" ht="22" customHeight="1">
      <c r="A225" s="3" t="str">
        <f>IFERROR(INDEX(Clean!$D$2:$D$901,SMALL(Clean!$AA$2:$AA$901,ROWS($A$2:A225))),"")</f>
        <v>C012</v>
      </c>
      <c r="B225" s="3">
        <f>COUNTIFS(Clean_Data[CustomerID],A225,Clean_Data[DeliveredInclude],1)</f>
        <v>1</v>
      </c>
      <c r="C225" s="3">
        <f t="shared" si="3"/>
        <v>1</v>
      </c>
      <c r="D225" s="3"/>
      <c r="E225" s="3"/>
    </row>
    <row r="226" spans="1:5" ht="22" customHeight="1">
      <c r="A226" s="3" t="str">
        <f>IFERROR(INDEX(Clean!$D$2:$D$901,SMALL(Clean!$AA$2:$AA$901,ROWS($A$2:A226))),"")</f>
        <v>C220</v>
      </c>
      <c r="B226" s="3">
        <f>COUNTIFS(Clean_Data[CustomerID],A226,Clean_Data[DeliveredInclude],1)</f>
        <v>3</v>
      </c>
      <c r="C226" s="3">
        <f t="shared" si="3"/>
        <v>1</v>
      </c>
      <c r="D226" s="3"/>
      <c r="E226" s="3"/>
    </row>
    <row r="227" spans="1:5" ht="22" customHeight="1">
      <c r="A227" s="3" t="str">
        <f>IFERROR(INDEX(Clean!$D$2:$D$901,SMALL(Clean!$AA$2:$AA$901,ROWS($A$2:A227))),"")</f>
        <v>C074</v>
      </c>
      <c r="B227" s="3">
        <f>COUNTIFS(Clean_Data[CustomerID],A227,Clean_Data[DeliveredInclude],1)</f>
        <v>2</v>
      </c>
      <c r="C227" s="3">
        <f t="shared" si="3"/>
        <v>1</v>
      </c>
      <c r="D227" s="3"/>
      <c r="E227" s="3"/>
    </row>
    <row r="228" spans="1:5" ht="22" customHeight="1">
      <c r="A228" s="3" t="str">
        <f>IFERROR(INDEX(Clean!$D$2:$D$901,SMALL(Clean!$AA$2:$AA$901,ROWS($A$2:A228))),"")</f>
        <v>C202</v>
      </c>
      <c r="B228" s="3">
        <f>COUNTIFS(Clean_Data[CustomerID],A228,Clean_Data[DeliveredInclude],1)</f>
        <v>2</v>
      </c>
      <c r="C228" s="3">
        <f t="shared" si="3"/>
        <v>1</v>
      </c>
      <c r="D228" s="3"/>
      <c r="E228" s="3"/>
    </row>
    <row r="229" spans="1:5" ht="22" customHeight="1">
      <c r="A229" s="3" t="str">
        <f>IFERROR(INDEX(Clean!$D$2:$D$901,SMALL(Clean!$AA$2:$AA$901,ROWS($A$2:A229))),"")</f>
        <v>C135</v>
      </c>
      <c r="B229" s="3">
        <f>COUNTIFS(Clean_Data[CustomerID],A229,Clean_Data[DeliveredInclude],1)</f>
        <v>2</v>
      </c>
      <c r="C229" s="3">
        <f t="shared" si="3"/>
        <v>1</v>
      </c>
      <c r="D229" s="3"/>
      <c r="E229" s="3"/>
    </row>
    <row r="230" spans="1:5" ht="22" customHeight="1">
      <c r="A230" s="3" t="str">
        <f>IFERROR(INDEX(Clean!$D$2:$D$901,SMALL(Clean!$AA$2:$AA$901,ROWS($A$2:A230))),"")</f>
        <v>C247</v>
      </c>
      <c r="B230" s="3">
        <f>COUNTIFS(Clean_Data[CustomerID],A230,Clean_Data[DeliveredInclude],1)</f>
        <v>3</v>
      </c>
      <c r="C230" s="3">
        <f t="shared" si="3"/>
        <v>1</v>
      </c>
      <c r="D230" s="3"/>
      <c r="E230" s="3"/>
    </row>
    <row r="231" spans="1:5" ht="22" customHeight="1">
      <c r="A231" s="3" t="str">
        <f>IFERROR(INDEX(Clean!$D$2:$D$901,SMALL(Clean!$AA$2:$AA$901,ROWS($A$2:A231))),"")</f>
        <v>C093</v>
      </c>
      <c r="B231" s="3">
        <f>COUNTIFS(Clean_Data[CustomerID],A231,Clean_Data[DeliveredInclude],1)</f>
        <v>2</v>
      </c>
      <c r="C231" s="3">
        <f t="shared" si="3"/>
        <v>1</v>
      </c>
      <c r="D231" s="3"/>
      <c r="E231" s="3"/>
    </row>
    <row r="232" spans="1:5" ht="22" customHeight="1">
      <c r="A232" s="3" t="str">
        <f>IFERROR(INDEX(Clean!$D$2:$D$901,SMALL(Clean!$AA$2:$AA$901,ROWS($A$2:A232))),"")</f>
        <v>C144</v>
      </c>
      <c r="B232" s="3">
        <f>COUNTIFS(Clean_Data[CustomerID],A232,Clean_Data[DeliveredInclude],1)</f>
        <v>3</v>
      </c>
      <c r="C232" s="3">
        <f t="shared" si="3"/>
        <v>1</v>
      </c>
      <c r="D232" s="3"/>
      <c r="E232" s="3"/>
    </row>
    <row r="233" spans="1:5" ht="22" customHeight="1">
      <c r="A233" s="3" t="str">
        <f>IFERROR(INDEX(Clean!$D$2:$D$901,SMALL(Clean!$AA$2:$AA$901,ROWS($A$2:A233))),"")</f>
        <v>C122</v>
      </c>
      <c r="B233" s="3">
        <f>COUNTIFS(Clean_Data[CustomerID],A233,Clean_Data[DeliveredInclude],1)</f>
        <v>2</v>
      </c>
      <c r="C233" s="3">
        <f t="shared" si="3"/>
        <v>1</v>
      </c>
      <c r="D233" s="3"/>
      <c r="E233" s="3"/>
    </row>
    <row r="234" spans="1:5" ht="22" customHeight="1">
      <c r="A234" s="3" t="str">
        <f>IFERROR(INDEX(Clean!$D$2:$D$901,SMALL(Clean!$AA$2:$AA$901,ROWS($A$2:A234))),"")</f>
        <v>C181</v>
      </c>
      <c r="B234" s="3">
        <f>COUNTIFS(Clean_Data[CustomerID],A234,Clean_Data[DeliveredInclude],1)</f>
        <v>3</v>
      </c>
      <c r="C234" s="3">
        <f t="shared" si="3"/>
        <v>1</v>
      </c>
      <c r="D234" s="3"/>
      <c r="E234" s="3"/>
    </row>
    <row r="235" spans="1:5" ht="22" customHeight="1">
      <c r="A235" s="3" t="str">
        <f>IFERROR(INDEX(Clean!$D$2:$D$901,SMALL(Clean!$AA$2:$AA$901,ROWS($A$2:A235))),"")</f>
        <v>C185</v>
      </c>
      <c r="B235" s="3">
        <f>COUNTIFS(Clean_Data[CustomerID],A235,Clean_Data[DeliveredInclude],1)</f>
        <v>7</v>
      </c>
      <c r="C235" s="3">
        <f t="shared" si="3"/>
        <v>1</v>
      </c>
      <c r="D235" s="3"/>
      <c r="E235" s="3"/>
    </row>
    <row r="236" spans="1:5" ht="22" customHeight="1">
      <c r="A236" s="3" t="str">
        <f>IFERROR(INDEX(Clean!$D$2:$D$901,SMALL(Clean!$AA$2:$AA$901,ROWS($A$2:A236))),"")</f>
        <v>C167</v>
      </c>
      <c r="B236" s="3">
        <f>COUNTIFS(Clean_Data[CustomerID],A236,Clean_Data[DeliveredInclude],1)</f>
        <v>2</v>
      </c>
      <c r="C236" s="3">
        <f t="shared" si="3"/>
        <v>1</v>
      </c>
      <c r="D236" s="3"/>
      <c r="E236" s="3"/>
    </row>
    <row r="237" spans="1:5" ht="22" customHeight="1">
      <c r="A237" s="3" t="str">
        <f>IFERROR(INDEX(Clean!$D$2:$D$901,SMALL(Clean!$AA$2:$AA$901,ROWS($A$2:A237))),"")</f>
        <v>C274</v>
      </c>
      <c r="B237" s="3">
        <f>COUNTIFS(Clean_Data[CustomerID],A237,Clean_Data[DeliveredInclude],1)</f>
        <v>4</v>
      </c>
      <c r="C237" s="3">
        <f t="shared" si="3"/>
        <v>1</v>
      </c>
      <c r="D237" s="3"/>
      <c r="E237" s="3"/>
    </row>
    <row r="238" spans="1:5" ht="22" customHeight="1">
      <c r="A238" s="3" t="str">
        <f>IFERROR(INDEX(Clean!$D$2:$D$901,SMALL(Clean!$AA$2:$AA$901,ROWS($A$2:A238))),"")</f>
        <v>C024</v>
      </c>
      <c r="B238" s="3">
        <f>COUNTIFS(Clean_Data[CustomerID],A238,Clean_Data[DeliveredInclude],1)</f>
        <v>3</v>
      </c>
      <c r="C238" s="3">
        <f t="shared" si="3"/>
        <v>1</v>
      </c>
      <c r="D238" s="3"/>
      <c r="E238" s="3"/>
    </row>
    <row r="239" spans="1:5" ht="22" customHeight="1">
      <c r="A239" s="3" t="str">
        <f>IFERROR(INDEX(Clean!$D$2:$D$901,SMALL(Clean!$AA$2:$AA$901,ROWS($A$2:A239))),"")</f>
        <v>C163</v>
      </c>
      <c r="B239" s="3">
        <f>COUNTIFS(Clean_Data[CustomerID],A239,Clean_Data[DeliveredInclude],1)</f>
        <v>2</v>
      </c>
      <c r="C239" s="3">
        <f t="shared" si="3"/>
        <v>1</v>
      </c>
      <c r="D239" s="3"/>
      <c r="E239" s="3"/>
    </row>
    <row r="240" spans="1:5" ht="22" customHeight="1">
      <c r="A240" s="3" t="str">
        <f>IFERROR(INDEX(Clean!$D$2:$D$901,SMALL(Clean!$AA$2:$AA$901,ROWS($A$2:A240))),"")</f>
        <v>C075</v>
      </c>
      <c r="B240" s="3">
        <f>COUNTIFS(Clean_Data[CustomerID],A240,Clean_Data[DeliveredInclude],1)</f>
        <v>3</v>
      </c>
      <c r="C240" s="3">
        <f t="shared" si="3"/>
        <v>1</v>
      </c>
      <c r="D240" s="3"/>
      <c r="E240" s="3"/>
    </row>
    <row r="241" spans="1:5" ht="22" customHeight="1">
      <c r="A241" s="3" t="str">
        <f>IFERROR(INDEX(Clean!$D$2:$D$901,SMALL(Clean!$AA$2:$AA$901,ROWS($A$2:A241))),"")</f>
        <v>C108</v>
      </c>
      <c r="B241" s="3">
        <f>COUNTIFS(Clean_Data[CustomerID],A241,Clean_Data[DeliveredInclude],1)</f>
        <v>2</v>
      </c>
      <c r="C241" s="3">
        <f t="shared" si="3"/>
        <v>1</v>
      </c>
      <c r="D241" s="3"/>
      <c r="E241" s="3"/>
    </row>
    <row r="242" spans="1:5" ht="22" customHeight="1">
      <c r="A242" s="3" t="str">
        <f>IFERROR(INDEX(Clean!$D$2:$D$901,SMALL(Clean!$AA$2:$AA$901,ROWS($A$2:A242))),"")</f>
        <v>C085</v>
      </c>
      <c r="B242" s="3">
        <f>COUNTIFS(Clean_Data[CustomerID],A242,Clean_Data[DeliveredInclude],1)</f>
        <v>2</v>
      </c>
      <c r="C242" s="3">
        <f t="shared" si="3"/>
        <v>1</v>
      </c>
      <c r="D242" s="3"/>
      <c r="E242" s="3"/>
    </row>
    <row r="243" spans="1:5" ht="22" customHeight="1">
      <c r="A243" s="3" t="str">
        <f>IFERROR(INDEX(Clean!$D$2:$D$901,SMALL(Clean!$AA$2:$AA$901,ROWS($A$2:A243))),"")</f>
        <v>C228</v>
      </c>
      <c r="B243" s="3">
        <f>COUNTIFS(Clean_Data[CustomerID],A243,Clean_Data[DeliveredInclude],1)</f>
        <v>1</v>
      </c>
      <c r="C243" s="3">
        <f t="shared" si="3"/>
        <v>1</v>
      </c>
      <c r="D243" s="3"/>
      <c r="E243" s="3"/>
    </row>
    <row r="244" spans="1:5" ht="22" customHeight="1">
      <c r="A244" s="3" t="str">
        <f>IFERROR(INDEX(Clean!$D$2:$D$901,SMALL(Clean!$AA$2:$AA$901,ROWS($A$2:A244))),"")</f>
        <v>C015</v>
      </c>
      <c r="B244" s="3">
        <f>COUNTIFS(Clean_Data[CustomerID],A244,Clean_Data[DeliveredInclude],1)</f>
        <v>4</v>
      </c>
      <c r="C244" s="3">
        <f t="shared" si="3"/>
        <v>1</v>
      </c>
      <c r="D244" s="3"/>
      <c r="E244" s="3"/>
    </row>
    <row r="245" spans="1:5" ht="22" customHeight="1">
      <c r="A245" s="3" t="str">
        <f>IFERROR(INDEX(Clean!$D$2:$D$901,SMALL(Clean!$AA$2:$AA$901,ROWS($A$2:A245))),"")</f>
        <v>C152</v>
      </c>
      <c r="B245" s="3">
        <f>COUNTIFS(Clean_Data[CustomerID],A245,Clean_Data[DeliveredInclude],1)</f>
        <v>1</v>
      </c>
      <c r="C245" s="3">
        <f t="shared" si="3"/>
        <v>1</v>
      </c>
      <c r="D245" s="3"/>
      <c r="E245" s="3"/>
    </row>
    <row r="246" spans="1:5" ht="22" customHeight="1">
      <c r="A246" s="3" t="str">
        <f>IFERROR(INDEX(Clean!$D$2:$D$901,SMALL(Clean!$AA$2:$AA$901,ROWS($A$2:A246))),"")</f>
        <v>C260</v>
      </c>
      <c r="B246" s="3">
        <f>COUNTIFS(Clean_Data[CustomerID],A246,Clean_Data[DeliveredInclude],1)</f>
        <v>2</v>
      </c>
      <c r="C246" s="3">
        <f t="shared" si="3"/>
        <v>1</v>
      </c>
      <c r="D246" s="3"/>
      <c r="E246" s="3"/>
    </row>
    <row r="247" spans="1:5" ht="22" customHeight="1">
      <c r="A247" s="3" t="str">
        <f>IFERROR(INDEX(Clean!$D$2:$D$901,SMALL(Clean!$AA$2:$AA$901,ROWS($A$2:A247))),"")</f>
        <v>C226</v>
      </c>
      <c r="B247" s="3">
        <f>COUNTIFS(Clean_Data[CustomerID],A247,Clean_Data[DeliveredInclude],1)</f>
        <v>2</v>
      </c>
      <c r="C247" s="3">
        <f t="shared" si="3"/>
        <v>1</v>
      </c>
      <c r="D247" s="3"/>
      <c r="E247" s="3"/>
    </row>
    <row r="248" spans="1:5" ht="22" customHeight="1">
      <c r="A248" s="3" t="str">
        <f>IFERROR(INDEX(Clean!$D$2:$D$901,SMALL(Clean!$AA$2:$AA$901,ROWS($A$2:A248))),"")</f>
        <v>C171</v>
      </c>
      <c r="B248" s="3">
        <f>COUNTIFS(Clean_Data[CustomerID],A248,Clean_Data[DeliveredInclude],1)</f>
        <v>3</v>
      </c>
      <c r="C248" s="3">
        <f t="shared" si="3"/>
        <v>1</v>
      </c>
      <c r="D248" s="3"/>
      <c r="E248" s="3"/>
    </row>
    <row r="249" spans="1:5" ht="22" customHeight="1">
      <c r="A249" s="3" t="str">
        <f>IFERROR(INDEX(Clean!$D$2:$D$901,SMALL(Clean!$AA$2:$AA$901,ROWS($A$2:A249))),"")</f>
        <v>C111</v>
      </c>
      <c r="B249" s="3">
        <f>COUNTIFS(Clean_Data[CustomerID],A249,Clean_Data[DeliveredInclude],1)</f>
        <v>2</v>
      </c>
      <c r="C249" s="3">
        <f t="shared" si="3"/>
        <v>1</v>
      </c>
      <c r="D249" s="3"/>
      <c r="E249" s="3"/>
    </row>
    <row r="250" spans="1:5" ht="22" customHeight="1">
      <c r="A250" s="3" t="str">
        <f>IFERROR(INDEX(Clean!$D$2:$D$901,SMALL(Clean!$AA$2:$AA$901,ROWS($A$2:A250))),"")</f>
        <v>C160</v>
      </c>
      <c r="B250" s="3">
        <f>COUNTIFS(Clean_Data[CustomerID],A250,Clean_Data[DeliveredInclude],1)</f>
        <v>2</v>
      </c>
      <c r="C250" s="3">
        <f t="shared" si="3"/>
        <v>1</v>
      </c>
      <c r="D250" s="3"/>
      <c r="E250" s="3"/>
    </row>
    <row r="251" spans="1:5" ht="22" customHeight="1">
      <c r="A251" s="3" t="str">
        <f>IFERROR(INDEX(Clean!$D$2:$D$901,SMALL(Clean!$AA$2:$AA$901,ROWS($A$2:A251))),"")</f>
        <v>C129</v>
      </c>
      <c r="B251" s="3">
        <f>COUNTIFS(Clean_Data[CustomerID],A251,Clean_Data[DeliveredInclude],1)</f>
        <v>6</v>
      </c>
      <c r="C251" s="3">
        <f t="shared" si="3"/>
        <v>1</v>
      </c>
      <c r="D251" s="3"/>
      <c r="E251" s="3"/>
    </row>
    <row r="252" spans="1:5" ht="22" customHeight="1">
      <c r="A252" s="3" t="str">
        <f>IFERROR(INDEX(Clean!$D$2:$D$901,SMALL(Clean!$AA$2:$AA$901,ROWS($A$2:A252))),"")</f>
        <v>C298</v>
      </c>
      <c r="B252" s="3">
        <f>COUNTIFS(Clean_Data[CustomerID],A252,Clean_Data[DeliveredInclude],1)</f>
        <v>2</v>
      </c>
      <c r="C252" s="3">
        <f t="shared" si="3"/>
        <v>1</v>
      </c>
      <c r="D252" s="3"/>
      <c r="E252" s="3"/>
    </row>
    <row r="253" spans="1:5" ht="22" customHeight="1">
      <c r="A253" s="3" t="str">
        <f>IFERROR(INDEX(Clean!$D$2:$D$901,SMALL(Clean!$AA$2:$AA$901,ROWS($A$2:A253))),"")</f>
        <v>C119</v>
      </c>
      <c r="B253" s="3">
        <f>COUNTIFS(Clean_Data[CustomerID],A253,Clean_Data[DeliveredInclude],1)</f>
        <v>1</v>
      </c>
      <c r="C253" s="3">
        <f t="shared" si="3"/>
        <v>1</v>
      </c>
      <c r="D253" s="3"/>
      <c r="E253" s="3"/>
    </row>
    <row r="254" spans="1:5" ht="22" customHeight="1">
      <c r="A254" s="3" t="str">
        <f>IFERROR(INDEX(Clean!$D$2:$D$901,SMALL(Clean!$AA$2:$AA$901,ROWS($A$2:A254))),"")</f>
        <v>C088</v>
      </c>
      <c r="B254" s="3">
        <f>COUNTIFS(Clean_Data[CustomerID],A254,Clean_Data[DeliveredInclude],1)</f>
        <v>3</v>
      </c>
      <c r="C254" s="3">
        <f t="shared" si="3"/>
        <v>1</v>
      </c>
      <c r="D254" s="3"/>
      <c r="E254" s="3"/>
    </row>
    <row r="255" spans="1:5" ht="22" customHeight="1">
      <c r="A255" s="3" t="str">
        <f>IFERROR(INDEX(Clean!$D$2:$D$901,SMALL(Clean!$AA$2:$AA$901,ROWS($A$2:A255))),"")</f>
        <v>C010</v>
      </c>
      <c r="B255" s="3">
        <f>COUNTIFS(Clean_Data[CustomerID],A255,Clean_Data[DeliveredInclude],1)</f>
        <v>2</v>
      </c>
      <c r="C255" s="3">
        <f t="shared" si="3"/>
        <v>1</v>
      </c>
      <c r="D255" s="3"/>
      <c r="E255" s="3"/>
    </row>
    <row r="256" spans="1:5" ht="22" customHeight="1">
      <c r="A256" s="3" t="str">
        <f>IFERROR(INDEX(Clean!$D$2:$D$901,SMALL(Clean!$AA$2:$AA$901,ROWS($A$2:A256))),"")</f>
        <v>C068</v>
      </c>
      <c r="B256" s="3">
        <f>COUNTIFS(Clean_Data[CustomerID],A256,Clean_Data[DeliveredInclude],1)</f>
        <v>1</v>
      </c>
      <c r="C256" s="3">
        <f t="shared" si="3"/>
        <v>1</v>
      </c>
      <c r="D256" s="3"/>
      <c r="E256" s="3"/>
    </row>
    <row r="257" spans="1:5" ht="22" customHeight="1">
      <c r="A257" s="3" t="str">
        <f>IFERROR(INDEX(Clean!$D$2:$D$901,SMALL(Clean!$AA$2:$AA$901,ROWS($A$2:A257))),"")</f>
        <v>C235</v>
      </c>
      <c r="B257" s="3">
        <f>COUNTIFS(Clean_Data[CustomerID],A257,Clean_Data[DeliveredInclude],1)</f>
        <v>1</v>
      </c>
      <c r="C257" s="3">
        <f t="shared" si="3"/>
        <v>1</v>
      </c>
      <c r="D257" s="3"/>
      <c r="E257" s="3"/>
    </row>
    <row r="258" spans="1:5" ht="22" customHeight="1">
      <c r="A258" s="3" t="str">
        <f>IFERROR(INDEX(Clean!$D$2:$D$901,SMALL(Clean!$AA$2:$AA$901,ROWS($A$2:A258))),"")</f>
        <v>C021</v>
      </c>
      <c r="B258" s="3">
        <f>COUNTIFS(Clean_Data[CustomerID],A258,Clean_Data[DeliveredInclude],1)</f>
        <v>1</v>
      </c>
      <c r="C258" s="3">
        <f t="shared" ref="C258:C289" si="4">IF(B258&gt;0,1,0)</f>
        <v>1</v>
      </c>
      <c r="D258" s="3"/>
      <c r="E258" s="3"/>
    </row>
    <row r="259" spans="1:5" ht="22" customHeight="1">
      <c r="A259" s="3" t="str">
        <f>IFERROR(INDEX(Clean!$D$2:$D$901,SMALL(Clean!$AA$2:$AA$901,ROWS($A$2:A259))),"")</f>
        <v>C107</v>
      </c>
      <c r="B259" s="3">
        <f>COUNTIFS(Clean_Data[CustomerID],A259,Clean_Data[DeliveredInclude],1)</f>
        <v>2</v>
      </c>
      <c r="C259" s="3">
        <f t="shared" si="4"/>
        <v>1</v>
      </c>
      <c r="D259" s="3"/>
      <c r="E259" s="3"/>
    </row>
    <row r="260" spans="1:5" ht="22" customHeight="1">
      <c r="A260" s="3" t="str">
        <f>IFERROR(INDEX(Clean!$D$2:$D$901,SMALL(Clean!$AA$2:$AA$901,ROWS($A$2:A260))),"")</f>
        <v>C067</v>
      </c>
      <c r="B260" s="3">
        <f>COUNTIFS(Clean_Data[CustomerID],A260,Clean_Data[DeliveredInclude],1)</f>
        <v>3</v>
      </c>
      <c r="C260" s="3">
        <f t="shared" si="4"/>
        <v>1</v>
      </c>
      <c r="D260" s="3"/>
      <c r="E260" s="3"/>
    </row>
    <row r="261" spans="1:5" ht="22" customHeight="1">
      <c r="A261" s="3" t="str">
        <f>IFERROR(INDEX(Clean!$D$2:$D$901,SMALL(Clean!$AA$2:$AA$901,ROWS($A$2:A261))),"")</f>
        <v>C029</v>
      </c>
      <c r="B261" s="3">
        <f>COUNTIFS(Clean_Data[CustomerID],A261,Clean_Data[DeliveredInclude],1)</f>
        <v>2</v>
      </c>
      <c r="C261" s="3">
        <f t="shared" si="4"/>
        <v>1</v>
      </c>
      <c r="D261" s="3"/>
      <c r="E261" s="3"/>
    </row>
    <row r="262" spans="1:5" ht="22" customHeight="1">
      <c r="A262" s="3" t="str">
        <f>IFERROR(INDEX(Clean!$D$2:$D$901,SMALL(Clean!$AA$2:$AA$901,ROWS($A$2:A262))),"")</f>
        <v>C299</v>
      </c>
      <c r="B262" s="3">
        <f>COUNTIFS(Clean_Data[CustomerID],A262,Clean_Data[DeliveredInclude],1)</f>
        <v>1</v>
      </c>
      <c r="C262" s="3">
        <f t="shared" si="4"/>
        <v>1</v>
      </c>
      <c r="D262" s="3"/>
      <c r="E262" s="3"/>
    </row>
    <row r="263" spans="1:5" ht="22" customHeight="1">
      <c r="A263" s="3" t="str">
        <f>IFERROR(INDEX(Clean!$D$2:$D$901,SMALL(Clean!$AA$2:$AA$901,ROWS($A$2:A263))),"")</f>
        <v>C133</v>
      </c>
      <c r="B263" s="3">
        <f>COUNTIFS(Clean_Data[CustomerID],A263,Clean_Data[DeliveredInclude],1)</f>
        <v>3</v>
      </c>
      <c r="C263" s="3">
        <f t="shared" si="4"/>
        <v>1</v>
      </c>
      <c r="D263" s="3"/>
      <c r="E263" s="3"/>
    </row>
    <row r="264" spans="1:5" ht="22" customHeight="1">
      <c r="A264" s="3" t="str">
        <f>IFERROR(INDEX(Clean!$D$2:$D$901,SMALL(Clean!$AA$2:$AA$901,ROWS($A$2:A264))),"")</f>
        <v>C292</v>
      </c>
      <c r="B264" s="3">
        <f>COUNTIFS(Clean_Data[CustomerID],A264,Clean_Data[DeliveredInclude],1)</f>
        <v>2</v>
      </c>
      <c r="C264" s="3">
        <f t="shared" si="4"/>
        <v>1</v>
      </c>
      <c r="D264" s="3"/>
      <c r="E264" s="3"/>
    </row>
    <row r="265" spans="1:5" ht="22" customHeight="1">
      <c r="A265" s="3" t="str">
        <f>IFERROR(INDEX(Clean!$D$2:$D$901,SMALL(Clean!$AA$2:$AA$901,ROWS($A$2:A265))),"")</f>
        <v>C259</v>
      </c>
      <c r="B265" s="3">
        <f>COUNTIFS(Clean_Data[CustomerID],A265,Clean_Data[DeliveredInclude],1)</f>
        <v>3</v>
      </c>
      <c r="C265" s="3">
        <f t="shared" si="4"/>
        <v>1</v>
      </c>
      <c r="D265" s="3"/>
      <c r="E265" s="3"/>
    </row>
    <row r="266" spans="1:5" ht="22" customHeight="1">
      <c r="A266" s="3" t="str">
        <f>IFERROR(INDEX(Clean!$D$2:$D$901,SMALL(Clean!$AA$2:$AA$901,ROWS($A$2:A266))),"")</f>
        <v>C284</v>
      </c>
      <c r="B266" s="3">
        <f>COUNTIFS(Clean_Data[CustomerID],A266,Clean_Data[DeliveredInclude],1)</f>
        <v>1</v>
      </c>
      <c r="C266" s="3">
        <f t="shared" si="4"/>
        <v>1</v>
      </c>
      <c r="D266" s="3"/>
      <c r="E266" s="3"/>
    </row>
    <row r="267" spans="1:5" ht="22" customHeight="1">
      <c r="A267" s="3" t="str">
        <f>IFERROR(INDEX(Clean!$D$2:$D$901,SMALL(Clean!$AA$2:$AA$901,ROWS($A$2:A267))),"")</f>
        <v>C087</v>
      </c>
      <c r="B267" s="3">
        <f>COUNTIFS(Clean_Data[CustomerID],A267,Clean_Data[DeliveredInclude],1)</f>
        <v>3</v>
      </c>
      <c r="C267" s="3">
        <f t="shared" si="4"/>
        <v>1</v>
      </c>
      <c r="D267" s="3"/>
      <c r="E267" s="3"/>
    </row>
    <row r="268" spans="1:5" ht="22" customHeight="1">
      <c r="A268" s="3" t="str">
        <f>IFERROR(INDEX(Clean!$D$2:$D$901,SMALL(Clean!$AA$2:$AA$901,ROWS($A$2:A268))),"")</f>
        <v>C050</v>
      </c>
      <c r="B268" s="3">
        <f>COUNTIFS(Clean_Data[CustomerID],A268,Clean_Data[DeliveredInclude],1)</f>
        <v>1</v>
      </c>
      <c r="C268" s="3">
        <f t="shared" si="4"/>
        <v>1</v>
      </c>
      <c r="D268" s="3"/>
      <c r="E268" s="3"/>
    </row>
    <row r="269" spans="1:5" ht="22" customHeight="1">
      <c r="A269" s="3" t="str">
        <f>IFERROR(INDEX(Clean!$D$2:$D$901,SMALL(Clean!$AA$2:$AA$901,ROWS($A$2:A269))),"")</f>
        <v>C250</v>
      </c>
      <c r="B269" s="3">
        <f>COUNTIFS(Clean_Data[CustomerID],A269,Clean_Data[DeliveredInclude],1)</f>
        <v>0</v>
      </c>
      <c r="C269" s="3">
        <f t="shared" si="4"/>
        <v>0</v>
      </c>
      <c r="D269" s="3"/>
      <c r="E269" s="3"/>
    </row>
    <row r="270" spans="1:5" ht="22" customHeight="1">
      <c r="A270" s="3" t="str">
        <f>IFERROR(INDEX(Clean!$D$2:$D$901,SMALL(Clean!$AA$2:$AA$901,ROWS($A$2:A270))),"")</f>
        <v>C142</v>
      </c>
      <c r="B270" s="3">
        <f>COUNTIFS(Clean_Data[CustomerID],A270,Clean_Data[DeliveredInclude],1)</f>
        <v>3</v>
      </c>
      <c r="C270" s="3">
        <f t="shared" si="4"/>
        <v>1</v>
      </c>
      <c r="D270" s="3"/>
      <c r="E270" s="3"/>
    </row>
    <row r="271" spans="1:5" ht="22" customHeight="1">
      <c r="A271" s="3" t="str">
        <f>IFERROR(INDEX(Clean!$D$2:$D$901,SMALL(Clean!$AA$2:$AA$901,ROWS($A$2:A271))),"")</f>
        <v>C243</v>
      </c>
      <c r="B271" s="3">
        <f>COUNTIFS(Clean_Data[CustomerID],A271,Clean_Data[DeliveredInclude],1)</f>
        <v>2</v>
      </c>
      <c r="C271" s="3">
        <f t="shared" si="4"/>
        <v>1</v>
      </c>
      <c r="D271" s="3"/>
      <c r="E271" s="3"/>
    </row>
    <row r="272" spans="1:5" ht="22" customHeight="1">
      <c r="A272" s="3" t="str">
        <f>IFERROR(INDEX(Clean!$D$2:$D$901,SMALL(Clean!$AA$2:$AA$901,ROWS($A$2:A272))),"")</f>
        <v>C187</v>
      </c>
      <c r="B272" s="3">
        <f>COUNTIFS(Clean_Data[CustomerID],A272,Clean_Data[DeliveredInclude],1)</f>
        <v>1</v>
      </c>
      <c r="C272" s="3">
        <f t="shared" si="4"/>
        <v>1</v>
      </c>
      <c r="D272" s="3"/>
      <c r="E272" s="3"/>
    </row>
    <row r="273" spans="1:5" ht="22" customHeight="1">
      <c r="A273" s="3" t="str">
        <f>IFERROR(INDEX(Clean!$D$2:$D$901,SMALL(Clean!$AA$2:$AA$901,ROWS($A$2:A273))),"")</f>
        <v>C140</v>
      </c>
      <c r="B273" s="3">
        <f>COUNTIFS(Clean_Data[CustomerID],A273,Clean_Data[DeliveredInclude],1)</f>
        <v>2</v>
      </c>
      <c r="C273" s="3">
        <f t="shared" si="4"/>
        <v>1</v>
      </c>
      <c r="D273" s="3"/>
      <c r="E273" s="3"/>
    </row>
    <row r="274" spans="1:5" ht="22" customHeight="1">
      <c r="A274" s="3" t="str">
        <f>IFERROR(INDEX(Clean!$D$2:$D$901,SMALL(Clean!$AA$2:$AA$901,ROWS($A$2:A274))),"")</f>
        <v>C165</v>
      </c>
      <c r="B274" s="3">
        <f>COUNTIFS(Clean_Data[CustomerID],A274,Clean_Data[DeliveredInclude],1)</f>
        <v>3</v>
      </c>
      <c r="C274" s="3">
        <f t="shared" si="4"/>
        <v>1</v>
      </c>
      <c r="D274" s="3"/>
      <c r="E274" s="3"/>
    </row>
    <row r="275" spans="1:5" ht="22" customHeight="1">
      <c r="A275" s="3" t="str">
        <f>IFERROR(INDEX(Clean!$D$2:$D$901,SMALL(Clean!$AA$2:$AA$901,ROWS($A$2:A275))),"")</f>
        <v>C297</v>
      </c>
      <c r="B275" s="3">
        <f>COUNTIFS(Clean_Data[CustomerID],A275,Clean_Data[DeliveredInclude],1)</f>
        <v>3</v>
      </c>
      <c r="C275" s="3">
        <f t="shared" si="4"/>
        <v>1</v>
      </c>
      <c r="D275" s="3"/>
      <c r="E275" s="3"/>
    </row>
    <row r="276" spans="1:5" ht="22" customHeight="1">
      <c r="A276" s="3" t="str">
        <f>IFERROR(INDEX(Clean!$D$2:$D$901,SMALL(Clean!$AA$2:$AA$901,ROWS($A$2:A276))),"")</f>
        <v>C236</v>
      </c>
      <c r="B276" s="3">
        <f>COUNTIFS(Clean_Data[CustomerID],A276,Clean_Data[DeliveredInclude],1)</f>
        <v>2</v>
      </c>
      <c r="C276" s="3">
        <f t="shared" si="4"/>
        <v>1</v>
      </c>
      <c r="D276" s="3"/>
      <c r="E276" s="3"/>
    </row>
    <row r="277" spans="1:5" ht="22" customHeight="1">
      <c r="A277" s="3" t="str">
        <f>IFERROR(INDEX(Clean!$D$2:$D$901,SMALL(Clean!$AA$2:$AA$901,ROWS($A$2:A277))),"")</f>
        <v>C006</v>
      </c>
      <c r="B277" s="3">
        <f>COUNTIFS(Clean_Data[CustomerID],A277,Clean_Data[DeliveredInclude],1)</f>
        <v>2</v>
      </c>
      <c r="C277" s="3">
        <f t="shared" si="4"/>
        <v>1</v>
      </c>
      <c r="D277" s="3"/>
      <c r="E277" s="3"/>
    </row>
    <row r="278" spans="1:5" ht="22" customHeight="1">
      <c r="A278" s="3" t="str">
        <f>IFERROR(INDEX(Clean!$D$2:$D$901,SMALL(Clean!$AA$2:$AA$901,ROWS($A$2:A278))),"")</f>
        <v>C213</v>
      </c>
      <c r="B278" s="3">
        <f>COUNTIFS(Clean_Data[CustomerID],A278,Clean_Data[DeliveredInclude],1)</f>
        <v>2</v>
      </c>
      <c r="C278" s="3">
        <f t="shared" si="4"/>
        <v>1</v>
      </c>
      <c r="D278" s="3"/>
      <c r="E278" s="3"/>
    </row>
    <row r="279" spans="1:5" ht="22" customHeight="1">
      <c r="A279" s="3" t="str">
        <f>IFERROR(INDEX(Clean!$D$2:$D$901,SMALL(Clean!$AA$2:$AA$901,ROWS($A$2:A279))),"")</f>
        <v>C280</v>
      </c>
      <c r="B279" s="3">
        <f>COUNTIFS(Clean_Data[CustomerID],A279,Clean_Data[DeliveredInclude],1)</f>
        <v>1</v>
      </c>
      <c r="C279" s="3">
        <f t="shared" si="4"/>
        <v>1</v>
      </c>
      <c r="D279" s="3"/>
      <c r="E279" s="3"/>
    </row>
    <row r="280" spans="1:5" ht="22" customHeight="1">
      <c r="A280" s="3" t="str">
        <f>IFERROR(INDEX(Clean!$D$2:$D$901,SMALL(Clean!$AA$2:$AA$901,ROWS($A$2:A280))),"")</f>
        <v>C191</v>
      </c>
      <c r="B280" s="3">
        <f>COUNTIFS(Clean_Data[CustomerID],A280,Clean_Data[DeliveredInclude],1)</f>
        <v>2</v>
      </c>
      <c r="C280" s="3">
        <f t="shared" si="4"/>
        <v>1</v>
      </c>
      <c r="D280" s="3"/>
      <c r="E280" s="3"/>
    </row>
    <row r="281" spans="1:5" ht="22" customHeight="1">
      <c r="A281" s="3" t="str">
        <f>IFERROR(INDEX(Clean!$D$2:$D$901,SMALL(Clean!$AA$2:$AA$901,ROWS($A$2:A281))),"")</f>
        <v>C270</v>
      </c>
      <c r="B281" s="3">
        <f>COUNTIFS(Clean_Data[CustomerID],A281,Clean_Data[DeliveredInclude],1)</f>
        <v>0</v>
      </c>
      <c r="C281" s="3">
        <f t="shared" si="4"/>
        <v>0</v>
      </c>
      <c r="D281" s="3"/>
      <c r="E281" s="3"/>
    </row>
    <row r="282" spans="1:5" ht="22" customHeight="1">
      <c r="A282" s="3" t="str">
        <f>IFERROR(INDEX(Clean!$D$2:$D$901,SMALL(Clean!$AA$2:$AA$901,ROWS($A$2:A282))),"")</f>
        <v>C042</v>
      </c>
      <c r="B282" s="3">
        <f>COUNTIFS(Clean_Data[CustomerID],A282,Clean_Data[DeliveredInclude],1)</f>
        <v>1</v>
      </c>
      <c r="C282" s="3">
        <f t="shared" si="4"/>
        <v>1</v>
      </c>
      <c r="D282" s="3"/>
      <c r="E282" s="3"/>
    </row>
    <row r="283" spans="1:5" ht="22" customHeight="1">
      <c r="A283" s="3" t="str">
        <f>IFERROR(INDEX(Clean!$D$2:$D$901,SMALL(Clean!$AA$2:$AA$901,ROWS($A$2:A283))),"")</f>
        <v>C032</v>
      </c>
      <c r="B283" s="3">
        <f>COUNTIFS(Clean_Data[CustomerID],A283,Clean_Data[DeliveredInclude],1)</f>
        <v>1</v>
      </c>
      <c r="C283" s="3">
        <f t="shared" si="4"/>
        <v>1</v>
      </c>
      <c r="D283" s="3"/>
      <c r="E283" s="3"/>
    </row>
    <row r="284" spans="1:5" ht="22" customHeight="1">
      <c r="A284" s="3" t="str">
        <f>IFERROR(INDEX(Clean!$D$2:$D$901,SMALL(Clean!$AA$2:$AA$901,ROWS($A$2:A284))),"")</f>
        <v>C183</v>
      </c>
      <c r="B284" s="3">
        <f>COUNTIFS(Clean_Data[CustomerID],A284,Clean_Data[DeliveredInclude],1)</f>
        <v>1</v>
      </c>
      <c r="C284" s="3">
        <f t="shared" si="4"/>
        <v>1</v>
      </c>
      <c r="D284" s="3"/>
      <c r="E284" s="3"/>
    </row>
    <row r="285" spans="1:5" ht="22" customHeight="1">
      <c r="A285" s="3" t="str">
        <f>IFERROR(INDEX(Clean!$D$2:$D$901,SMALL(Clean!$AA$2:$AA$901,ROWS($A$2:A285))),"")</f>
        <v>C273</v>
      </c>
      <c r="B285" s="3">
        <f>COUNTIFS(Clean_Data[CustomerID],A285,Clean_Data[DeliveredInclude],1)</f>
        <v>1</v>
      </c>
      <c r="C285" s="3">
        <f t="shared" si="4"/>
        <v>1</v>
      </c>
      <c r="D285" s="3"/>
      <c r="E285" s="3"/>
    </row>
    <row r="286" spans="1:5" ht="22" customHeight="1">
      <c r="A286" s="3" t="str">
        <f>IFERROR(INDEX(Clean!$D$2:$D$901,SMALL(Clean!$AA$2:$AA$901,ROWS($A$2:A286))),"")</f>
        <v>C036</v>
      </c>
      <c r="B286" s="3">
        <f>COUNTIFS(Clean_Data[CustomerID],A286,Clean_Data[DeliveredInclude],1)</f>
        <v>1</v>
      </c>
      <c r="C286" s="3">
        <f t="shared" si="4"/>
        <v>1</v>
      </c>
      <c r="D286" s="3"/>
      <c r="E286" s="3"/>
    </row>
    <row r="287" spans="1:5" ht="22" customHeight="1">
      <c r="A287" s="3" t="str">
        <f>IFERROR(INDEX(Clean!$D$2:$D$901,SMALL(Clean!$AA$2:$AA$901,ROWS($A$2:A287))),"")</f>
        <v>C237</v>
      </c>
      <c r="B287" s="3">
        <f>COUNTIFS(Clean_Data[CustomerID],A287,Clean_Data[DeliveredInclude],1)</f>
        <v>1</v>
      </c>
      <c r="C287" s="3">
        <f t="shared" si="4"/>
        <v>1</v>
      </c>
      <c r="D287" s="3"/>
      <c r="E287" s="3"/>
    </row>
    <row r="288" spans="1:5" ht="22" customHeight="1">
      <c r="A288" s="3" t="str">
        <f>IFERROR(INDEX(Clean!$D$2:$D$901,SMALL(Clean!$AA$2:$AA$901,ROWS($A$2:A288))),"")</f>
        <v>C086</v>
      </c>
      <c r="B288" s="3">
        <f>COUNTIFS(Clean_Data[CustomerID],A288,Clean_Data[DeliveredInclude],1)</f>
        <v>1</v>
      </c>
      <c r="C288" s="3">
        <f t="shared" si="4"/>
        <v>1</v>
      </c>
      <c r="D288" s="3"/>
      <c r="E288" s="3"/>
    </row>
    <row r="289" spans="1:5" ht="22" customHeight="1">
      <c r="A289" s="3" t="str">
        <f>IFERROR(INDEX(Clean!$D$2:$D$901,SMALL(Clean!$AA$2:$AA$901,ROWS($A$2:A289))),"")</f>
        <v>C254</v>
      </c>
      <c r="B289" s="3">
        <f>COUNTIFS(Clean_Data[CustomerID],A289,Clean_Data[DeliveredInclude],1)</f>
        <v>0</v>
      </c>
      <c r="C289" s="3">
        <f t="shared" si="4"/>
        <v>0</v>
      </c>
      <c r="D289" s="3"/>
      <c r="E28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showGridLines="0" workbookViewId="0"/>
  </sheetViews>
  <sheetFormatPr defaultRowHeight="14"/>
  <cols>
    <col min="1" max="1" width="45" customWidth="1"/>
    <col min="2" max="6" width="24" customWidth="1"/>
    <col min="8" max="9" width="25" customWidth="1"/>
  </cols>
  <sheetData>
    <row r="1" spans="1:9" ht="24" customHeight="1">
      <c r="A1" s="3"/>
      <c r="B1" s="3"/>
      <c r="C1" s="3"/>
      <c r="D1" s="9" t="s">
        <v>50</v>
      </c>
      <c r="E1" s="9"/>
      <c r="F1" s="9" t="s">
        <v>51</v>
      </c>
      <c r="H1" s="13" t="s">
        <v>52</v>
      </c>
      <c r="I1" s="13" t="s">
        <v>53</v>
      </c>
    </row>
    <row r="2" spans="1:9" ht="24" customHeight="1">
      <c r="A2" s="3" t="s">
        <v>0</v>
      </c>
      <c r="B2" s="2">
        <f>Dashboard!B5</f>
        <v>46266</v>
      </c>
      <c r="C2" s="3"/>
      <c r="D2" s="3" t="s">
        <v>5</v>
      </c>
      <c r="E2" s="3"/>
      <c r="F2" s="3" t="s">
        <v>5</v>
      </c>
      <c r="H2" s="1" t="s">
        <v>54</v>
      </c>
      <c r="I2" s="1">
        <f>COUNTIF(Clean!$AB$2:$AB$901,"&lt;="&amp;ROWS(Clean_Data[OrderID]))</f>
        <v>5</v>
      </c>
    </row>
    <row r="3" spans="1:9" ht="24" customHeight="1">
      <c r="A3" s="3" t="s">
        <v>1</v>
      </c>
      <c r="B3" s="2">
        <f>Dashboard!F5</f>
        <v>46295</v>
      </c>
      <c r="C3" s="3"/>
      <c r="D3" s="3" t="str">
        <f>IFERROR(INDEX(Clean!$F$2:$F$901,SMALL(Clean!$AB$2:$AB$901,ROWS($D$3:D3))),"")</f>
        <v>Central</v>
      </c>
      <c r="E3" s="3"/>
      <c r="F3" s="3" t="str">
        <f>IFERROR(INDEX(Clean!$G$2:$G$901,SMALL(Clean!$AC$2:$AC$901,ROWS($F$3:F3))),"")</f>
        <v>Bakery</v>
      </c>
      <c r="H3" s="1" t="s">
        <v>55</v>
      </c>
      <c r="I3" s="1">
        <f>COUNTIF(Clean!$AC$2:$AC$901,"&lt;="&amp;ROWS(Clean_Data[OrderID]))</f>
        <v>6</v>
      </c>
    </row>
    <row r="4" spans="1:9" ht="24" customHeight="1">
      <c r="A4" s="3" t="s">
        <v>2</v>
      </c>
      <c r="B4" s="3" t="str">
        <f>Dashboard!J5</f>
        <v>All</v>
      </c>
      <c r="C4" s="3"/>
      <c r="D4" s="3" t="str">
        <f>IFERROR(INDEX(Clean!$F$2:$F$901,SMALL(Clean!$AB$2:$AB$901,ROWS($D$3:D4))),"")</f>
        <v>West</v>
      </c>
      <c r="E4" s="3"/>
      <c r="F4" s="3" t="str">
        <f>IFERROR(INDEX(Clean!$G$2:$G$901,SMALL(Clean!$AC$2:$AC$901,ROWS($F$3:F4))),"")</f>
        <v>Household</v>
      </c>
      <c r="H4" s="1" t="s">
        <v>56</v>
      </c>
      <c r="I4" s="1">
        <f>COUNTIF(Clean!$AD$2:$AD$901,"&lt;="&amp;ROWS(Clean_Data[OrderID]))</f>
        <v>18</v>
      </c>
    </row>
    <row r="5" spans="1:9" ht="24" customHeight="1">
      <c r="A5" s="3" t="s">
        <v>3</v>
      </c>
      <c r="B5" s="3" t="str">
        <f>Dashboard!P5</f>
        <v>All</v>
      </c>
      <c r="C5" s="3"/>
      <c r="D5" s="3" t="str">
        <f>IFERROR(INDEX(Clean!$F$2:$F$901,SMALL(Clean!$AB$2:$AB$901,ROWS($D$3:D5))),"")</f>
        <v>North</v>
      </c>
      <c r="E5" s="3"/>
      <c r="F5" s="3" t="str">
        <f>IFERROR(INDEX(Clean!$G$2:$G$901,SMALL(Clean!$AC$2:$AC$901,ROWS($F$3:F5))),"")</f>
        <v>Beverages</v>
      </c>
      <c r="H5" s="1" t="s">
        <v>57</v>
      </c>
      <c r="I5" s="1">
        <f>COUNTIF(Clean!$AA$2:$AA$901,"&lt;="&amp;ROWS(Clean_Data[OrderID]))</f>
        <v>288</v>
      </c>
    </row>
    <row r="6" spans="1:9" ht="24" customHeight="1">
      <c r="A6" s="3" t="s">
        <v>4</v>
      </c>
      <c r="B6" s="3">
        <f>Dashboard!X5</f>
        <v>30</v>
      </c>
      <c r="C6" s="3"/>
      <c r="D6" s="3" t="str">
        <f>IFERROR(INDEX(Clean!$F$2:$F$901,SMALL(Clean!$AB$2:$AB$901,ROWS($D$3:D6))),"")</f>
        <v>South</v>
      </c>
      <c r="E6" s="3"/>
      <c r="F6" s="3" t="str">
        <f>IFERROR(INDEX(Clean!$G$2:$G$901,SMALL(Clean!$AC$2:$AC$901,ROWS($F$3:F6))),"")</f>
        <v>Produce</v>
      </c>
      <c r="H6" s="1" t="s">
        <v>58</v>
      </c>
      <c r="I6" s="1">
        <f>COUNTIF(Clean!$AE$2:$AE$901,"&lt;="&amp;ROWS(Clean_Data[OrderID]))</f>
        <v>3</v>
      </c>
    </row>
    <row r="7" spans="1:9" ht="24" customHeight="1">
      <c r="A7" s="3"/>
      <c r="B7" s="3"/>
      <c r="C7" s="3"/>
      <c r="D7" s="3" t="str">
        <f>IFERROR(INDEX(Clean!$F$2:$F$901,SMALL(Clean!$AB$2:$AB$901,ROWS($D$3:D7))),"")</f>
        <v>East</v>
      </c>
      <c r="E7" s="3"/>
      <c r="F7" s="3" t="str">
        <f>IFERROR(INDEX(Clean!$G$2:$G$901,SMALL(Clean!$AC$2:$AC$901,ROWS($F$3:F7))),"")</f>
        <v>Snacks</v>
      </c>
      <c r="H7" s="1" t="s">
        <v>59</v>
      </c>
      <c r="I7" s="1">
        <f>COUNTIF(Clean!$AF$2:$AF$901,"&lt;="&amp;ROWS(Clean_Data[OrderID]))</f>
        <v>7</v>
      </c>
    </row>
    <row r="8" spans="1:9" ht="24" customHeight="1">
      <c r="A8" s="3" t="s">
        <v>60</v>
      </c>
      <c r="B8" s="3"/>
      <c r="C8" s="3"/>
      <c r="D8" s="3"/>
      <c r="E8" s="3"/>
      <c r="F8" s="3" t="str">
        <f>IFERROR(INDEX(Clean!$G$2:$G$901,SMALL(Clean!$AC$2:$AC$901,ROWS($F$3:F8))),"")</f>
        <v>Dairy</v>
      </c>
      <c r="H8" s="1" t="s">
        <v>61</v>
      </c>
      <c r="I8" s="1">
        <f>MAX(Clean_Data[OrderDate])-MIN(Clean_Data[OrderDate])+1</f>
        <v>30</v>
      </c>
    </row>
    <row r="10" spans="1:9">
      <c r="H10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26" width="17" customWidth="1"/>
    <col min="27" max="33" width="20" customWidth="1"/>
  </cols>
  <sheetData>
    <row r="1" spans="1:33" ht="30" customHeight="1">
      <c r="A1" s="6" t="s">
        <v>63</v>
      </c>
      <c r="B1" s="6" t="s">
        <v>64</v>
      </c>
      <c r="C1" s="6" t="s">
        <v>65</v>
      </c>
      <c r="D1" s="6" t="s">
        <v>46</v>
      </c>
      <c r="E1" s="6" t="s">
        <v>66</v>
      </c>
      <c r="F1" s="6" t="s">
        <v>2</v>
      </c>
      <c r="G1" s="6" t="s">
        <v>3</v>
      </c>
      <c r="H1" s="6" t="s">
        <v>24</v>
      </c>
      <c r="I1" s="6" t="s">
        <v>67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7" t="s">
        <v>74</v>
      </c>
      <c r="Q1" s="7" t="s">
        <v>75</v>
      </c>
      <c r="R1" s="7" t="s">
        <v>76</v>
      </c>
      <c r="S1" s="7" t="s">
        <v>40</v>
      </c>
      <c r="T1" s="7" t="s">
        <v>77</v>
      </c>
      <c r="U1" s="7" t="s">
        <v>43</v>
      </c>
      <c r="V1" s="7" t="s">
        <v>39</v>
      </c>
      <c r="W1" s="7" t="s">
        <v>78</v>
      </c>
      <c r="X1" s="7" t="s">
        <v>79</v>
      </c>
      <c r="Y1" s="7" t="s">
        <v>80</v>
      </c>
      <c r="Z1" s="7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</row>
    <row r="2" spans="1:33" ht="20" customHeight="1">
      <c r="A2" s="3" t="s">
        <v>89</v>
      </c>
      <c r="B2" s="2">
        <v>46266</v>
      </c>
      <c r="C2" s="3">
        <v>13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>
        <v>3</v>
      </c>
      <c r="J2" s="11">
        <v>95</v>
      </c>
      <c r="K2" s="4">
        <v>0</v>
      </c>
      <c r="L2" s="3" t="s">
        <v>95</v>
      </c>
      <c r="M2" s="3">
        <v>24</v>
      </c>
      <c r="N2" s="3">
        <v>13</v>
      </c>
      <c r="O2" s="3">
        <v>5</v>
      </c>
      <c r="P2" s="11">
        <f>Clean_Data[[#This Row],[Quantity]]*Clean_Data[[#This Row],[UnitPrice]]</f>
        <v>285</v>
      </c>
      <c r="Q2" s="11">
        <f>ROUND(Clean_Data[[#This Row],[GrossSales]]*Clean_Data[[#This Row],[DiscountPct]],2)</f>
        <v>0</v>
      </c>
      <c r="R2" s="11">
        <f>IF(Clean_Data[[#This Row],[Status]]="Delivered",ROUND(Clean_Data[[#This Row],[GrossSales]]-Clean_Data[[#This Row],[DiscountAmount]],2),0)</f>
        <v>285</v>
      </c>
      <c r="S2" s="3" t="str">
        <f>IF(Clean_Data[[#This Row],[OrderHour]]&lt;6,"Night",IF(Clean_Data[[#This Row],[OrderHour]]&lt;12,"Morning",IF(Clean_Data[[#This Row],[OrderHour]]&lt;18,"Afternoon","Evening")))</f>
        <v>Afternoon</v>
      </c>
      <c r="T2" s="3" t="str">
        <f>TEXT(Clean_Data[[#This Row],[OrderDate]],"[$-409]ddd")</f>
        <v>Tue</v>
      </c>
      <c r="U2" s="3">
        <f>WEEKDAY(Clean_Data[[#This Row],[OrderDate]],2)</f>
        <v>2</v>
      </c>
      <c r="V2" s="3">
        <f>INT(Clean_Data[[#This Row],[OrderHour]]/6)+1</f>
        <v>3</v>
      </c>
      <c r="W2" s="3">
        <f>IF(Clean_Data[[#This Row],[Status]]="Delivered",1,0)</f>
        <v>1</v>
      </c>
      <c r="X2" s="3">
        <f>IF(Clean_Data[[#This Row],[Status]]="Delivered",IF(Clean_Data[[#This Row],[DeliveryMinutes]]&lt;=Dashboard!$X$5,1,0),0)</f>
        <v>1</v>
      </c>
      <c r="Y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" s="3">
        <f>IF(AND(Clean_Data[[#This Row],[Include]]=1,Clean_Data[[#This Row],[DeliveredFlag]]=1),1,0)</f>
        <v>1</v>
      </c>
      <c r="AA2" s="1">
        <f>IF(COUNTIF($D$2:D2,D2)=1,ROW()-1,ROWS(Clean_Data[OrderID])+1)</f>
        <v>1</v>
      </c>
      <c r="AB2" s="1">
        <f>IF(COUNTIF($F$2:F2,F2)=1,ROW()-1,ROWS(Clean_Data[OrderID])+1)</f>
        <v>1</v>
      </c>
      <c r="AC2" s="1">
        <f>IF(COUNTIF($G$2:G2,G2)=1,ROW()-1,ROWS(Clean_Data[OrderID])+1)</f>
        <v>1</v>
      </c>
      <c r="AD2" s="1">
        <f>IF(COUNTIF($H$2:H2,H2)=1,ROW()-1,ROWS(Clean_Data[OrderID])+1)</f>
        <v>1</v>
      </c>
      <c r="AE2" s="1">
        <f>IF(COUNTIF($V$2:V2,V2)=1,V2,ROWS(Clean_Data[OrderID])+1)</f>
        <v>3</v>
      </c>
      <c r="AF2" s="1">
        <f>IF(COUNTIF($U$2:U2,U2)=1,U2,ROWS(Clean_Data[OrderID])+1)</f>
        <v>2</v>
      </c>
      <c r="AG2" s="1">
        <f>IF(COUNTIF($E$2:E2,E2)=1,ROW()-1,ROWS(Clean_Data[OrderID])+1)</f>
        <v>1</v>
      </c>
    </row>
    <row r="3" spans="1:33" ht="20" customHeight="1">
      <c r="A3" s="3" t="s">
        <v>96</v>
      </c>
      <c r="B3" s="2">
        <v>46266</v>
      </c>
      <c r="C3" s="3">
        <v>16</v>
      </c>
      <c r="D3" s="3" t="s">
        <v>97</v>
      </c>
      <c r="E3" s="3" t="s">
        <v>91</v>
      </c>
      <c r="F3" s="3" t="s">
        <v>98</v>
      </c>
      <c r="G3" s="3" t="s">
        <v>99</v>
      </c>
      <c r="H3" s="3" t="s">
        <v>100</v>
      </c>
      <c r="I3" s="3">
        <v>5</v>
      </c>
      <c r="J3" s="11">
        <v>120</v>
      </c>
      <c r="K3" s="4">
        <v>0.1</v>
      </c>
      <c r="L3" s="3" t="s">
        <v>101</v>
      </c>
      <c r="M3" s="3"/>
      <c r="N3" s="3"/>
      <c r="O3" s="3"/>
      <c r="P3" s="11">
        <f>Clean_Data[[#This Row],[Quantity]]*Clean_Data[[#This Row],[UnitPrice]]</f>
        <v>600</v>
      </c>
      <c r="Q3" s="11">
        <f>ROUND(Clean_Data[[#This Row],[GrossSales]]*Clean_Data[[#This Row],[DiscountPct]],2)</f>
        <v>60</v>
      </c>
      <c r="R3" s="11">
        <f>IF(Clean_Data[[#This Row],[Status]]="Delivered",ROUND(Clean_Data[[#This Row],[GrossSales]]-Clean_Data[[#This Row],[DiscountAmount]],2),0)</f>
        <v>0</v>
      </c>
      <c r="S3" s="3" t="str">
        <f>IF(Clean_Data[[#This Row],[OrderHour]]&lt;6,"Night",IF(Clean_Data[[#This Row],[OrderHour]]&lt;12,"Morning",IF(Clean_Data[[#This Row],[OrderHour]]&lt;18,"Afternoon","Evening")))</f>
        <v>Afternoon</v>
      </c>
      <c r="T3" s="3" t="str">
        <f>TEXT(Clean_Data[[#This Row],[OrderDate]],"[$-409]ddd")</f>
        <v>Tue</v>
      </c>
      <c r="U3" s="3">
        <f>WEEKDAY(Clean_Data[[#This Row],[OrderDate]],2)</f>
        <v>2</v>
      </c>
      <c r="V3" s="3">
        <f>INT(Clean_Data[[#This Row],[OrderHour]]/6)+1</f>
        <v>3</v>
      </c>
      <c r="W3" s="3">
        <f>IF(Clean_Data[[#This Row],[Status]]="Delivered",1,0)</f>
        <v>0</v>
      </c>
      <c r="X3" s="3">
        <f>IF(Clean_Data[[#This Row],[Status]]="Delivered",IF(Clean_Data[[#This Row],[DeliveryMinutes]]&lt;=Dashboard!$X$5,1,0),0)</f>
        <v>0</v>
      </c>
      <c r="Y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" s="3">
        <f>IF(AND(Clean_Data[[#This Row],[Include]]=1,Clean_Data[[#This Row],[DeliveredFlag]]=1),1,0)</f>
        <v>0</v>
      </c>
      <c r="AA3" s="1">
        <f>IF(COUNTIF($D$2:D3,D3)=1,ROW()-1,ROWS(Clean_Data[OrderID])+1)</f>
        <v>2</v>
      </c>
      <c r="AB3" s="1">
        <f>IF(COUNTIF($F$2:F3,F3)=1,ROW()-1,ROWS(Clean_Data[OrderID])+1)</f>
        <v>2</v>
      </c>
      <c r="AC3" s="1">
        <f>IF(COUNTIF($G$2:G3,G3)=1,ROW()-1,ROWS(Clean_Data[OrderID])+1)</f>
        <v>2</v>
      </c>
      <c r="AD3" s="1">
        <f>IF(COUNTIF($H$2:H3,H3)=1,ROW()-1,ROWS(Clean_Data[OrderID])+1)</f>
        <v>2</v>
      </c>
      <c r="AE3" s="1">
        <f>IF(COUNTIF($V$2:V3,V3)=1,V3,ROWS(Clean_Data[OrderID])+1)</f>
        <v>901</v>
      </c>
      <c r="AF3" s="1">
        <f>IF(COUNTIF($U$2:U3,U3)=1,U3,ROWS(Clean_Data[OrderID])+1)</f>
        <v>901</v>
      </c>
      <c r="AG3" s="1">
        <f>IF(COUNTIF($E$2:E3,E3)=1,ROW()-1,ROWS(Clean_Data[OrderID])+1)</f>
        <v>901</v>
      </c>
    </row>
    <row r="4" spans="1:33" ht="20" customHeight="1">
      <c r="A4" s="3" t="s">
        <v>102</v>
      </c>
      <c r="B4" s="2">
        <v>46266</v>
      </c>
      <c r="C4" s="3">
        <v>18</v>
      </c>
      <c r="D4" s="3" t="s">
        <v>103</v>
      </c>
      <c r="E4" s="3" t="s">
        <v>91</v>
      </c>
      <c r="F4" s="3" t="s">
        <v>92</v>
      </c>
      <c r="G4" s="3" t="s">
        <v>99</v>
      </c>
      <c r="H4" s="3" t="s">
        <v>104</v>
      </c>
      <c r="I4" s="3">
        <v>4</v>
      </c>
      <c r="J4" s="11">
        <v>240</v>
      </c>
      <c r="K4" s="4">
        <v>0</v>
      </c>
      <c r="L4" s="3" t="s">
        <v>95</v>
      </c>
      <c r="M4" s="3">
        <v>30</v>
      </c>
      <c r="N4" s="3">
        <v>9</v>
      </c>
      <c r="O4" s="3">
        <v>5</v>
      </c>
      <c r="P4" s="11">
        <f>Clean_Data[[#This Row],[Quantity]]*Clean_Data[[#This Row],[UnitPrice]]</f>
        <v>960</v>
      </c>
      <c r="Q4" s="11">
        <f>ROUND(Clean_Data[[#This Row],[GrossSales]]*Clean_Data[[#This Row],[DiscountPct]],2)</f>
        <v>0</v>
      </c>
      <c r="R4" s="11">
        <f>IF(Clean_Data[[#This Row],[Status]]="Delivered",ROUND(Clean_Data[[#This Row],[GrossSales]]-Clean_Data[[#This Row],[DiscountAmount]],2),0)</f>
        <v>960</v>
      </c>
      <c r="S4" s="3" t="str">
        <f>IF(Clean_Data[[#This Row],[OrderHour]]&lt;6,"Night",IF(Clean_Data[[#This Row],[OrderHour]]&lt;12,"Morning",IF(Clean_Data[[#This Row],[OrderHour]]&lt;18,"Afternoon","Evening")))</f>
        <v>Evening</v>
      </c>
      <c r="T4" s="3" t="str">
        <f>TEXT(Clean_Data[[#This Row],[OrderDate]],"[$-409]ddd")</f>
        <v>Tue</v>
      </c>
      <c r="U4" s="3">
        <f>WEEKDAY(Clean_Data[[#This Row],[OrderDate]],2)</f>
        <v>2</v>
      </c>
      <c r="V4" s="3">
        <f>INT(Clean_Data[[#This Row],[OrderHour]]/6)+1</f>
        <v>4</v>
      </c>
      <c r="W4" s="3">
        <f>IF(Clean_Data[[#This Row],[Status]]="Delivered",1,0)</f>
        <v>1</v>
      </c>
      <c r="X4" s="3">
        <f>IF(Clean_Data[[#This Row],[Status]]="Delivered",IF(Clean_Data[[#This Row],[DeliveryMinutes]]&lt;=Dashboard!$X$5,1,0),0)</f>
        <v>1</v>
      </c>
      <c r="Y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" s="3">
        <f>IF(AND(Clean_Data[[#This Row],[Include]]=1,Clean_Data[[#This Row],[DeliveredFlag]]=1),1,0)</f>
        <v>1</v>
      </c>
      <c r="AA4" s="1">
        <f>IF(COUNTIF($D$2:D4,D4)=1,ROW()-1,ROWS(Clean_Data[OrderID])+1)</f>
        <v>3</v>
      </c>
      <c r="AB4" s="1">
        <f>IF(COUNTIF($F$2:F4,F4)=1,ROW()-1,ROWS(Clean_Data[OrderID])+1)</f>
        <v>901</v>
      </c>
      <c r="AC4" s="1">
        <f>IF(COUNTIF($G$2:G4,G4)=1,ROW()-1,ROWS(Clean_Data[OrderID])+1)</f>
        <v>901</v>
      </c>
      <c r="AD4" s="1">
        <f>IF(COUNTIF($H$2:H4,H4)=1,ROW()-1,ROWS(Clean_Data[OrderID])+1)</f>
        <v>3</v>
      </c>
      <c r="AE4" s="1">
        <f>IF(COUNTIF($V$2:V4,V4)=1,V4,ROWS(Clean_Data[OrderID])+1)</f>
        <v>4</v>
      </c>
      <c r="AF4" s="1">
        <f>IF(COUNTIF($U$2:U4,U4)=1,U4,ROWS(Clean_Data[OrderID])+1)</f>
        <v>901</v>
      </c>
      <c r="AG4" s="1">
        <f>IF(COUNTIF($E$2:E4,E4)=1,ROW()-1,ROWS(Clean_Data[OrderID])+1)</f>
        <v>901</v>
      </c>
    </row>
    <row r="5" spans="1:33" ht="20" customHeight="1">
      <c r="A5" s="3" t="s">
        <v>105</v>
      </c>
      <c r="B5" s="2">
        <v>46266</v>
      </c>
      <c r="C5" s="3">
        <v>17</v>
      </c>
      <c r="D5" s="3" t="s">
        <v>106</v>
      </c>
      <c r="E5" s="3" t="s">
        <v>91</v>
      </c>
      <c r="F5" s="3" t="s">
        <v>98</v>
      </c>
      <c r="G5" s="3" t="s">
        <v>99</v>
      </c>
      <c r="H5" s="3" t="s">
        <v>104</v>
      </c>
      <c r="I5" s="3">
        <v>2</v>
      </c>
      <c r="J5" s="11">
        <v>240</v>
      </c>
      <c r="K5" s="4">
        <v>0</v>
      </c>
      <c r="L5" s="3" t="s">
        <v>101</v>
      </c>
      <c r="M5" s="3"/>
      <c r="N5" s="3"/>
      <c r="O5" s="3"/>
      <c r="P5" s="11">
        <f>Clean_Data[[#This Row],[Quantity]]*Clean_Data[[#This Row],[UnitPrice]]</f>
        <v>480</v>
      </c>
      <c r="Q5" s="11">
        <f>ROUND(Clean_Data[[#This Row],[GrossSales]]*Clean_Data[[#This Row],[DiscountPct]],2)</f>
        <v>0</v>
      </c>
      <c r="R5" s="11">
        <f>IF(Clean_Data[[#This Row],[Status]]="Delivered",ROUND(Clean_Data[[#This Row],[GrossSales]]-Clean_Data[[#This Row],[DiscountAmount]],2),0)</f>
        <v>0</v>
      </c>
      <c r="S5" s="3" t="str">
        <f>IF(Clean_Data[[#This Row],[OrderHour]]&lt;6,"Night",IF(Clean_Data[[#This Row],[OrderHour]]&lt;12,"Morning",IF(Clean_Data[[#This Row],[OrderHour]]&lt;18,"Afternoon","Evening")))</f>
        <v>Afternoon</v>
      </c>
      <c r="T5" s="3" t="str">
        <f>TEXT(Clean_Data[[#This Row],[OrderDate]],"[$-409]ddd")</f>
        <v>Tue</v>
      </c>
      <c r="U5" s="3">
        <f>WEEKDAY(Clean_Data[[#This Row],[OrderDate]],2)</f>
        <v>2</v>
      </c>
      <c r="V5" s="3">
        <f>INT(Clean_Data[[#This Row],[OrderHour]]/6)+1</f>
        <v>3</v>
      </c>
      <c r="W5" s="3">
        <f>IF(Clean_Data[[#This Row],[Status]]="Delivered",1,0)</f>
        <v>0</v>
      </c>
      <c r="X5" s="3">
        <f>IF(Clean_Data[[#This Row],[Status]]="Delivered",IF(Clean_Data[[#This Row],[DeliveryMinutes]]&lt;=Dashboard!$X$5,1,0),0)</f>
        <v>0</v>
      </c>
      <c r="Y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" s="3">
        <f>IF(AND(Clean_Data[[#This Row],[Include]]=1,Clean_Data[[#This Row],[DeliveredFlag]]=1),1,0)</f>
        <v>0</v>
      </c>
      <c r="AA5" s="1">
        <f>IF(COUNTIF($D$2:D5,D5)=1,ROW()-1,ROWS(Clean_Data[OrderID])+1)</f>
        <v>4</v>
      </c>
      <c r="AB5" s="1">
        <f>IF(COUNTIF($F$2:F5,F5)=1,ROW()-1,ROWS(Clean_Data[OrderID])+1)</f>
        <v>901</v>
      </c>
      <c r="AC5" s="1">
        <f>IF(COUNTIF($G$2:G5,G5)=1,ROW()-1,ROWS(Clean_Data[OrderID])+1)</f>
        <v>901</v>
      </c>
      <c r="AD5" s="1">
        <f>IF(COUNTIF($H$2:H5,H5)=1,ROW()-1,ROWS(Clean_Data[OrderID])+1)</f>
        <v>901</v>
      </c>
      <c r="AE5" s="1">
        <f>IF(COUNTIF($V$2:V5,V5)=1,V5,ROWS(Clean_Data[OrderID])+1)</f>
        <v>901</v>
      </c>
      <c r="AF5" s="1">
        <f>IF(COUNTIF($U$2:U5,U5)=1,U5,ROWS(Clean_Data[OrderID])+1)</f>
        <v>901</v>
      </c>
      <c r="AG5" s="1">
        <f>IF(COUNTIF($E$2:E5,E5)=1,ROW()-1,ROWS(Clean_Data[OrderID])+1)</f>
        <v>901</v>
      </c>
    </row>
    <row r="6" spans="1:33" ht="20" customHeight="1">
      <c r="A6" s="3" t="s">
        <v>107</v>
      </c>
      <c r="B6" s="2">
        <v>46266</v>
      </c>
      <c r="C6" s="3">
        <v>7</v>
      </c>
      <c r="D6" s="3" t="s">
        <v>108</v>
      </c>
      <c r="E6" s="3" t="s">
        <v>91</v>
      </c>
      <c r="F6" s="3" t="s">
        <v>109</v>
      </c>
      <c r="G6" s="3" t="s">
        <v>110</v>
      </c>
      <c r="H6" s="3" t="s">
        <v>111</v>
      </c>
      <c r="I6" s="3">
        <v>3</v>
      </c>
      <c r="J6" s="11">
        <v>115</v>
      </c>
      <c r="K6" s="4">
        <v>0.15</v>
      </c>
      <c r="L6" s="3" t="s">
        <v>95</v>
      </c>
      <c r="M6" s="3">
        <v>32</v>
      </c>
      <c r="N6" s="3">
        <v>9</v>
      </c>
      <c r="O6" s="3">
        <v>4</v>
      </c>
      <c r="P6" s="11">
        <f>Clean_Data[[#This Row],[Quantity]]*Clean_Data[[#This Row],[UnitPrice]]</f>
        <v>345</v>
      </c>
      <c r="Q6" s="11">
        <f>ROUND(Clean_Data[[#This Row],[GrossSales]]*Clean_Data[[#This Row],[DiscountPct]],2)</f>
        <v>51.75</v>
      </c>
      <c r="R6" s="11">
        <f>IF(Clean_Data[[#This Row],[Status]]="Delivered",ROUND(Clean_Data[[#This Row],[GrossSales]]-Clean_Data[[#This Row],[DiscountAmount]],2),0)</f>
        <v>293.25</v>
      </c>
      <c r="S6" s="3" t="str">
        <f>IF(Clean_Data[[#This Row],[OrderHour]]&lt;6,"Night",IF(Clean_Data[[#This Row],[OrderHour]]&lt;12,"Morning",IF(Clean_Data[[#This Row],[OrderHour]]&lt;18,"Afternoon","Evening")))</f>
        <v>Morning</v>
      </c>
      <c r="T6" s="3" t="str">
        <f>TEXT(Clean_Data[[#This Row],[OrderDate]],"[$-409]ddd")</f>
        <v>Tue</v>
      </c>
      <c r="U6" s="3">
        <f>WEEKDAY(Clean_Data[[#This Row],[OrderDate]],2)</f>
        <v>2</v>
      </c>
      <c r="V6" s="3">
        <f>INT(Clean_Data[[#This Row],[OrderHour]]/6)+1</f>
        <v>2</v>
      </c>
      <c r="W6" s="3">
        <f>IF(Clean_Data[[#This Row],[Status]]="Delivered",1,0)</f>
        <v>1</v>
      </c>
      <c r="X6" s="3">
        <f>IF(Clean_Data[[#This Row],[Status]]="Delivered",IF(Clean_Data[[#This Row],[DeliveryMinutes]]&lt;=Dashboard!$X$5,1,0),0)</f>
        <v>0</v>
      </c>
      <c r="Y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" s="3">
        <f>IF(AND(Clean_Data[[#This Row],[Include]]=1,Clean_Data[[#This Row],[DeliveredFlag]]=1),1,0)</f>
        <v>1</v>
      </c>
      <c r="AA6" s="1">
        <f>IF(COUNTIF($D$2:D6,D6)=1,ROW()-1,ROWS(Clean_Data[OrderID])+1)</f>
        <v>5</v>
      </c>
      <c r="AB6" s="1">
        <f>IF(COUNTIF($F$2:F6,F6)=1,ROW()-1,ROWS(Clean_Data[OrderID])+1)</f>
        <v>5</v>
      </c>
      <c r="AC6" s="1">
        <f>IF(COUNTIF($G$2:G6,G6)=1,ROW()-1,ROWS(Clean_Data[OrderID])+1)</f>
        <v>5</v>
      </c>
      <c r="AD6" s="1">
        <f>IF(COUNTIF($H$2:H6,H6)=1,ROW()-1,ROWS(Clean_Data[OrderID])+1)</f>
        <v>5</v>
      </c>
      <c r="AE6" s="1">
        <f>IF(COUNTIF($V$2:V6,V6)=1,V6,ROWS(Clean_Data[OrderID])+1)</f>
        <v>2</v>
      </c>
      <c r="AF6" s="1">
        <f>IF(COUNTIF($U$2:U6,U6)=1,U6,ROWS(Clean_Data[OrderID])+1)</f>
        <v>901</v>
      </c>
      <c r="AG6" s="1">
        <f>IF(COUNTIF($E$2:E6,E6)=1,ROW()-1,ROWS(Clean_Data[OrderID])+1)</f>
        <v>901</v>
      </c>
    </row>
    <row r="7" spans="1:33" ht="20" customHeight="1">
      <c r="A7" s="3" t="s">
        <v>112</v>
      </c>
      <c r="B7" s="2">
        <v>46266</v>
      </c>
      <c r="C7" s="3">
        <v>9</v>
      </c>
      <c r="D7" s="3" t="s">
        <v>113</v>
      </c>
      <c r="E7" s="3" t="s">
        <v>91</v>
      </c>
      <c r="F7" s="3" t="s">
        <v>109</v>
      </c>
      <c r="G7" s="3" t="s">
        <v>110</v>
      </c>
      <c r="H7" s="3" t="s">
        <v>114</v>
      </c>
      <c r="I7" s="3">
        <v>1</v>
      </c>
      <c r="J7" s="11">
        <v>145</v>
      </c>
      <c r="K7" s="4">
        <v>0</v>
      </c>
      <c r="L7" s="3" t="s">
        <v>95</v>
      </c>
      <c r="M7" s="3">
        <v>21</v>
      </c>
      <c r="N7" s="3">
        <v>9</v>
      </c>
      <c r="O7" s="3">
        <v>4</v>
      </c>
      <c r="P7" s="11">
        <f>Clean_Data[[#This Row],[Quantity]]*Clean_Data[[#This Row],[UnitPrice]]</f>
        <v>145</v>
      </c>
      <c r="Q7" s="11">
        <f>ROUND(Clean_Data[[#This Row],[GrossSales]]*Clean_Data[[#This Row],[DiscountPct]],2)</f>
        <v>0</v>
      </c>
      <c r="R7" s="11">
        <f>IF(Clean_Data[[#This Row],[Status]]="Delivered",ROUND(Clean_Data[[#This Row],[GrossSales]]-Clean_Data[[#This Row],[DiscountAmount]],2),0)</f>
        <v>145</v>
      </c>
      <c r="S7" s="3" t="str">
        <f>IF(Clean_Data[[#This Row],[OrderHour]]&lt;6,"Night",IF(Clean_Data[[#This Row],[OrderHour]]&lt;12,"Morning",IF(Clean_Data[[#This Row],[OrderHour]]&lt;18,"Afternoon","Evening")))</f>
        <v>Morning</v>
      </c>
      <c r="T7" s="3" t="str">
        <f>TEXT(Clean_Data[[#This Row],[OrderDate]],"[$-409]ddd")</f>
        <v>Tue</v>
      </c>
      <c r="U7" s="3">
        <f>WEEKDAY(Clean_Data[[#This Row],[OrderDate]],2)</f>
        <v>2</v>
      </c>
      <c r="V7" s="3">
        <f>INT(Clean_Data[[#This Row],[OrderHour]]/6)+1</f>
        <v>2</v>
      </c>
      <c r="W7" s="3">
        <f>IF(Clean_Data[[#This Row],[Status]]="Delivered",1,0)</f>
        <v>1</v>
      </c>
      <c r="X7" s="3">
        <f>IF(Clean_Data[[#This Row],[Status]]="Delivered",IF(Clean_Data[[#This Row],[DeliveryMinutes]]&lt;=Dashboard!$X$5,1,0),0)</f>
        <v>1</v>
      </c>
      <c r="Y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" s="3">
        <f>IF(AND(Clean_Data[[#This Row],[Include]]=1,Clean_Data[[#This Row],[DeliveredFlag]]=1),1,0)</f>
        <v>1</v>
      </c>
      <c r="AA7" s="1">
        <f>IF(COUNTIF($D$2:D7,D7)=1,ROW()-1,ROWS(Clean_Data[OrderID])+1)</f>
        <v>6</v>
      </c>
      <c r="AB7" s="1">
        <f>IF(COUNTIF($F$2:F7,F7)=1,ROW()-1,ROWS(Clean_Data[OrderID])+1)</f>
        <v>901</v>
      </c>
      <c r="AC7" s="1">
        <f>IF(COUNTIF($G$2:G7,G7)=1,ROW()-1,ROWS(Clean_Data[OrderID])+1)</f>
        <v>901</v>
      </c>
      <c r="AD7" s="1">
        <f>IF(COUNTIF($H$2:H7,H7)=1,ROW()-1,ROWS(Clean_Data[OrderID])+1)</f>
        <v>6</v>
      </c>
      <c r="AE7" s="1">
        <f>IF(COUNTIF($V$2:V7,V7)=1,V7,ROWS(Clean_Data[OrderID])+1)</f>
        <v>901</v>
      </c>
      <c r="AF7" s="1">
        <f>IF(COUNTIF($U$2:U7,U7)=1,U7,ROWS(Clean_Data[OrderID])+1)</f>
        <v>901</v>
      </c>
      <c r="AG7" s="1">
        <f>IF(COUNTIF($E$2:E7,E7)=1,ROW()-1,ROWS(Clean_Data[OrderID])+1)</f>
        <v>901</v>
      </c>
    </row>
    <row r="8" spans="1:33" ht="20" customHeight="1">
      <c r="A8" s="3" t="s">
        <v>115</v>
      </c>
      <c r="B8" s="2">
        <v>46266</v>
      </c>
      <c r="C8" s="3">
        <v>18</v>
      </c>
      <c r="D8" s="3" t="s">
        <v>116</v>
      </c>
      <c r="E8" s="3" t="s">
        <v>117</v>
      </c>
      <c r="F8" s="3" t="s">
        <v>98</v>
      </c>
      <c r="G8" s="3" t="s">
        <v>93</v>
      </c>
      <c r="H8" s="3" t="s">
        <v>118</v>
      </c>
      <c r="I8" s="3">
        <v>4</v>
      </c>
      <c r="J8" s="11">
        <v>45</v>
      </c>
      <c r="K8" s="4">
        <v>0.1</v>
      </c>
      <c r="L8" s="3" t="s">
        <v>95</v>
      </c>
      <c r="M8" s="3">
        <v>28</v>
      </c>
      <c r="N8" s="3">
        <v>9</v>
      </c>
      <c r="O8" s="3">
        <v>4</v>
      </c>
      <c r="P8" s="11">
        <f>Clean_Data[[#This Row],[Quantity]]*Clean_Data[[#This Row],[UnitPrice]]</f>
        <v>180</v>
      </c>
      <c r="Q8" s="11">
        <f>ROUND(Clean_Data[[#This Row],[GrossSales]]*Clean_Data[[#This Row],[DiscountPct]],2)</f>
        <v>18</v>
      </c>
      <c r="R8" s="11">
        <f>IF(Clean_Data[[#This Row],[Status]]="Delivered",ROUND(Clean_Data[[#This Row],[GrossSales]]-Clean_Data[[#This Row],[DiscountAmount]],2),0)</f>
        <v>162</v>
      </c>
      <c r="S8" s="3" t="str">
        <f>IF(Clean_Data[[#This Row],[OrderHour]]&lt;6,"Night",IF(Clean_Data[[#This Row],[OrderHour]]&lt;12,"Morning",IF(Clean_Data[[#This Row],[OrderHour]]&lt;18,"Afternoon","Evening")))</f>
        <v>Evening</v>
      </c>
      <c r="T8" s="3" t="str">
        <f>TEXT(Clean_Data[[#This Row],[OrderDate]],"[$-409]ddd")</f>
        <v>Tue</v>
      </c>
      <c r="U8" s="3">
        <f>WEEKDAY(Clean_Data[[#This Row],[OrderDate]],2)</f>
        <v>2</v>
      </c>
      <c r="V8" s="3">
        <f>INT(Clean_Data[[#This Row],[OrderHour]]/6)+1</f>
        <v>4</v>
      </c>
      <c r="W8" s="3">
        <f>IF(Clean_Data[[#This Row],[Status]]="Delivered",1,0)</f>
        <v>1</v>
      </c>
      <c r="X8" s="3">
        <f>IF(Clean_Data[[#This Row],[Status]]="Delivered",IF(Clean_Data[[#This Row],[DeliveryMinutes]]&lt;=Dashboard!$X$5,1,0),0)</f>
        <v>1</v>
      </c>
      <c r="Y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" s="3">
        <f>IF(AND(Clean_Data[[#This Row],[Include]]=1,Clean_Data[[#This Row],[DeliveredFlag]]=1),1,0)</f>
        <v>1</v>
      </c>
      <c r="AA8" s="1">
        <f>IF(COUNTIF($D$2:D8,D8)=1,ROW()-1,ROWS(Clean_Data[OrderID])+1)</f>
        <v>7</v>
      </c>
      <c r="AB8" s="1">
        <f>IF(COUNTIF($F$2:F8,F8)=1,ROW()-1,ROWS(Clean_Data[OrderID])+1)</f>
        <v>901</v>
      </c>
      <c r="AC8" s="1">
        <f>IF(COUNTIF($G$2:G8,G8)=1,ROW()-1,ROWS(Clean_Data[OrderID])+1)</f>
        <v>901</v>
      </c>
      <c r="AD8" s="1">
        <f>IF(COUNTIF($H$2:H8,H8)=1,ROW()-1,ROWS(Clean_Data[OrderID])+1)</f>
        <v>7</v>
      </c>
      <c r="AE8" s="1">
        <f>IF(COUNTIF($V$2:V8,V8)=1,V8,ROWS(Clean_Data[OrderID])+1)</f>
        <v>901</v>
      </c>
      <c r="AF8" s="1">
        <f>IF(COUNTIF($U$2:U8,U8)=1,U8,ROWS(Clean_Data[OrderID])+1)</f>
        <v>901</v>
      </c>
      <c r="AG8" s="1">
        <f>IF(COUNTIF($E$2:E8,E8)=1,ROW()-1,ROWS(Clean_Data[OrderID])+1)</f>
        <v>7</v>
      </c>
    </row>
    <row r="9" spans="1:33" ht="20" customHeight="1">
      <c r="A9" s="3" t="s">
        <v>119</v>
      </c>
      <c r="B9" s="2">
        <v>46266</v>
      </c>
      <c r="C9" s="3">
        <v>21</v>
      </c>
      <c r="D9" s="3" t="s">
        <v>120</v>
      </c>
      <c r="E9" s="3" t="s">
        <v>91</v>
      </c>
      <c r="F9" s="3" t="s">
        <v>121</v>
      </c>
      <c r="G9" s="3" t="s">
        <v>122</v>
      </c>
      <c r="H9" s="3" t="s">
        <v>123</v>
      </c>
      <c r="I9" s="3">
        <v>5</v>
      </c>
      <c r="J9" s="11">
        <v>45</v>
      </c>
      <c r="K9" s="4">
        <v>0</v>
      </c>
      <c r="L9" s="3" t="s">
        <v>95</v>
      </c>
      <c r="M9" s="3">
        <v>24</v>
      </c>
      <c r="N9" s="3">
        <v>12</v>
      </c>
      <c r="O9" s="3">
        <v>4</v>
      </c>
      <c r="P9" s="11">
        <f>Clean_Data[[#This Row],[Quantity]]*Clean_Data[[#This Row],[UnitPrice]]</f>
        <v>225</v>
      </c>
      <c r="Q9" s="11">
        <f>ROUND(Clean_Data[[#This Row],[GrossSales]]*Clean_Data[[#This Row],[DiscountPct]],2)</f>
        <v>0</v>
      </c>
      <c r="R9" s="11">
        <f>IF(Clean_Data[[#This Row],[Status]]="Delivered",ROUND(Clean_Data[[#This Row],[GrossSales]]-Clean_Data[[#This Row],[DiscountAmount]],2),0)</f>
        <v>225</v>
      </c>
      <c r="S9" s="3" t="str">
        <f>IF(Clean_Data[[#This Row],[OrderHour]]&lt;6,"Night",IF(Clean_Data[[#This Row],[OrderHour]]&lt;12,"Morning",IF(Clean_Data[[#This Row],[OrderHour]]&lt;18,"Afternoon","Evening")))</f>
        <v>Evening</v>
      </c>
      <c r="T9" s="3" t="str">
        <f>TEXT(Clean_Data[[#This Row],[OrderDate]],"[$-409]ddd")</f>
        <v>Tue</v>
      </c>
      <c r="U9" s="3">
        <f>WEEKDAY(Clean_Data[[#This Row],[OrderDate]],2)</f>
        <v>2</v>
      </c>
      <c r="V9" s="3">
        <f>INT(Clean_Data[[#This Row],[OrderHour]]/6)+1</f>
        <v>4</v>
      </c>
      <c r="W9" s="3">
        <f>IF(Clean_Data[[#This Row],[Status]]="Delivered",1,0)</f>
        <v>1</v>
      </c>
      <c r="X9" s="3">
        <f>IF(Clean_Data[[#This Row],[Status]]="Delivered",IF(Clean_Data[[#This Row],[DeliveryMinutes]]&lt;=Dashboard!$X$5,1,0),0)</f>
        <v>1</v>
      </c>
      <c r="Y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" s="3">
        <f>IF(AND(Clean_Data[[#This Row],[Include]]=1,Clean_Data[[#This Row],[DeliveredFlag]]=1),1,0)</f>
        <v>1</v>
      </c>
      <c r="AA9" s="1">
        <f>IF(COUNTIF($D$2:D9,D9)=1,ROW()-1,ROWS(Clean_Data[OrderID])+1)</f>
        <v>8</v>
      </c>
      <c r="AB9" s="1">
        <f>IF(COUNTIF($F$2:F9,F9)=1,ROW()-1,ROWS(Clean_Data[OrderID])+1)</f>
        <v>8</v>
      </c>
      <c r="AC9" s="1">
        <f>IF(COUNTIF($G$2:G9,G9)=1,ROW()-1,ROWS(Clean_Data[OrderID])+1)</f>
        <v>8</v>
      </c>
      <c r="AD9" s="1">
        <f>IF(COUNTIF($H$2:H9,H9)=1,ROW()-1,ROWS(Clean_Data[OrderID])+1)</f>
        <v>8</v>
      </c>
      <c r="AE9" s="1">
        <f>IF(COUNTIF($V$2:V9,V9)=1,V9,ROWS(Clean_Data[OrderID])+1)</f>
        <v>901</v>
      </c>
      <c r="AF9" s="1">
        <f>IF(COUNTIF($U$2:U9,U9)=1,U9,ROWS(Clean_Data[OrderID])+1)</f>
        <v>901</v>
      </c>
      <c r="AG9" s="1">
        <f>IF(COUNTIF($E$2:E9,E9)=1,ROW()-1,ROWS(Clean_Data[OrderID])+1)</f>
        <v>901</v>
      </c>
    </row>
    <row r="10" spans="1:33" ht="20" customHeight="1">
      <c r="A10" s="3" t="s">
        <v>124</v>
      </c>
      <c r="B10" s="2">
        <v>46266</v>
      </c>
      <c r="C10" s="3">
        <v>19</v>
      </c>
      <c r="D10" s="3" t="s">
        <v>125</v>
      </c>
      <c r="E10" s="3" t="s">
        <v>91</v>
      </c>
      <c r="F10" s="3" t="s">
        <v>92</v>
      </c>
      <c r="G10" s="3" t="s">
        <v>99</v>
      </c>
      <c r="H10" s="3" t="s">
        <v>100</v>
      </c>
      <c r="I10" s="3">
        <v>1</v>
      </c>
      <c r="J10" s="11">
        <v>120</v>
      </c>
      <c r="K10" s="4">
        <v>0</v>
      </c>
      <c r="L10" s="3" t="s">
        <v>95</v>
      </c>
      <c r="M10" s="3">
        <v>17</v>
      </c>
      <c r="N10" s="3">
        <v>15</v>
      </c>
      <c r="O10" s="3">
        <v>4</v>
      </c>
      <c r="P10" s="11">
        <f>Clean_Data[[#This Row],[Quantity]]*Clean_Data[[#This Row],[UnitPrice]]</f>
        <v>120</v>
      </c>
      <c r="Q10" s="11">
        <f>ROUND(Clean_Data[[#This Row],[GrossSales]]*Clean_Data[[#This Row],[DiscountPct]],2)</f>
        <v>0</v>
      </c>
      <c r="R10" s="11">
        <f>IF(Clean_Data[[#This Row],[Status]]="Delivered",ROUND(Clean_Data[[#This Row],[GrossSales]]-Clean_Data[[#This Row],[DiscountAmount]],2),0)</f>
        <v>120</v>
      </c>
      <c r="S10" s="3" t="str">
        <f>IF(Clean_Data[[#This Row],[OrderHour]]&lt;6,"Night",IF(Clean_Data[[#This Row],[OrderHour]]&lt;12,"Morning",IF(Clean_Data[[#This Row],[OrderHour]]&lt;18,"Afternoon","Evening")))</f>
        <v>Evening</v>
      </c>
      <c r="T10" s="3" t="str">
        <f>TEXT(Clean_Data[[#This Row],[OrderDate]],"[$-409]ddd")</f>
        <v>Tue</v>
      </c>
      <c r="U10" s="3">
        <f>WEEKDAY(Clean_Data[[#This Row],[OrderDate]],2)</f>
        <v>2</v>
      </c>
      <c r="V10" s="3">
        <f>INT(Clean_Data[[#This Row],[OrderHour]]/6)+1</f>
        <v>4</v>
      </c>
      <c r="W10" s="3">
        <f>IF(Clean_Data[[#This Row],[Status]]="Delivered",1,0)</f>
        <v>1</v>
      </c>
      <c r="X10" s="3">
        <f>IF(Clean_Data[[#This Row],[Status]]="Delivered",IF(Clean_Data[[#This Row],[DeliveryMinutes]]&lt;=Dashboard!$X$5,1,0),0)</f>
        <v>1</v>
      </c>
      <c r="Y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" s="3">
        <f>IF(AND(Clean_Data[[#This Row],[Include]]=1,Clean_Data[[#This Row],[DeliveredFlag]]=1),1,0)</f>
        <v>1</v>
      </c>
      <c r="AA10" s="1">
        <f>IF(COUNTIF($D$2:D10,D10)=1,ROW()-1,ROWS(Clean_Data[OrderID])+1)</f>
        <v>9</v>
      </c>
      <c r="AB10" s="1">
        <f>IF(COUNTIF($F$2:F10,F10)=1,ROW()-1,ROWS(Clean_Data[OrderID])+1)</f>
        <v>901</v>
      </c>
      <c r="AC10" s="1">
        <f>IF(COUNTIF($G$2:G10,G10)=1,ROW()-1,ROWS(Clean_Data[OrderID])+1)</f>
        <v>901</v>
      </c>
      <c r="AD10" s="1">
        <f>IF(COUNTIF($H$2:H10,H10)=1,ROW()-1,ROWS(Clean_Data[OrderID])+1)</f>
        <v>901</v>
      </c>
      <c r="AE10" s="1">
        <f>IF(COUNTIF($V$2:V10,V10)=1,V10,ROWS(Clean_Data[OrderID])+1)</f>
        <v>901</v>
      </c>
      <c r="AF10" s="1">
        <f>IF(COUNTIF($U$2:U10,U10)=1,U10,ROWS(Clean_Data[OrderID])+1)</f>
        <v>901</v>
      </c>
      <c r="AG10" s="1">
        <f>IF(COUNTIF($E$2:E10,E10)=1,ROW()-1,ROWS(Clean_Data[OrderID])+1)</f>
        <v>901</v>
      </c>
    </row>
    <row r="11" spans="1:33" ht="20" customHeight="1">
      <c r="A11" s="3" t="s">
        <v>126</v>
      </c>
      <c r="B11" s="2">
        <v>46266</v>
      </c>
      <c r="C11" s="3">
        <v>22</v>
      </c>
      <c r="D11" s="3" t="s">
        <v>127</v>
      </c>
      <c r="E11" s="3" t="s">
        <v>91</v>
      </c>
      <c r="F11" s="3" t="s">
        <v>121</v>
      </c>
      <c r="G11" s="3" t="s">
        <v>93</v>
      </c>
      <c r="H11" s="3" t="s">
        <v>118</v>
      </c>
      <c r="I11" s="3">
        <v>4</v>
      </c>
      <c r="J11" s="11">
        <v>45</v>
      </c>
      <c r="K11" s="4">
        <v>0</v>
      </c>
      <c r="L11" s="3" t="s">
        <v>95</v>
      </c>
      <c r="M11" s="3">
        <v>16</v>
      </c>
      <c r="N11" s="3">
        <v>12</v>
      </c>
      <c r="O11" s="3">
        <v>5</v>
      </c>
      <c r="P11" s="11">
        <f>Clean_Data[[#This Row],[Quantity]]*Clean_Data[[#This Row],[UnitPrice]]</f>
        <v>180</v>
      </c>
      <c r="Q11" s="11">
        <f>ROUND(Clean_Data[[#This Row],[GrossSales]]*Clean_Data[[#This Row],[DiscountPct]],2)</f>
        <v>0</v>
      </c>
      <c r="R11" s="11">
        <f>IF(Clean_Data[[#This Row],[Status]]="Delivered",ROUND(Clean_Data[[#This Row],[GrossSales]]-Clean_Data[[#This Row],[DiscountAmount]],2),0)</f>
        <v>180</v>
      </c>
      <c r="S11" s="3" t="str">
        <f>IF(Clean_Data[[#This Row],[OrderHour]]&lt;6,"Night",IF(Clean_Data[[#This Row],[OrderHour]]&lt;12,"Morning",IF(Clean_Data[[#This Row],[OrderHour]]&lt;18,"Afternoon","Evening")))</f>
        <v>Evening</v>
      </c>
      <c r="T11" s="3" t="str">
        <f>TEXT(Clean_Data[[#This Row],[OrderDate]],"[$-409]ddd")</f>
        <v>Tue</v>
      </c>
      <c r="U11" s="3">
        <f>WEEKDAY(Clean_Data[[#This Row],[OrderDate]],2)</f>
        <v>2</v>
      </c>
      <c r="V11" s="3">
        <f>INT(Clean_Data[[#This Row],[OrderHour]]/6)+1</f>
        <v>4</v>
      </c>
      <c r="W11" s="3">
        <f>IF(Clean_Data[[#This Row],[Status]]="Delivered",1,0)</f>
        <v>1</v>
      </c>
      <c r="X11" s="3">
        <f>IF(Clean_Data[[#This Row],[Status]]="Delivered",IF(Clean_Data[[#This Row],[DeliveryMinutes]]&lt;=Dashboard!$X$5,1,0),0)</f>
        <v>1</v>
      </c>
      <c r="Y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" s="3">
        <f>IF(AND(Clean_Data[[#This Row],[Include]]=1,Clean_Data[[#This Row],[DeliveredFlag]]=1),1,0)</f>
        <v>1</v>
      </c>
      <c r="AA11" s="1">
        <f>IF(COUNTIF($D$2:D11,D11)=1,ROW()-1,ROWS(Clean_Data[OrderID])+1)</f>
        <v>10</v>
      </c>
      <c r="AB11" s="1">
        <f>IF(COUNTIF($F$2:F11,F11)=1,ROW()-1,ROWS(Clean_Data[OrderID])+1)</f>
        <v>901</v>
      </c>
      <c r="AC11" s="1">
        <f>IF(COUNTIF($G$2:G11,G11)=1,ROW()-1,ROWS(Clean_Data[OrderID])+1)</f>
        <v>901</v>
      </c>
      <c r="AD11" s="1">
        <f>IF(COUNTIF($H$2:H11,H11)=1,ROW()-1,ROWS(Clean_Data[OrderID])+1)</f>
        <v>901</v>
      </c>
      <c r="AE11" s="1">
        <f>IF(COUNTIF($V$2:V11,V11)=1,V11,ROWS(Clean_Data[OrderID])+1)</f>
        <v>901</v>
      </c>
      <c r="AF11" s="1">
        <f>IF(COUNTIF($U$2:U11,U11)=1,U11,ROWS(Clean_Data[OrderID])+1)</f>
        <v>901</v>
      </c>
      <c r="AG11" s="1">
        <f>IF(COUNTIF($E$2:E11,E11)=1,ROW()-1,ROWS(Clean_Data[OrderID])+1)</f>
        <v>901</v>
      </c>
    </row>
    <row r="12" spans="1:33" ht="20" customHeight="1">
      <c r="A12" s="3" t="s">
        <v>128</v>
      </c>
      <c r="B12" s="2">
        <v>46266</v>
      </c>
      <c r="C12" s="3">
        <v>20</v>
      </c>
      <c r="D12" s="3" t="s">
        <v>129</v>
      </c>
      <c r="E12" s="3" t="s">
        <v>91</v>
      </c>
      <c r="F12" s="3" t="s">
        <v>98</v>
      </c>
      <c r="G12" s="3" t="s">
        <v>99</v>
      </c>
      <c r="H12" s="3" t="s">
        <v>130</v>
      </c>
      <c r="I12" s="3">
        <v>3</v>
      </c>
      <c r="J12" s="11">
        <v>85</v>
      </c>
      <c r="K12" s="4">
        <v>0</v>
      </c>
      <c r="L12" s="3" t="s">
        <v>95</v>
      </c>
      <c r="M12" s="3">
        <v>34</v>
      </c>
      <c r="N12" s="3">
        <v>8</v>
      </c>
      <c r="O12" s="3">
        <v>5</v>
      </c>
      <c r="P12" s="11">
        <f>Clean_Data[[#This Row],[Quantity]]*Clean_Data[[#This Row],[UnitPrice]]</f>
        <v>255</v>
      </c>
      <c r="Q12" s="11">
        <f>ROUND(Clean_Data[[#This Row],[GrossSales]]*Clean_Data[[#This Row],[DiscountPct]],2)</f>
        <v>0</v>
      </c>
      <c r="R12" s="11">
        <f>IF(Clean_Data[[#This Row],[Status]]="Delivered",ROUND(Clean_Data[[#This Row],[GrossSales]]-Clean_Data[[#This Row],[DiscountAmount]],2),0)</f>
        <v>255</v>
      </c>
      <c r="S12" s="3" t="str">
        <f>IF(Clean_Data[[#This Row],[OrderHour]]&lt;6,"Night",IF(Clean_Data[[#This Row],[OrderHour]]&lt;12,"Morning",IF(Clean_Data[[#This Row],[OrderHour]]&lt;18,"Afternoon","Evening")))</f>
        <v>Evening</v>
      </c>
      <c r="T12" s="3" t="str">
        <f>TEXT(Clean_Data[[#This Row],[OrderDate]],"[$-409]ddd")</f>
        <v>Tue</v>
      </c>
      <c r="U12" s="3">
        <f>WEEKDAY(Clean_Data[[#This Row],[OrderDate]],2)</f>
        <v>2</v>
      </c>
      <c r="V12" s="3">
        <f>INT(Clean_Data[[#This Row],[OrderHour]]/6)+1</f>
        <v>4</v>
      </c>
      <c r="W12" s="3">
        <f>IF(Clean_Data[[#This Row],[Status]]="Delivered",1,0)</f>
        <v>1</v>
      </c>
      <c r="X12" s="3">
        <f>IF(Clean_Data[[#This Row],[Status]]="Delivered",IF(Clean_Data[[#This Row],[DeliveryMinutes]]&lt;=Dashboard!$X$5,1,0),0)</f>
        <v>0</v>
      </c>
      <c r="Y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" s="3">
        <f>IF(AND(Clean_Data[[#This Row],[Include]]=1,Clean_Data[[#This Row],[DeliveredFlag]]=1),1,0)</f>
        <v>1</v>
      </c>
      <c r="AA12" s="1">
        <f>IF(COUNTIF($D$2:D12,D12)=1,ROW()-1,ROWS(Clean_Data[OrderID])+1)</f>
        <v>11</v>
      </c>
      <c r="AB12" s="1">
        <f>IF(COUNTIF($F$2:F12,F12)=1,ROW()-1,ROWS(Clean_Data[OrderID])+1)</f>
        <v>901</v>
      </c>
      <c r="AC12" s="1">
        <f>IF(COUNTIF($G$2:G12,G12)=1,ROW()-1,ROWS(Clean_Data[OrderID])+1)</f>
        <v>901</v>
      </c>
      <c r="AD12" s="1">
        <f>IF(COUNTIF($H$2:H12,H12)=1,ROW()-1,ROWS(Clean_Data[OrderID])+1)</f>
        <v>11</v>
      </c>
      <c r="AE12" s="1">
        <f>IF(COUNTIF($V$2:V12,V12)=1,V12,ROWS(Clean_Data[OrderID])+1)</f>
        <v>901</v>
      </c>
      <c r="AF12" s="1">
        <f>IF(COUNTIF($U$2:U12,U12)=1,U12,ROWS(Clean_Data[OrderID])+1)</f>
        <v>901</v>
      </c>
      <c r="AG12" s="1">
        <f>IF(COUNTIF($E$2:E12,E12)=1,ROW()-1,ROWS(Clean_Data[OrderID])+1)</f>
        <v>901</v>
      </c>
    </row>
    <row r="13" spans="1:33" ht="20" customHeight="1">
      <c r="A13" s="3" t="s">
        <v>131</v>
      </c>
      <c r="B13" s="2">
        <v>46266</v>
      </c>
      <c r="C13" s="3">
        <v>23</v>
      </c>
      <c r="D13" s="3" t="s">
        <v>132</v>
      </c>
      <c r="E13" s="3" t="s">
        <v>91</v>
      </c>
      <c r="F13" s="3" t="s">
        <v>109</v>
      </c>
      <c r="G13" s="3" t="s">
        <v>110</v>
      </c>
      <c r="H13" s="3" t="s">
        <v>111</v>
      </c>
      <c r="I13" s="3">
        <v>2</v>
      </c>
      <c r="J13" s="11">
        <v>115</v>
      </c>
      <c r="K13" s="4">
        <v>0.15</v>
      </c>
      <c r="L13" s="3" t="s">
        <v>95</v>
      </c>
      <c r="M13" s="3">
        <v>22</v>
      </c>
      <c r="N13" s="3">
        <v>6</v>
      </c>
      <c r="O13" s="3">
        <v>4</v>
      </c>
      <c r="P13" s="11">
        <f>Clean_Data[[#This Row],[Quantity]]*Clean_Data[[#This Row],[UnitPrice]]</f>
        <v>230</v>
      </c>
      <c r="Q13" s="11">
        <f>ROUND(Clean_Data[[#This Row],[GrossSales]]*Clean_Data[[#This Row],[DiscountPct]],2)</f>
        <v>34.5</v>
      </c>
      <c r="R13" s="11">
        <f>IF(Clean_Data[[#This Row],[Status]]="Delivered",ROUND(Clean_Data[[#This Row],[GrossSales]]-Clean_Data[[#This Row],[DiscountAmount]],2),0)</f>
        <v>195.5</v>
      </c>
      <c r="S13" s="3" t="str">
        <f>IF(Clean_Data[[#This Row],[OrderHour]]&lt;6,"Night",IF(Clean_Data[[#This Row],[OrderHour]]&lt;12,"Morning",IF(Clean_Data[[#This Row],[OrderHour]]&lt;18,"Afternoon","Evening")))</f>
        <v>Evening</v>
      </c>
      <c r="T13" s="3" t="str">
        <f>TEXT(Clean_Data[[#This Row],[OrderDate]],"[$-409]ddd")</f>
        <v>Tue</v>
      </c>
      <c r="U13" s="3">
        <f>WEEKDAY(Clean_Data[[#This Row],[OrderDate]],2)</f>
        <v>2</v>
      </c>
      <c r="V13" s="3">
        <f>INT(Clean_Data[[#This Row],[OrderHour]]/6)+1</f>
        <v>4</v>
      </c>
      <c r="W13" s="3">
        <f>IF(Clean_Data[[#This Row],[Status]]="Delivered",1,0)</f>
        <v>1</v>
      </c>
      <c r="X13" s="3">
        <f>IF(Clean_Data[[#This Row],[Status]]="Delivered",IF(Clean_Data[[#This Row],[DeliveryMinutes]]&lt;=Dashboard!$X$5,1,0),0)</f>
        <v>1</v>
      </c>
      <c r="Y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" s="3">
        <f>IF(AND(Clean_Data[[#This Row],[Include]]=1,Clean_Data[[#This Row],[DeliveredFlag]]=1),1,0)</f>
        <v>1</v>
      </c>
      <c r="AA13" s="1">
        <f>IF(COUNTIF($D$2:D13,D13)=1,ROW()-1,ROWS(Clean_Data[OrderID])+1)</f>
        <v>12</v>
      </c>
      <c r="AB13" s="1">
        <f>IF(COUNTIF($F$2:F13,F13)=1,ROW()-1,ROWS(Clean_Data[OrderID])+1)</f>
        <v>901</v>
      </c>
      <c r="AC13" s="1">
        <f>IF(COUNTIF($G$2:G13,G13)=1,ROW()-1,ROWS(Clean_Data[OrderID])+1)</f>
        <v>901</v>
      </c>
      <c r="AD13" s="1">
        <f>IF(COUNTIF($H$2:H13,H13)=1,ROW()-1,ROWS(Clean_Data[OrderID])+1)</f>
        <v>901</v>
      </c>
      <c r="AE13" s="1">
        <f>IF(COUNTIF($V$2:V13,V13)=1,V13,ROWS(Clean_Data[OrderID])+1)</f>
        <v>901</v>
      </c>
      <c r="AF13" s="1">
        <f>IF(COUNTIF($U$2:U13,U13)=1,U13,ROWS(Clean_Data[OrderID])+1)</f>
        <v>901</v>
      </c>
      <c r="AG13" s="1">
        <f>IF(COUNTIF($E$2:E13,E13)=1,ROW()-1,ROWS(Clean_Data[OrderID])+1)</f>
        <v>901</v>
      </c>
    </row>
    <row r="14" spans="1:33" ht="20" customHeight="1">
      <c r="A14" s="3" t="s">
        <v>133</v>
      </c>
      <c r="B14" s="2">
        <v>46266</v>
      </c>
      <c r="C14" s="3">
        <v>7</v>
      </c>
      <c r="D14" s="3" t="s">
        <v>134</v>
      </c>
      <c r="E14" s="3" t="s">
        <v>91</v>
      </c>
      <c r="F14" s="3" t="s">
        <v>109</v>
      </c>
      <c r="G14" s="3" t="s">
        <v>135</v>
      </c>
      <c r="H14" s="3" t="s">
        <v>136</v>
      </c>
      <c r="I14" s="3">
        <v>1</v>
      </c>
      <c r="J14" s="11">
        <v>40</v>
      </c>
      <c r="K14" s="4">
        <v>0.1</v>
      </c>
      <c r="L14" s="3" t="s">
        <v>101</v>
      </c>
      <c r="M14" s="3"/>
      <c r="N14" s="3"/>
      <c r="O14" s="3"/>
      <c r="P14" s="11">
        <f>Clean_Data[[#This Row],[Quantity]]*Clean_Data[[#This Row],[UnitPrice]]</f>
        <v>40</v>
      </c>
      <c r="Q14" s="11">
        <f>ROUND(Clean_Data[[#This Row],[GrossSales]]*Clean_Data[[#This Row],[DiscountPct]],2)</f>
        <v>4</v>
      </c>
      <c r="R14" s="11">
        <f>IF(Clean_Data[[#This Row],[Status]]="Delivered",ROUND(Clean_Data[[#This Row],[GrossSales]]-Clean_Data[[#This Row],[DiscountAmount]],2),0)</f>
        <v>0</v>
      </c>
      <c r="S14" s="3" t="str">
        <f>IF(Clean_Data[[#This Row],[OrderHour]]&lt;6,"Night",IF(Clean_Data[[#This Row],[OrderHour]]&lt;12,"Morning",IF(Clean_Data[[#This Row],[OrderHour]]&lt;18,"Afternoon","Evening")))</f>
        <v>Morning</v>
      </c>
      <c r="T14" s="3" t="str">
        <f>TEXT(Clean_Data[[#This Row],[OrderDate]],"[$-409]ddd")</f>
        <v>Tue</v>
      </c>
      <c r="U14" s="3">
        <f>WEEKDAY(Clean_Data[[#This Row],[OrderDate]],2)</f>
        <v>2</v>
      </c>
      <c r="V14" s="3">
        <f>INT(Clean_Data[[#This Row],[OrderHour]]/6)+1</f>
        <v>2</v>
      </c>
      <c r="W14" s="3">
        <f>IF(Clean_Data[[#This Row],[Status]]="Delivered",1,0)</f>
        <v>0</v>
      </c>
      <c r="X14" s="3">
        <f>IF(Clean_Data[[#This Row],[Status]]="Delivered",IF(Clean_Data[[#This Row],[DeliveryMinutes]]&lt;=Dashboard!$X$5,1,0),0)</f>
        <v>0</v>
      </c>
      <c r="Y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" s="3">
        <f>IF(AND(Clean_Data[[#This Row],[Include]]=1,Clean_Data[[#This Row],[DeliveredFlag]]=1),1,0)</f>
        <v>0</v>
      </c>
      <c r="AA14" s="1">
        <f>IF(COUNTIF($D$2:D14,D14)=1,ROW()-1,ROWS(Clean_Data[OrderID])+1)</f>
        <v>13</v>
      </c>
      <c r="AB14" s="1">
        <f>IF(COUNTIF($F$2:F14,F14)=1,ROW()-1,ROWS(Clean_Data[OrderID])+1)</f>
        <v>901</v>
      </c>
      <c r="AC14" s="1">
        <f>IF(COUNTIF($G$2:G14,G14)=1,ROW()-1,ROWS(Clean_Data[OrderID])+1)</f>
        <v>13</v>
      </c>
      <c r="AD14" s="1">
        <f>IF(COUNTIF($H$2:H14,H14)=1,ROW()-1,ROWS(Clean_Data[OrderID])+1)</f>
        <v>13</v>
      </c>
      <c r="AE14" s="1">
        <f>IF(COUNTIF($V$2:V14,V14)=1,V14,ROWS(Clean_Data[OrderID])+1)</f>
        <v>901</v>
      </c>
      <c r="AF14" s="1">
        <f>IF(COUNTIF($U$2:U14,U14)=1,U14,ROWS(Clean_Data[OrderID])+1)</f>
        <v>901</v>
      </c>
      <c r="AG14" s="1">
        <f>IF(COUNTIF($E$2:E14,E14)=1,ROW()-1,ROWS(Clean_Data[OrderID])+1)</f>
        <v>901</v>
      </c>
    </row>
    <row r="15" spans="1:33" ht="20" customHeight="1">
      <c r="A15" s="3" t="s">
        <v>137</v>
      </c>
      <c r="B15" s="2">
        <v>46266</v>
      </c>
      <c r="C15" s="3">
        <v>6</v>
      </c>
      <c r="D15" s="3" t="s">
        <v>138</v>
      </c>
      <c r="E15" s="3" t="s">
        <v>91</v>
      </c>
      <c r="F15" s="3" t="s">
        <v>139</v>
      </c>
      <c r="G15" s="3" t="s">
        <v>122</v>
      </c>
      <c r="H15" s="3" t="s">
        <v>123</v>
      </c>
      <c r="I15" s="3">
        <v>2</v>
      </c>
      <c r="J15" s="11">
        <v>45</v>
      </c>
      <c r="K15" s="4">
        <v>0.15</v>
      </c>
      <c r="L15" s="3" t="s">
        <v>95</v>
      </c>
      <c r="M15" s="3">
        <v>31</v>
      </c>
      <c r="N15" s="3">
        <v>5</v>
      </c>
      <c r="O15" s="3">
        <v>4</v>
      </c>
      <c r="P15" s="11">
        <f>Clean_Data[[#This Row],[Quantity]]*Clean_Data[[#This Row],[UnitPrice]]</f>
        <v>90</v>
      </c>
      <c r="Q15" s="11">
        <f>ROUND(Clean_Data[[#This Row],[GrossSales]]*Clean_Data[[#This Row],[DiscountPct]],2)</f>
        <v>13.5</v>
      </c>
      <c r="R15" s="11">
        <f>IF(Clean_Data[[#This Row],[Status]]="Delivered",ROUND(Clean_Data[[#This Row],[GrossSales]]-Clean_Data[[#This Row],[DiscountAmount]],2),0)</f>
        <v>76.5</v>
      </c>
      <c r="S15" s="3" t="str">
        <f>IF(Clean_Data[[#This Row],[OrderHour]]&lt;6,"Night",IF(Clean_Data[[#This Row],[OrderHour]]&lt;12,"Morning",IF(Clean_Data[[#This Row],[OrderHour]]&lt;18,"Afternoon","Evening")))</f>
        <v>Morning</v>
      </c>
      <c r="T15" s="3" t="str">
        <f>TEXT(Clean_Data[[#This Row],[OrderDate]],"[$-409]ddd")</f>
        <v>Tue</v>
      </c>
      <c r="U15" s="3">
        <f>WEEKDAY(Clean_Data[[#This Row],[OrderDate]],2)</f>
        <v>2</v>
      </c>
      <c r="V15" s="3">
        <f>INT(Clean_Data[[#This Row],[OrderHour]]/6)+1</f>
        <v>2</v>
      </c>
      <c r="W15" s="3">
        <f>IF(Clean_Data[[#This Row],[Status]]="Delivered",1,0)</f>
        <v>1</v>
      </c>
      <c r="X15" s="3">
        <f>IF(Clean_Data[[#This Row],[Status]]="Delivered",IF(Clean_Data[[#This Row],[DeliveryMinutes]]&lt;=Dashboard!$X$5,1,0),0)</f>
        <v>0</v>
      </c>
      <c r="Y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" s="3">
        <f>IF(AND(Clean_Data[[#This Row],[Include]]=1,Clean_Data[[#This Row],[DeliveredFlag]]=1),1,0)</f>
        <v>1</v>
      </c>
      <c r="AA15" s="1">
        <f>IF(COUNTIF($D$2:D15,D15)=1,ROW()-1,ROWS(Clean_Data[OrderID])+1)</f>
        <v>14</v>
      </c>
      <c r="AB15" s="1">
        <f>IF(COUNTIF($F$2:F15,F15)=1,ROW()-1,ROWS(Clean_Data[OrderID])+1)</f>
        <v>14</v>
      </c>
      <c r="AC15" s="1">
        <f>IF(COUNTIF($G$2:G15,G15)=1,ROW()-1,ROWS(Clean_Data[OrderID])+1)</f>
        <v>901</v>
      </c>
      <c r="AD15" s="1">
        <f>IF(COUNTIF($H$2:H15,H15)=1,ROW()-1,ROWS(Clean_Data[OrderID])+1)</f>
        <v>901</v>
      </c>
      <c r="AE15" s="1">
        <f>IF(COUNTIF($V$2:V15,V15)=1,V15,ROWS(Clean_Data[OrderID])+1)</f>
        <v>901</v>
      </c>
      <c r="AF15" s="1">
        <f>IF(COUNTIF($U$2:U15,U15)=1,U15,ROWS(Clean_Data[OrderID])+1)</f>
        <v>901</v>
      </c>
      <c r="AG15" s="1">
        <f>IF(COUNTIF($E$2:E15,E15)=1,ROW()-1,ROWS(Clean_Data[OrderID])+1)</f>
        <v>901</v>
      </c>
    </row>
    <row r="16" spans="1:33" ht="20" customHeight="1">
      <c r="A16" s="3" t="s">
        <v>140</v>
      </c>
      <c r="B16" s="2">
        <v>46266</v>
      </c>
      <c r="C16" s="3">
        <v>12</v>
      </c>
      <c r="D16" s="3" t="s">
        <v>141</v>
      </c>
      <c r="E16" s="3" t="s">
        <v>91</v>
      </c>
      <c r="F16" s="3" t="s">
        <v>121</v>
      </c>
      <c r="G16" s="3" t="s">
        <v>110</v>
      </c>
      <c r="H16" s="3" t="s">
        <v>111</v>
      </c>
      <c r="I16" s="3">
        <v>1</v>
      </c>
      <c r="J16" s="11">
        <v>115</v>
      </c>
      <c r="K16" s="4">
        <v>0</v>
      </c>
      <c r="L16" s="3" t="s">
        <v>95</v>
      </c>
      <c r="M16" s="3">
        <v>27</v>
      </c>
      <c r="N16" s="3">
        <v>13</v>
      </c>
      <c r="O16" s="3">
        <v>3</v>
      </c>
      <c r="P16" s="11">
        <f>Clean_Data[[#This Row],[Quantity]]*Clean_Data[[#This Row],[UnitPrice]]</f>
        <v>115</v>
      </c>
      <c r="Q16" s="11">
        <f>ROUND(Clean_Data[[#This Row],[GrossSales]]*Clean_Data[[#This Row],[DiscountPct]],2)</f>
        <v>0</v>
      </c>
      <c r="R16" s="11">
        <f>IF(Clean_Data[[#This Row],[Status]]="Delivered",ROUND(Clean_Data[[#This Row],[GrossSales]]-Clean_Data[[#This Row],[DiscountAmount]],2),0)</f>
        <v>115</v>
      </c>
      <c r="S16" s="3" t="str">
        <f>IF(Clean_Data[[#This Row],[OrderHour]]&lt;6,"Night",IF(Clean_Data[[#This Row],[OrderHour]]&lt;12,"Morning",IF(Clean_Data[[#This Row],[OrderHour]]&lt;18,"Afternoon","Evening")))</f>
        <v>Afternoon</v>
      </c>
      <c r="T16" s="3" t="str">
        <f>TEXT(Clean_Data[[#This Row],[OrderDate]],"[$-409]ddd")</f>
        <v>Tue</v>
      </c>
      <c r="U16" s="3">
        <f>WEEKDAY(Clean_Data[[#This Row],[OrderDate]],2)</f>
        <v>2</v>
      </c>
      <c r="V16" s="3">
        <f>INT(Clean_Data[[#This Row],[OrderHour]]/6)+1</f>
        <v>3</v>
      </c>
      <c r="W16" s="3">
        <f>IF(Clean_Data[[#This Row],[Status]]="Delivered",1,0)</f>
        <v>1</v>
      </c>
      <c r="X16" s="3">
        <f>IF(Clean_Data[[#This Row],[Status]]="Delivered",IF(Clean_Data[[#This Row],[DeliveryMinutes]]&lt;=Dashboard!$X$5,1,0),0)</f>
        <v>1</v>
      </c>
      <c r="Y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" s="3">
        <f>IF(AND(Clean_Data[[#This Row],[Include]]=1,Clean_Data[[#This Row],[DeliveredFlag]]=1),1,0)</f>
        <v>1</v>
      </c>
      <c r="AA16" s="1">
        <f>IF(COUNTIF($D$2:D16,D16)=1,ROW()-1,ROWS(Clean_Data[OrderID])+1)</f>
        <v>15</v>
      </c>
      <c r="AB16" s="1">
        <f>IF(COUNTIF($F$2:F16,F16)=1,ROW()-1,ROWS(Clean_Data[OrderID])+1)</f>
        <v>901</v>
      </c>
      <c r="AC16" s="1">
        <f>IF(COUNTIF($G$2:G16,G16)=1,ROW()-1,ROWS(Clean_Data[OrderID])+1)</f>
        <v>901</v>
      </c>
      <c r="AD16" s="1">
        <f>IF(COUNTIF($H$2:H16,H16)=1,ROW()-1,ROWS(Clean_Data[OrderID])+1)</f>
        <v>901</v>
      </c>
      <c r="AE16" s="1">
        <f>IF(COUNTIF($V$2:V16,V16)=1,V16,ROWS(Clean_Data[OrderID])+1)</f>
        <v>901</v>
      </c>
      <c r="AF16" s="1">
        <f>IF(COUNTIF($U$2:U16,U16)=1,U16,ROWS(Clean_Data[OrderID])+1)</f>
        <v>901</v>
      </c>
      <c r="AG16" s="1">
        <f>IF(COUNTIF($E$2:E16,E16)=1,ROW()-1,ROWS(Clean_Data[OrderID])+1)</f>
        <v>901</v>
      </c>
    </row>
    <row r="17" spans="1:33" ht="20" customHeight="1">
      <c r="A17" s="3" t="s">
        <v>142</v>
      </c>
      <c r="B17" s="2">
        <v>46266</v>
      </c>
      <c r="C17" s="3">
        <v>11</v>
      </c>
      <c r="D17" s="3" t="s">
        <v>143</v>
      </c>
      <c r="E17" s="3" t="s">
        <v>91</v>
      </c>
      <c r="F17" s="3" t="s">
        <v>98</v>
      </c>
      <c r="G17" s="3" t="s">
        <v>99</v>
      </c>
      <c r="H17" s="3" t="s">
        <v>130</v>
      </c>
      <c r="I17" s="3">
        <v>6</v>
      </c>
      <c r="J17" s="11">
        <v>85</v>
      </c>
      <c r="K17" s="4">
        <v>0.15</v>
      </c>
      <c r="L17" s="3" t="s">
        <v>95</v>
      </c>
      <c r="M17" s="3">
        <v>35</v>
      </c>
      <c r="N17" s="3">
        <v>9</v>
      </c>
      <c r="O17" s="3">
        <v>4</v>
      </c>
      <c r="P17" s="11">
        <f>Clean_Data[[#This Row],[Quantity]]*Clean_Data[[#This Row],[UnitPrice]]</f>
        <v>510</v>
      </c>
      <c r="Q17" s="11">
        <f>ROUND(Clean_Data[[#This Row],[GrossSales]]*Clean_Data[[#This Row],[DiscountPct]],2)</f>
        <v>76.5</v>
      </c>
      <c r="R17" s="11">
        <f>IF(Clean_Data[[#This Row],[Status]]="Delivered",ROUND(Clean_Data[[#This Row],[GrossSales]]-Clean_Data[[#This Row],[DiscountAmount]],2),0)</f>
        <v>433.5</v>
      </c>
      <c r="S17" s="3" t="str">
        <f>IF(Clean_Data[[#This Row],[OrderHour]]&lt;6,"Night",IF(Clean_Data[[#This Row],[OrderHour]]&lt;12,"Morning",IF(Clean_Data[[#This Row],[OrderHour]]&lt;18,"Afternoon","Evening")))</f>
        <v>Morning</v>
      </c>
      <c r="T17" s="3" t="str">
        <f>TEXT(Clean_Data[[#This Row],[OrderDate]],"[$-409]ddd")</f>
        <v>Tue</v>
      </c>
      <c r="U17" s="3">
        <f>WEEKDAY(Clean_Data[[#This Row],[OrderDate]],2)</f>
        <v>2</v>
      </c>
      <c r="V17" s="3">
        <f>INT(Clean_Data[[#This Row],[OrderHour]]/6)+1</f>
        <v>2</v>
      </c>
      <c r="W17" s="3">
        <f>IF(Clean_Data[[#This Row],[Status]]="Delivered",1,0)</f>
        <v>1</v>
      </c>
      <c r="X17" s="3">
        <f>IF(Clean_Data[[#This Row],[Status]]="Delivered",IF(Clean_Data[[#This Row],[DeliveryMinutes]]&lt;=Dashboard!$X$5,1,0),0)</f>
        <v>0</v>
      </c>
      <c r="Y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" s="3">
        <f>IF(AND(Clean_Data[[#This Row],[Include]]=1,Clean_Data[[#This Row],[DeliveredFlag]]=1),1,0)</f>
        <v>1</v>
      </c>
      <c r="AA17" s="1">
        <f>IF(COUNTIF($D$2:D17,D17)=1,ROW()-1,ROWS(Clean_Data[OrderID])+1)</f>
        <v>16</v>
      </c>
      <c r="AB17" s="1">
        <f>IF(COUNTIF($F$2:F17,F17)=1,ROW()-1,ROWS(Clean_Data[OrderID])+1)</f>
        <v>901</v>
      </c>
      <c r="AC17" s="1">
        <f>IF(COUNTIF($G$2:G17,G17)=1,ROW()-1,ROWS(Clean_Data[OrderID])+1)</f>
        <v>901</v>
      </c>
      <c r="AD17" s="1">
        <f>IF(COUNTIF($H$2:H17,H17)=1,ROW()-1,ROWS(Clean_Data[OrderID])+1)</f>
        <v>901</v>
      </c>
      <c r="AE17" s="1">
        <f>IF(COUNTIF($V$2:V17,V17)=1,V17,ROWS(Clean_Data[OrderID])+1)</f>
        <v>901</v>
      </c>
      <c r="AF17" s="1">
        <f>IF(COUNTIF($U$2:U17,U17)=1,U17,ROWS(Clean_Data[OrderID])+1)</f>
        <v>901</v>
      </c>
      <c r="AG17" s="1">
        <f>IF(COUNTIF($E$2:E17,E17)=1,ROW()-1,ROWS(Clean_Data[OrderID])+1)</f>
        <v>901</v>
      </c>
    </row>
    <row r="18" spans="1:33" ht="20" customHeight="1">
      <c r="A18" s="3" t="s">
        <v>144</v>
      </c>
      <c r="B18" s="2">
        <v>46266</v>
      </c>
      <c r="C18" s="3">
        <v>17</v>
      </c>
      <c r="D18" s="3" t="s">
        <v>145</v>
      </c>
      <c r="E18" s="3" t="s">
        <v>117</v>
      </c>
      <c r="F18" s="3" t="s">
        <v>121</v>
      </c>
      <c r="G18" s="3" t="s">
        <v>93</v>
      </c>
      <c r="H18" s="3" t="s">
        <v>146</v>
      </c>
      <c r="I18" s="3">
        <v>6</v>
      </c>
      <c r="J18" s="11">
        <v>110</v>
      </c>
      <c r="K18" s="4">
        <v>0</v>
      </c>
      <c r="L18" s="3" t="s">
        <v>95</v>
      </c>
      <c r="M18" s="3">
        <v>25</v>
      </c>
      <c r="N18" s="3">
        <v>6</v>
      </c>
      <c r="O18" s="3">
        <v>5</v>
      </c>
      <c r="P18" s="11">
        <f>Clean_Data[[#This Row],[Quantity]]*Clean_Data[[#This Row],[UnitPrice]]</f>
        <v>660</v>
      </c>
      <c r="Q18" s="11">
        <f>ROUND(Clean_Data[[#This Row],[GrossSales]]*Clean_Data[[#This Row],[DiscountPct]],2)</f>
        <v>0</v>
      </c>
      <c r="R18" s="11">
        <f>IF(Clean_Data[[#This Row],[Status]]="Delivered",ROUND(Clean_Data[[#This Row],[GrossSales]]-Clean_Data[[#This Row],[DiscountAmount]],2),0)</f>
        <v>660</v>
      </c>
      <c r="S18" s="3" t="str">
        <f>IF(Clean_Data[[#This Row],[OrderHour]]&lt;6,"Night",IF(Clean_Data[[#This Row],[OrderHour]]&lt;12,"Morning",IF(Clean_Data[[#This Row],[OrderHour]]&lt;18,"Afternoon","Evening")))</f>
        <v>Afternoon</v>
      </c>
      <c r="T18" s="3" t="str">
        <f>TEXT(Clean_Data[[#This Row],[OrderDate]],"[$-409]ddd")</f>
        <v>Tue</v>
      </c>
      <c r="U18" s="3">
        <f>WEEKDAY(Clean_Data[[#This Row],[OrderDate]],2)</f>
        <v>2</v>
      </c>
      <c r="V18" s="3">
        <f>INT(Clean_Data[[#This Row],[OrderHour]]/6)+1</f>
        <v>3</v>
      </c>
      <c r="W18" s="3">
        <f>IF(Clean_Data[[#This Row],[Status]]="Delivered",1,0)</f>
        <v>1</v>
      </c>
      <c r="X18" s="3">
        <f>IF(Clean_Data[[#This Row],[Status]]="Delivered",IF(Clean_Data[[#This Row],[DeliveryMinutes]]&lt;=Dashboard!$X$5,1,0),0)</f>
        <v>1</v>
      </c>
      <c r="Y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" s="3">
        <f>IF(AND(Clean_Data[[#This Row],[Include]]=1,Clean_Data[[#This Row],[DeliveredFlag]]=1),1,0)</f>
        <v>1</v>
      </c>
      <c r="AA18" s="1">
        <f>IF(COUNTIF($D$2:D18,D18)=1,ROW()-1,ROWS(Clean_Data[OrderID])+1)</f>
        <v>17</v>
      </c>
      <c r="AB18" s="1">
        <f>IF(COUNTIF($F$2:F18,F18)=1,ROW()-1,ROWS(Clean_Data[OrderID])+1)</f>
        <v>901</v>
      </c>
      <c r="AC18" s="1">
        <f>IF(COUNTIF($G$2:G18,G18)=1,ROW()-1,ROWS(Clean_Data[OrderID])+1)</f>
        <v>901</v>
      </c>
      <c r="AD18" s="1">
        <f>IF(COUNTIF($H$2:H18,H18)=1,ROW()-1,ROWS(Clean_Data[OrderID])+1)</f>
        <v>17</v>
      </c>
      <c r="AE18" s="1">
        <f>IF(COUNTIF($V$2:V18,V18)=1,V18,ROWS(Clean_Data[OrderID])+1)</f>
        <v>901</v>
      </c>
      <c r="AF18" s="1">
        <f>IF(COUNTIF($U$2:U18,U18)=1,U18,ROWS(Clean_Data[OrderID])+1)</f>
        <v>901</v>
      </c>
      <c r="AG18" s="1">
        <f>IF(COUNTIF($E$2:E18,E18)=1,ROW()-1,ROWS(Clean_Data[OrderID])+1)</f>
        <v>901</v>
      </c>
    </row>
    <row r="19" spans="1:33" ht="20" customHeight="1">
      <c r="A19" s="3" t="s">
        <v>147</v>
      </c>
      <c r="B19" s="2">
        <v>46266</v>
      </c>
      <c r="C19" s="3">
        <v>21</v>
      </c>
      <c r="D19" s="3" t="s">
        <v>148</v>
      </c>
      <c r="E19" s="3" t="s">
        <v>91</v>
      </c>
      <c r="F19" s="3" t="s">
        <v>98</v>
      </c>
      <c r="G19" s="3" t="s">
        <v>93</v>
      </c>
      <c r="H19" s="3" t="s">
        <v>146</v>
      </c>
      <c r="I19" s="3">
        <v>5</v>
      </c>
      <c r="J19" s="11">
        <v>110</v>
      </c>
      <c r="K19" s="4">
        <v>0</v>
      </c>
      <c r="L19" s="3" t="s">
        <v>95</v>
      </c>
      <c r="M19" s="3">
        <v>21</v>
      </c>
      <c r="N19" s="3">
        <v>8</v>
      </c>
      <c r="O19" s="3">
        <v>4</v>
      </c>
      <c r="P19" s="11">
        <f>Clean_Data[[#This Row],[Quantity]]*Clean_Data[[#This Row],[UnitPrice]]</f>
        <v>550</v>
      </c>
      <c r="Q19" s="11">
        <f>ROUND(Clean_Data[[#This Row],[GrossSales]]*Clean_Data[[#This Row],[DiscountPct]],2)</f>
        <v>0</v>
      </c>
      <c r="R19" s="11">
        <f>IF(Clean_Data[[#This Row],[Status]]="Delivered",ROUND(Clean_Data[[#This Row],[GrossSales]]-Clean_Data[[#This Row],[DiscountAmount]],2),0)</f>
        <v>550</v>
      </c>
      <c r="S19" s="3" t="str">
        <f>IF(Clean_Data[[#This Row],[OrderHour]]&lt;6,"Night",IF(Clean_Data[[#This Row],[OrderHour]]&lt;12,"Morning",IF(Clean_Data[[#This Row],[OrderHour]]&lt;18,"Afternoon","Evening")))</f>
        <v>Evening</v>
      </c>
      <c r="T19" s="3" t="str">
        <f>TEXT(Clean_Data[[#This Row],[OrderDate]],"[$-409]ddd")</f>
        <v>Tue</v>
      </c>
      <c r="U19" s="3">
        <f>WEEKDAY(Clean_Data[[#This Row],[OrderDate]],2)</f>
        <v>2</v>
      </c>
      <c r="V19" s="3">
        <f>INT(Clean_Data[[#This Row],[OrderHour]]/6)+1</f>
        <v>4</v>
      </c>
      <c r="W19" s="3">
        <f>IF(Clean_Data[[#This Row],[Status]]="Delivered",1,0)</f>
        <v>1</v>
      </c>
      <c r="X19" s="3">
        <f>IF(Clean_Data[[#This Row],[Status]]="Delivered",IF(Clean_Data[[#This Row],[DeliveryMinutes]]&lt;=Dashboard!$X$5,1,0),0)</f>
        <v>1</v>
      </c>
      <c r="Y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" s="3">
        <f>IF(AND(Clean_Data[[#This Row],[Include]]=1,Clean_Data[[#This Row],[DeliveredFlag]]=1),1,0)</f>
        <v>1</v>
      </c>
      <c r="AA19" s="1">
        <f>IF(COUNTIF($D$2:D19,D19)=1,ROW()-1,ROWS(Clean_Data[OrderID])+1)</f>
        <v>18</v>
      </c>
      <c r="AB19" s="1">
        <f>IF(COUNTIF($F$2:F19,F19)=1,ROW()-1,ROWS(Clean_Data[OrderID])+1)</f>
        <v>901</v>
      </c>
      <c r="AC19" s="1">
        <f>IF(COUNTIF($G$2:G19,G19)=1,ROW()-1,ROWS(Clean_Data[OrderID])+1)</f>
        <v>901</v>
      </c>
      <c r="AD19" s="1">
        <f>IF(COUNTIF($H$2:H19,H19)=1,ROW()-1,ROWS(Clean_Data[OrderID])+1)</f>
        <v>901</v>
      </c>
      <c r="AE19" s="1">
        <f>IF(COUNTIF($V$2:V19,V19)=1,V19,ROWS(Clean_Data[OrderID])+1)</f>
        <v>901</v>
      </c>
      <c r="AF19" s="1">
        <f>IF(COUNTIF($U$2:U19,U19)=1,U19,ROWS(Clean_Data[OrderID])+1)</f>
        <v>901</v>
      </c>
      <c r="AG19" s="1">
        <f>IF(COUNTIF($E$2:E19,E19)=1,ROW()-1,ROWS(Clean_Data[OrderID])+1)</f>
        <v>901</v>
      </c>
    </row>
    <row r="20" spans="1:33" ht="20" customHeight="1">
      <c r="A20" s="3" t="s">
        <v>149</v>
      </c>
      <c r="B20" s="2">
        <v>46266</v>
      </c>
      <c r="C20" s="3">
        <v>6</v>
      </c>
      <c r="D20" s="3" t="s">
        <v>150</v>
      </c>
      <c r="E20" s="3" t="s">
        <v>91</v>
      </c>
      <c r="F20" s="3" t="s">
        <v>139</v>
      </c>
      <c r="G20" s="3" t="s">
        <v>99</v>
      </c>
      <c r="H20" s="3" t="s">
        <v>104</v>
      </c>
      <c r="I20" s="3">
        <v>5</v>
      </c>
      <c r="J20" s="11">
        <v>240</v>
      </c>
      <c r="K20" s="4">
        <v>0.15</v>
      </c>
      <c r="L20" s="3" t="s">
        <v>95</v>
      </c>
      <c r="M20" s="3">
        <v>35</v>
      </c>
      <c r="N20" s="3">
        <v>15</v>
      </c>
      <c r="O20" s="3">
        <v>4</v>
      </c>
      <c r="P20" s="11">
        <f>Clean_Data[[#This Row],[Quantity]]*Clean_Data[[#This Row],[UnitPrice]]</f>
        <v>1200</v>
      </c>
      <c r="Q20" s="11">
        <f>ROUND(Clean_Data[[#This Row],[GrossSales]]*Clean_Data[[#This Row],[DiscountPct]],2)</f>
        <v>180</v>
      </c>
      <c r="R20" s="11">
        <f>IF(Clean_Data[[#This Row],[Status]]="Delivered",ROUND(Clean_Data[[#This Row],[GrossSales]]-Clean_Data[[#This Row],[DiscountAmount]],2),0)</f>
        <v>1020</v>
      </c>
      <c r="S20" s="3" t="str">
        <f>IF(Clean_Data[[#This Row],[OrderHour]]&lt;6,"Night",IF(Clean_Data[[#This Row],[OrderHour]]&lt;12,"Morning",IF(Clean_Data[[#This Row],[OrderHour]]&lt;18,"Afternoon","Evening")))</f>
        <v>Morning</v>
      </c>
      <c r="T20" s="3" t="str">
        <f>TEXT(Clean_Data[[#This Row],[OrderDate]],"[$-409]ddd")</f>
        <v>Tue</v>
      </c>
      <c r="U20" s="3">
        <f>WEEKDAY(Clean_Data[[#This Row],[OrderDate]],2)</f>
        <v>2</v>
      </c>
      <c r="V20" s="3">
        <f>INT(Clean_Data[[#This Row],[OrderHour]]/6)+1</f>
        <v>2</v>
      </c>
      <c r="W20" s="3">
        <f>IF(Clean_Data[[#This Row],[Status]]="Delivered",1,0)</f>
        <v>1</v>
      </c>
      <c r="X20" s="3">
        <f>IF(Clean_Data[[#This Row],[Status]]="Delivered",IF(Clean_Data[[#This Row],[DeliveryMinutes]]&lt;=Dashboard!$X$5,1,0),0)</f>
        <v>0</v>
      </c>
      <c r="Y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" s="3">
        <f>IF(AND(Clean_Data[[#This Row],[Include]]=1,Clean_Data[[#This Row],[DeliveredFlag]]=1),1,0)</f>
        <v>1</v>
      </c>
      <c r="AA20" s="1">
        <f>IF(COUNTIF($D$2:D20,D20)=1,ROW()-1,ROWS(Clean_Data[OrderID])+1)</f>
        <v>19</v>
      </c>
      <c r="AB20" s="1">
        <f>IF(COUNTIF($F$2:F20,F20)=1,ROW()-1,ROWS(Clean_Data[OrderID])+1)</f>
        <v>901</v>
      </c>
      <c r="AC20" s="1">
        <f>IF(COUNTIF($G$2:G20,G20)=1,ROW()-1,ROWS(Clean_Data[OrderID])+1)</f>
        <v>901</v>
      </c>
      <c r="AD20" s="1">
        <f>IF(COUNTIF($H$2:H20,H20)=1,ROW()-1,ROWS(Clean_Data[OrderID])+1)</f>
        <v>901</v>
      </c>
      <c r="AE20" s="1">
        <f>IF(COUNTIF($V$2:V20,V20)=1,V20,ROWS(Clean_Data[OrderID])+1)</f>
        <v>901</v>
      </c>
      <c r="AF20" s="1">
        <f>IF(COUNTIF($U$2:U20,U20)=1,U20,ROWS(Clean_Data[OrderID])+1)</f>
        <v>901</v>
      </c>
      <c r="AG20" s="1">
        <f>IF(COUNTIF($E$2:E20,E20)=1,ROW()-1,ROWS(Clean_Data[OrderID])+1)</f>
        <v>901</v>
      </c>
    </row>
    <row r="21" spans="1:33" ht="20" customHeight="1">
      <c r="A21" s="3" t="s">
        <v>151</v>
      </c>
      <c r="B21" s="2">
        <v>46266</v>
      </c>
      <c r="C21" s="3">
        <v>11</v>
      </c>
      <c r="D21" s="3" t="s">
        <v>152</v>
      </c>
      <c r="E21" s="3" t="s">
        <v>117</v>
      </c>
      <c r="F21" s="3" t="s">
        <v>98</v>
      </c>
      <c r="G21" s="3" t="s">
        <v>122</v>
      </c>
      <c r="H21" s="3" t="s">
        <v>153</v>
      </c>
      <c r="I21" s="3">
        <v>1</v>
      </c>
      <c r="J21" s="11">
        <v>130</v>
      </c>
      <c r="K21" s="4">
        <v>0</v>
      </c>
      <c r="L21" s="3" t="s">
        <v>95</v>
      </c>
      <c r="M21" s="3">
        <v>28</v>
      </c>
      <c r="N21" s="3">
        <v>9</v>
      </c>
      <c r="O21" s="3">
        <v>5</v>
      </c>
      <c r="P21" s="11">
        <f>Clean_Data[[#This Row],[Quantity]]*Clean_Data[[#This Row],[UnitPrice]]</f>
        <v>130</v>
      </c>
      <c r="Q21" s="11">
        <f>ROUND(Clean_Data[[#This Row],[GrossSales]]*Clean_Data[[#This Row],[DiscountPct]],2)</f>
        <v>0</v>
      </c>
      <c r="R21" s="11">
        <f>IF(Clean_Data[[#This Row],[Status]]="Delivered",ROUND(Clean_Data[[#This Row],[GrossSales]]-Clean_Data[[#This Row],[DiscountAmount]],2),0)</f>
        <v>130</v>
      </c>
      <c r="S21" s="3" t="str">
        <f>IF(Clean_Data[[#This Row],[OrderHour]]&lt;6,"Night",IF(Clean_Data[[#This Row],[OrderHour]]&lt;12,"Morning",IF(Clean_Data[[#This Row],[OrderHour]]&lt;18,"Afternoon","Evening")))</f>
        <v>Morning</v>
      </c>
      <c r="T21" s="3" t="str">
        <f>TEXT(Clean_Data[[#This Row],[OrderDate]],"[$-409]ddd")</f>
        <v>Tue</v>
      </c>
      <c r="U21" s="3">
        <f>WEEKDAY(Clean_Data[[#This Row],[OrderDate]],2)</f>
        <v>2</v>
      </c>
      <c r="V21" s="3">
        <f>INT(Clean_Data[[#This Row],[OrderHour]]/6)+1</f>
        <v>2</v>
      </c>
      <c r="W21" s="3">
        <f>IF(Clean_Data[[#This Row],[Status]]="Delivered",1,0)</f>
        <v>1</v>
      </c>
      <c r="X21" s="3">
        <f>IF(Clean_Data[[#This Row],[Status]]="Delivered",IF(Clean_Data[[#This Row],[DeliveryMinutes]]&lt;=Dashboard!$X$5,1,0),0)</f>
        <v>1</v>
      </c>
      <c r="Y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" s="3">
        <f>IF(AND(Clean_Data[[#This Row],[Include]]=1,Clean_Data[[#This Row],[DeliveredFlag]]=1),1,0)</f>
        <v>1</v>
      </c>
      <c r="AA21" s="1">
        <f>IF(COUNTIF($D$2:D21,D21)=1,ROW()-1,ROWS(Clean_Data[OrderID])+1)</f>
        <v>20</v>
      </c>
      <c r="AB21" s="1">
        <f>IF(COUNTIF($F$2:F21,F21)=1,ROW()-1,ROWS(Clean_Data[OrderID])+1)</f>
        <v>901</v>
      </c>
      <c r="AC21" s="1">
        <f>IF(COUNTIF($G$2:G21,G21)=1,ROW()-1,ROWS(Clean_Data[OrderID])+1)</f>
        <v>901</v>
      </c>
      <c r="AD21" s="1">
        <f>IF(COUNTIF($H$2:H21,H21)=1,ROW()-1,ROWS(Clean_Data[OrderID])+1)</f>
        <v>20</v>
      </c>
      <c r="AE21" s="1">
        <f>IF(COUNTIF($V$2:V21,V21)=1,V21,ROWS(Clean_Data[OrderID])+1)</f>
        <v>901</v>
      </c>
      <c r="AF21" s="1">
        <f>IF(COUNTIF($U$2:U21,U21)=1,U21,ROWS(Clean_Data[OrderID])+1)</f>
        <v>901</v>
      </c>
      <c r="AG21" s="1">
        <f>IF(COUNTIF($E$2:E21,E21)=1,ROW()-1,ROWS(Clean_Data[OrderID])+1)</f>
        <v>901</v>
      </c>
    </row>
    <row r="22" spans="1:33" ht="20" customHeight="1">
      <c r="A22" s="3" t="s">
        <v>154</v>
      </c>
      <c r="B22" s="2">
        <v>46266</v>
      </c>
      <c r="C22" s="3">
        <v>16</v>
      </c>
      <c r="D22" s="3" t="s">
        <v>155</v>
      </c>
      <c r="E22" s="3" t="s">
        <v>91</v>
      </c>
      <c r="F22" s="3" t="s">
        <v>98</v>
      </c>
      <c r="G22" s="3" t="s">
        <v>93</v>
      </c>
      <c r="H22" s="3" t="s">
        <v>94</v>
      </c>
      <c r="I22" s="3">
        <v>5</v>
      </c>
      <c r="J22" s="11">
        <v>95</v>
      </c>
      <c r="K22" s="4">
        <v>0</v>
      </c>
      <c r="L22" s="3" t="s">
        <v>95</v>
      </c>
      <c r="M22" s="3">
        <v>27</v>
      </c>
      <c r="N22" s="3">
        <v>13</v>
      </c>
      <c r="O22" s="3">
        <v>4</v>
      </c>
      <c r="P22" s="11">
        <f>Clean_Data[[#This Row],[Quantity]]*Clean_Data[[#This Row],[UnitPrice]]</f>
        <v>475</v>
      </c>
      <c r="Q22" s="11">
        <f>ROUND(Clean_Data[[#This Row],[GrossSales]]*Clean_Data[[#This Row],[DiscountPct]],2)</f>
        <v>0</v>
      </c>
      <c r="R22" s="11">
        <f>IF(Clean_Data[[#This Row],[Status]]="Delivered",ROUND(Clean_Data[[#This Row],[GrossSales]]-Clean_Data[[#This Row],[DiscountAmount]],2),0)</f>
        <v>475</v>
      </c>
      <c r="S22" s="3" t="str">
        <f>IF(Clean_Data[[#This Row],[OrderHour]]&lt;6,"Night",IF(Clean_Data[[#This Row],[OrderHour]]&lt;12,"Morning",IF(Clean_Data[[#This Row],[OrderHour]]&lt;18,"Afternoon","Evening")))</f>
        <v>Afternoon</v>
      </c>
      <c r="T22" s="3" t="str">
        <f>TEXT(Clean_Data[[#This Row],[OrderDate]],"[$-409]ddd")</f>
        <v>Tue</v>
      </c>
      <c r="U22" s="3">
        <f>WEEKDAY(Clean_Data[[#This Row],[OrderDate]],2)</f>
        <v>2</v>
      </c>
      <c r="V22" s="3">
        <f>INT(Clean_Data[[#This Row],[OrderHour]]/6)+1</f>
        <v>3</v>
      </c>
      <c r="W22" s="3">
        <f>IF(Clean_Data[[#This Row],[Status]]="Delivered",1,0)</f>
        <v>1</v>
      </c>
      <c r="X22" s="3">
        <f>IF(Clean_Data[[#This Row],[Status]]="Delivered",IF(Clean_Data[[#This Row],[DeliveryMinutes]]&lt;=Dashboard!$X$5,1,0),0)</f>
        <v>1</v>
      </c>
      <c r="Y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" s="3">
        <f>IF(AND(Clean_Data[[#This Row],[Include]]=1,Clean_Data[[#This Row],[DeliveredFlag]]=1),1,0)</f>
        <v>1</v>
      </c>
      <c r="AA22" s="1">
        <f>IF(COUNTIF($D$2:D22,D22)=1,ROW()-1,ROWS(Clean_Data[OrderID])+1)</f>
        <v>21</v>
      </c>
      <c r="AB22" s="1">
        <f>IF(COUNTIF($F$2:F22,F22)=1,ROW()-1,ROWS(Clean_Data[OrderID])+1)</f>
        <v>901</v>
      </c>
      <c r="AC22" s="1">
        <f>IF(COUNTIF($G$2:G22,G22)=1,ROW()-1,ROWS(Clean_Data[OrderID])+1)</f>
        <v>901</v>
      </c>
      <c r="AD22" s="1">
        <f>IF(COUNTIF($H$2:H22,H22)=1,ROW()-1,ROWS(Clean_Data[OrderID])+1)</f>
        <v>901</v>
      </c>
      <c r="AE22" s="1">
        <f>IF(COUNTIF($V$2:V22,V22)=1,V22,ROWS(Clean_Data[OrderID])+1)</f>
        <v>901</v>
      </c>
      <c r="AF22" s="1">
        <f>IF(COUNTIF($U$2:U22,U22)=1,U22,ROWS(Clean_Data[OrderID])+1)</f>
        <v>901</v>
      </c>
      <c r="AG22" s="1">
        <f>IF(COUNTIF($E$2:E22,E22)=1,ROW()-1,ROWS(Clean_Data[OrderID])+1)</f>
        <v>901</v>
      </c>
    </row>
    <row r="23" spans="1:33" ht="20" customHeight="1">
      <c r="A23" s="3" t="s">
        <v>156</v>
      </c>
      <c r="B23" s="2">
        <v>46266</v>
      </c>
      <c r="C23" s="3">
        <v>6</v>
      </c>
      <c r="D23" s="3" t="s">
        <v>157</v>
      </c>
      <c r="E23" s="3" t="s">
        <v>91</v>
      </c>
      <c r="F23" s="3" t="s">
        <v>92</v>
      </c>
      <c r="G23" s="3" t="s">
        <v>93</v>
      </c>
      <c r="H23" s="3" t="s">
        <v>94</v>
      </c>
      <c r="I23" s="3">
        <v>6</v>
      </c>
      <c r="J23" s="11">
        <v>95</v>
      </c>
      <c r="K23" s="4">
        <v>0.05</v>
      </c>
      <c r="L23" s="3" t="s">
        <v>95</v>
      </c>
      <c r="M23" s="3">
        <v>23</v>
      </c>
      <c r="N23" s="3">
        <v>5</v>
      </c>
      <c r="O23" s="3">
        <v>5</v>
      </c>
      <c r="P23" s="11">
        <f>Clean_Data[[#This Row],[Quantity]]*Clean_Data[[#This Row],[UnitPrice]]</f>
        <v>570</v>
      </c>
      <c r="Q23" s="11">
        <f>ROUND(Clean_Data[[#This Row],[GrossSales]]*Clean_Data[[#This Row],[DiscountPct]],2)</f>
        <v>28.5</v>
      </c>
      <c r="R23" s="11">
        <f>IF(Clean_Data[[#This Row],[Status]]="Delivered",ROUND(Clean_Data[[#This Row],[GrossSales]]-Clean_Data[[#This Row],[DiscountAmount]],2),0)</f>
        <v>541.5</v>
      </c>
      <c r="S23" s="3" t="str">
        <f>IF(Clean_Data[[#This Row],[OrderHour]]&lt;6,"Night",IF(Clean_Data[[#This Row],[OrderHour]]&lt;12,"Morning",IF(Clean_Data[[#This Row],[OrderHour]]&lt;18,"Afternoon","Evening")))</f>
        <v>Morning</v>
      </c>
      <c r="T23" s="3" t="str">
        <f>TEXT(Clean_Data[[#This Row],[OrderDate]],"[$-409]ddd")</f>
        <v>Tue</v>
      </c>
      <c r="U23" s="3">
        <f>WEEKDAY(Clean_Data[[#This Row],[OrderDate]],2)</f>
        <v>2</v>
      </c>
      <c r="V23" s="3">
        <f>INT(Clean_Data[[#This Row],[OrderHour]]/6)+1</f>
        <v>2</v>
      </c>
      <c r="W23" s="3">
        <f>IF(Clean_Data[[#This Row],[Status]]="Delivered",1,0)</f>
        <v>1</v>
      </c>
      <c r="X23" s="3">
        <f>IF(Clean_Data[[#This Row],[Status]]="Delivered",IF(Clean_Data[[#This Row],[DeliveryMinutes]]&lt;=Dashboard!$X$5,1,0),0)</f>
        <v>1</v>
      </c>
      <c r="Y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" s="3">
        <f>IF(AND(Clean_Data[[#This Row],[Include]]=1,Clean_Data[[#This Row],[DeliveredFlag]]=1),1,0)</f>
        <v>1</v>
      </c>
      <c r="AA23" s="1">
        <f>IF(COUNTIF($D$2:D23,D23)=1,ROW()-1,ROWS(Clean_Data[OrderID])+1)</f>
        <v>22</v>
      </c>
      <c r="AB23" s="1">
        <f>IF(COUNTIF($F$2:F23,F23)=1,ROW()-1,ROWS(Clean_Data[OrderID])+1)</f>
        <v>901</v>
      </c>
      <c r="AC23" s="1">
        <f>IF(COUNTIF($G$2:G23,G23)=1,ROW()-1,ROWS(Clean_Data[OrderID])+1)</f>
        <v>901</v>
      </c>
      <c r="AD23" s="1">
        <f>IF(COUNTIF($H$2:H23,H23)=1,ROW()-1,ROWS(Clean_Data[OrderID])+1)</f>
        <v>901</v>
      </c>
      <c r="AE23" s="1">
        <f>IF(COUNTIF($V$2:V23,V23)=1,V23,ROWS(Clean_Data[OrderID])+1)</f>
        <v>901</v>
      </c>
      <c r="AF23" s="1">
        <f>IF(COUNTIF($U$2:U23,U23)=1,U23,ROWS(Clean_Data[OrderID])+1)</f>
        <v>901</v>
      </c>
      <c r="AG23" s="1">
        <f>IF(COUNTIF($E$2:E23,E23)=1,ROW()-1,ROWS(Clean_Data[OrderID])+1)</f>
        <v>901</v>
      </c>
    </row>
    <row r="24" spans="1:33" ht="20" customHeight="1">
      <c r="A24" s="3" t="s">
        <v>158</v>
      </c>
      <c r="B24" s="2">
        <v>46266</v>
      </c>
      <c r="C24" s="3">
        <v>9</v>
      </c>
      <c r="D24" s="3" t="s">
        <v>159</v>
      </c>
      <c r="E24" s="3" t="s">
        <v>117</v>
      </c>
      <c r="F24" s="3" t="s">
        <v>109</v>
      </c>
      <c r="G24" s="3" t="s">
        <v>93</v>
      </c>
      <c r="H24" s="3" t="s">
        <v>94</v>
      </c>
      <c r="I24" s="3">
        <v>4</v>
      </c>
      <c r="J24" s="11">
        <v>95</v>
      </c>
      <c r="K24" s="4">
        <v>0</v>
      </c>
      <c r="L24" s="3" t="s">
        <v>101</v>
      </c>
      <c r="M24" s="3"/>
      <c r="N24" s="3"/>
      <c r="O24" s="3"/>
      <c r="P24" s="11">
        <f>Clean_Data[[#This Row],[Quantity]]*Clean_Data[[#This Row],[UnitPrice]]</f>
        <v>380</v>
      </c>
      <c r="Q24" s="11">
        <f>ROUND(Clean_Data[[#This Row],[GrossSales]]*Clean_Data[[#This Row],[DiscountPct]],2)</f>
        <v>0</v>
      </c>
      <c r="R24" s="11">
        <f>IF(Clean_Data[[#This Row],[Status]]="Delivered",ROUND(Clean_Data[[#This Row],[GrossSales]]-Clean_Data[[#This Row],[DiscountAmount]],2),0)</f>
        <v>0</v>
      </c>
      <c r="S24" s="3" t="str">
        <f>IF(Clean_Data[[#This Row],[OrderHour]]&lt;6,"Night",IF(Clean_Data[[#This Row],[OrderHour]]&lt;12,"Morning",IF(Clean_Data[[#This Row],[OrderHour]]&lt;18,"Afternoon","Evening")))</f>
        <v>Morning</v>
      </c>
      <c r="T24" s="3" t="str">
        <f>TEXT(Clean_Data[[#This Row],[OrderDate]],"[$-409]ddd")</f>
        <v>Tue</v>
      </c>
      <c r="U24" s="3">
        <f>WEEKDAY(Clean_Data[[#This Row],[OrderDate]],2)</f>
        <v>2</v>
      </c>
      <c r="V24" s="3">
        <f>INT(Clean_Data[[#This Row],[OrderHour]]/6)+1</f>
        <v>2</v>
      </c>
      <c r="W24" s="3">
        <f>IF(Clean_Data[[#This Row],[Status]]="Delivered",1,0)</f>
        <v>0</v>
      </c>
      <c r="X24" s="3">
        <f>IF(Clean_Data[[#This Row],[Status]]="Delivered",IF(Clean_Data[[#This Row],[DeliveryMinutes]]&lt;=Dashboard!$X$5,1,0),0)</f>
        <v>0</v>
      </c>
      <c r="Y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" s="3">
        <f>IF(AND(Clean_Data[[#This Row],[Include]]=1,Clean_Data[[#This Row],[DeliveredFlag]]=1),1,0)</f>
        <v>0</v>
      </c>
      <c r="AA24" s="1">
        <f>IF(COUNTIF($D$2:D24,D24)=1,ROW()-1,ROWS(Clean_Data[OrderID])+1)</f>
        <v>23</v>
      </c>
      <c r="AB24" s="1">
        <f>IF(COUNTIF($F$2:F24,F24)=1,ROW()-1,ROWS(Clean_Data[OrderID])+1)</f>
        <v>901</v>
      </c>
      <c r="AC24" s="1">
        <f>IF(COUNTIF($G$2:G24,G24)=1,ROW()-1,ROWS(Clean_Data[OrderID])+1)</f>
        <v>901</v>
      </c>
      <c r="AD24" s="1">
        <f>IF(COUNTIF($H$2:H24,H24)=1,ROW()-1,ROWS(Clean_Data[OrderID])+1)</f>
        <v>901</v>
      </c>
      <c r="AE24" s="1">
        <f>IF(COUNTIF($V$2:V24,V24)=1,V24,ROWS(Clean_Data[OrderID])+1)</f>
        <v>901</v>
      </c>
      <c r="AF24" s="1">
        <f>IF(COUNTIF($U$2:U24,U24)=1,U24,ROWS(Clean_Data[OrderID])+1)</f>
        <v>901</v>
      </c>
      <c r="AG24" s="1">
        <f>IF(COUNTIF($E$2:E24,E24)=1,ROW()-1,ROWS(Clean_Data[OrderID])+1)</f>
        <v>901</v>
      </c>
    </row>
    <row r="25" spans="1:33" ht="20" customHeight="1">
      <c r="A25" s="3" t="s">
        <v>160</v>
      </c>
      <c r="B25" s="2">
        <v>46266</v>
      </c>
      <c r="C25" s="3">
        <v>20</v>
      </c>
      <c r="D25" s="3" t="s">
        <v>161</v>
      </c>
      <c r="E25" s="3" t="s">
        <v>91</v>
      </c>
      <c r="F25" s="3" t="s">
        <v>139</v>
      </c>
      <c r="G25" s="3" t="s">
        <v>135</v>
      </c>
      <c r="H25" s="3" t="s">
        <v>162</v>
      </c>
      <c r="I25" s="3">
        <v>1</v>
      </c>
      <c r="J25" s="11">
        <v>180</v>
      </c>
      <c r="K25" s="4">
        <v>0</v>
      </c>
      <c r="L25" s="3" t="s">
        <v>95</v>
      </c>
      <c r="M25" s="3">
        <v>34</v>
      </c>
      <c r="N25" s="3">
        <v>8</v>
      </c>
      <c r="O25" s="3">
        <v>3</v>
      </c>
      <c r="P25" s="11">
        <f>Clean_Data[[#This Row],[Quantity]]*Clean_Data[[#This Row],[UnitPrice]]</f>
        <v>180</v>
      </c>
      <c r="Q25" s="11">
        <f>ROUND(Clean_Data[[#This Row],[GrossSales]]*Clean_Data[[#This Row],[DiscountPct]],2)</f>
        <v>0</v>
      </c>
      <c r="R25" s="11">
        <f>IF(Clean_Data[[#This Row],[Status]]="Delivered",ROUND(Clean_Data[[#This Row],[GrossSales]]-Clean_Data[[#This Row],[DiscountAmount]],2),0)</f>
        <v>180</v>
      </c>
      <c r="S25" s="3" t="str">
        <f>IF(Clean_Data[[#This Row],[OrderHour]]&lt;6,"Night",IF(Clean_Data[[#This Row],[OrderHour]]&lt;12,"Morning",IF(Clean_Data[[#This Row],[OrderHour]]&lt;18,"Afternoon","Evening")))</f>
        <v>Evening</v>
      </c>
      <c r="T25" s="3" t="str">
        <f>TEXT(Clean_Data[[#This Row],[OrderDate]],"[$-409]ddd")</f>
        <v>Tue</v>
      </c>
      <c r="U25" s="3">
        <f>WEEKDAY(Clean_Data[[#This Row],[OrderDate]],2)</f>
        <v>2</v>
      </c>
      <c r="V25" s="3">
        <f>INT(Clean_Data[[#This Row],[OrderHour]]/6)+1</f>
        <v>4</v>
      </c>
      <c r="W25" s="3">
        <f>IF(Clean_Data[[#This Row],[Status]]="Delivered",1,0)</f>
        <v>1</v>
      </c>
      <c r="X25" s="3">
        <f>IF(Clean_Data[[#This Row],[Status]]="Delivered",IF(Clean_Data[[#This Row],[DeliveryMinutes]]&lt;=Dashboard!$X$5,1,0),0)</f>
        <v>0</v>
      </c>
      <c r="Y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" s="3">
        <f>IF(AND(Clean_Data[[#This Row],[Include]]=1,Clean_Data[[#This Row],[DeliveredFlag]]=1),1,0)</f>
        <v>1</v>
      </c>
      <c r="AA25" s="1">
        <f>IF(COUNTIF($D$2:D25,D25)=1,ROW()-1,ROWS(Clean_Data[OrderID])+1)</f>
        <v>24</v>
      </c>
      <c r="AB25" s="1">
        <f>IF(COUNTIF($F$2:F25,F25)=1,ROW()-1,ROWS(Clean_Data[OrderID])+1)</f>
        <v>901</v>
      </c>
      <c r="AC25" s="1">
        <f>IF(COUNTIF($G$2:G25,G25)=1,ROW()-1,ROWS(Clean_Data[OrderID])+1)</f>
        <v>901</v>
      </c>
      <c r="AD25" s="1">
        <f>IF(COUNTIF($H$2:H25,H25)=1,ROW()-1,ROWS(Clean_Data[OrderID])+1)</f>
        <v>24</v>
      </c>
      <c r="AE25" s="1">
        <f>IF(COUNTIF($V$2:V25,V25)=1,V25,ROWS(Clean_Data[OrderID])+1)</f>
        <v>901</v>
      </c>
      <c r="AF25" s="1">
        <f>IF(COUNTIF($U$2:U25,U25)=1,U25,ROWS(Clean_Data[OrderID])+1)</f>
        <v>901</v>
      </c>
      <c r="AG25" s="1">
        <f>IF(COUNTIF($E$2:E25,E25)=1,ROW()-1,ROWS(Clean_Data[OrderID])+1)</f>
        <v>901</v>
      </c>
    </row>
    <row r="26" spans="1:33" ht="20" customHeight="1">
      <c r="A26" s="3" t="s">
        <v>163</v>
      </c>
      <c r="B26" s="2">
        <v>46266</v>
      </c>
      <c r="C26" s="3">
        <v>17</v>
      </c>
      <c r="D26" s="3" t="s">
        <v>157</v>
      </c>
      <c r="E26" s="3" t="s">
        <v>91</v>
      </c>
      <c r="F26" s="3" t="s">
        <v>139</v>
      </c>
      <c r="G26" s="3" t="s">
        <v>99</v>
      </c>
      <c r="H26" s="3" t="s">
        <v>100</v>
      </c>
      <c r="I26" s="3">
        <v>1</v>
      </c>
      <c r="J26" s="11">
        <v>120</v>
      </c>
      <c r="K26" s="4">
        <v>0</v>
      </c>
      <c r="L26" s="3" t="s">
        <v>95</v>
      </c>
      <c r="M26" s="3">
        <v>25</v>
      </c>
      <c r="N26" s="3">
        <v>4</v>
      </c>
      <c r="O26" s="3">
        <v>4</v>
      </c>
      <c r="P26" s="11">
        <f>Clean_Data[[#This Row],[Quantity]]*Clean_Data[[#This Row],[UnitPrice]]</f>
        <v>120</v>
      </c>
      <c r="Q26" s="11">
        <f>ROUND(Clean_Data[[#This Row],[GrossSales]]*Clean_Data[[#This Row],[DiscountPct]],2)</f>
        <v>0</v>
      </c>
      <c r="R26" s="11">
        <f>IF(Clean_Data[[#This Row],[Status]]="Delivered",ROUND(Clean_Data[[#This Row],[GrossSales]]-Clean_Data[[#This Row],[DiscountAmount]],2),0)</f>
        <v>120</v>
      </c>
      <c r="S26" s="3" t="str">
        <f>IF(Clean_Data[[#This Row],[OrderHour]]&lt;6,"Night",IF(Clean_Data[[#This Row],[OrderHour]]&lt;12,"Morning",IF(Clean_Data[[#This Row],[OrderHour]]&lt;18,"Afternoon","Evening")))</f>
        <v>Afternoon</v>
      </c>
      <c r="T26" s="3" t="str">
        <f>TEXT(Clean_Data[[#This Row],[OrderDate]],"[$-409]ddd")</f>
        <v>Tue</v>
      </c>
      <c r="U26" s="3">
        <f>WEEKDAY(Clean_Data[[#This Row],[OrderDate]],2)</f>
        <v>2</v>
      </c>
      <c r="V26" s="3">
        <f>INT(Clean_Data[[#This Row],[OrderHour]]/6)+1</f>
        <v>3</v>
      </c>
      <c r="W26" s="3">
        <f>IF(Clean_Data[[#This Row],[Status]]="Delivered",1,0)</f>
        <v>1</v>
      </c>
      <c r="X26" s="3">
        <f>IF(Clean_Data[[#This Row],[Status]]="Delivered",IF(Clean_Data[[#This Row],[DeliveryMinutes]]&lt;=Dashboard!$X$5,1,0),0)</f>
        <v>1</v>
      </c>
      <c r="Y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" s="3">
        <f>IF(AND(Clean_Data[[#This Row],[Include]]=1,Clean_Data[[#This Row],[DeliveredFlag]]=1),1,0)</f>
        <v>1</v>
      </c>
      <c r="AA26" s="1">
        <f>IF(COUNTIF($D$2:D26,D26)=1,ROW()-1,ROWS(Clean_Data[OrderID])+1)</f>
        <v>901</v>
      </c>
      <c r="AB26" s="1">
        <f>IF(COUNTIF($F$2:F26,F26)=1,ROW()-1,ROWS(Clean_Data[OrderID])+1)</f>
        <v>901</v>
      </c>
      <c r="AC26" s="1">
        <f>IF(COUNTIF($G$2:G26,G26)=1,ROW()-1,ROWS(Clean_Data[OrderID])+1)</f>
        <v>901</v>
      </c>
      <c r="AD26" s="1">
        <f>IF(COUNTIF($H$2:H26,H26)=1,ROW()-1,ROWS(Clean_Data[OrderID])+1)</f>
        <v>901</v>
      </c>
      <c r="AE26" s="1">
        <f>IF(COUNTIF($V$2:V26,V26)=1,V26,ROWS(Clean_Data[OrderID])+1)</f>
        <v>901</v>
      </c>
      <c r="AF26" s="1">
        <f>IF(COUNTIF($U$2:U26,U26)=1,U26,ROWS(Clean_Data[OrderID])+1)</f>
        <v>901</v>
      </c>
      <c r="AG26" s="1">
        <f>IF(COUNTIF($E$2:E26,E26)=1,ROW()-1,ROWS(Clean_Data[OrderID])+1)</f>
        <v>901</v>
      </c>
    </row>
    <row r="27" spans="1:33" ht="20" customHeight="1">
      <c r="A27" s="3" t="s">
        <v>164</v>
      </c>
      <c r="B27" s="2">
        <v>46266</v>
      </c>
      <c r="C27" s="3">
        <v>22</v>
      </c>
      <c r="D27" s="3" t="s">
        <v>165</v>
      </c>
      <c r="E27" s="3" t="s">
        <v>91</v>
      </c>
      <c r="F27" s="3" t="s">
        <v>121</v>
      </c>
      <c r="G27" s="3" t="s">
        <v>135</v>
      </c>
      <c r="H27" s="3" t="s">
        <v>162</v>
      </c>
      <c r="I27" s="3">
        <v>2</v>
      </c>
      <c r="J27" s="11">
        <v>180</v>
      </c>
      <c r="K27" s="4">
        <v>0</v>
      </c>
      <c r="L27" s="3" t="s">
        <v>95</v>
      </c>
      <c r="M27" s="3">
        <v>20</v>
      </c>
      <c r="N27" s="3">
        <v>9</v>
      </c>
      <c r="O27" s="3">
        <v>5</v>
      </c>
      <c r="P27" s="11">
        <f>Clean_Data[[#This Row],[Quantity]]*Clean_Data[[#This Row],[UnitPrice]]</f>
        <v>360</v>
      </c>
      <c r="Q27" s="11">
        <f>ROUND(Clean_Data[[#This Row],[GrossSales]]*Clean_Data[[#This Row],[DiscountPct]],2)</f>
        <v>0</v>
      </c>
      <c r="R27" s="11">
        <f>IF(Clean_Data[[#This Row],[Status]]="Delivered",ROUND(Clean_Data[[#This Row],[GrossSales]]-Clean_Data[[#This Row],[DiscountAmount]],2),0)</f>
        <v>360</v>
      </c>
      <c r="S27" s="3" t="str">
        <f>IF(Clean_Data[[#This Row],[OrderHour]]&lt;6,"Night",IF(Clean_Data[[#This Row],[OrderHour]]&lt;12,"Morning",IF(Clean_Data[[#This Row],[OrderHour]]&lt;18,"Afternoon","Evening")))</f>
        <v>Evening</v>
      </c>
      <c r="T27" s="3" t="str">
        <f>TEXT(Clean_Data[[#This Row],[OrderDate]],"[$-409]ddd")</f>
        <v>Tue</v>
      </c>
      <c r="U27" s="3">
        <f>WEEKDAY(Clean_Data[[#This Row],[OrderDate]],2)</f>
        <v>2</v>
      </c>
      <c r="V27" s="3">
        <f>INT(Clean_Data[[#This Row],[OrderHour]]/6)+1</f>
        <v>4</v>
      </c>
      <c r="W27" s="3">
        <f>IF(Clean_Data[[#This Row],[Status]]="Delivered",1,0)</f>
        <v>1</v>
      </c>
      <c r="X27" s="3">
        <f>IF(Clean_Data[[#This Row],[Status]]="Delivered",IF(Clean_Data[[#This Row],[DeliveryMinutes]]&lt;=Dashboard!$X$5,1,0),0)</f>
        <v>1</v>
      </c>
      <c r="Y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" s="3">
        <f>IF(AND(Clean_Data[[#This Row],[Include]]=1,Clean_Data[[#This Row],[DeliveredFlag]]=1),1,0)</f>
        <v>1</v>
      </c>
      <c r="AA27" s="1">
        <f>IF(COUNTIF($D$2:D27,D27)=1,ROW()-1,ROWS(Clean_Data[OrderID])+1)</f>
        <v>26</v>
      </c>
      <c r="AB27" s="1">
        <f>IF(COUNTIF($F$2:F27,F27)=1,ROW()-1,ROWS(Clean_Data[OrderID])+1)</f>
        <v>901</v>
      </c>
      <c r="AC27" s="1">
        <f>IF(COUNTIF($G$2:G27,G27)=1,ROW()-1,ROWS(Clean_Data[OrderID])+1)</f>
        <v>901</v>
      </c>
      <c r="AD27" s="1">
        <f>IF(COUNTIF($H$2:H27,H27)=1,ROW()-1,ROWS(Clean_Data[OrderID])+1)</f>
        <v>901</v>
      </c>
      <c r="AE27" s="1">
        <f>IF(COUNTIF($V$2:V27,V27)=1,V27,ROWS(Clean_Data[OrderID])+1)</f>
        <v>901</v>
      </c>
      <c r="AF27" s="1">
        <f>IF(COUNTIF($U$2:U27,U27)=1,U27,ROWS(Clean_Data[OrderID])+1)</f>
        <v>901</v>
      </c>
      <c r="AG27" s="1">
        <f>IF(COUNTIF($E$2:E27,E27)=1,ROW()-1,ROWS(Clean_Data[OrderID])+1)</f>
        <v>901</v>
      </c>
    </row>
    <row r="28" spans="1:33" ht="20" customHeight="1">
      <c r="A28" s="3" t="s">
        <v>166</v>
      </c>
      <c r="B28" s="2">
        <v>46266</v>
      </c>
      <c r="C28" s="3">
        <v>15</v>
      </c>
      <c r="D28" s="3" t="s">
        <v>167</v>
      </c>
      <c r="E28" s="3" t="s">
        <v>91</v>
      </c>
      <c r="F28" s="3" t="s">
        <v>121</v>
      </c>
      <c r="G28" s="3" t="s">
        <v>99</v>
      </c>
      <c r="H28" s="3" t="s">
        <v>100</v>
      </c>
      <c r="I28" s="3">
        <v>5</v>
      </c>
      <c r="J28" s="11">
        <v>120</v>
      </c>
      <c r="K28" s="4">
        <v>0</v>
      </c>
      <c r="L28" s="3" t="s">
        <v>95</v>
      </c>
      <c r="M28" s="3">
        <v>22</v>
      </c>
      <c r="N28" s="3">
        <v>7</v>
      </c>
      <c r="O28" s="3">
        <v>5</v>
      </c>
      <c r="P28" s="11">
        <f>Clean_Data[[#This Row],[Quantity]]*Clean_Data[[#This Row],[UnitPrice]]</f>
        <v>600</v>
      </c>
      <c r="Q28" s="11">
        <f>ROUND(Clean_Data[[#This Row],[GrossSales]]*Clean_Data[[#This Row],[DiscountPct]],2)</f>
        <v>0</v>
      </c>
      <c r="R28" s="11">
        <f>IF(Clean_Data[[#This Row],[Status]]="Delivered",ROUND(Clean_Data[[#This Row],[GrossSales]]-Clean_Data[[#This Row],[DiscountAmount]],2),0)</f>
        <v>600</v>
      </c>
      <c r="S28" s="3" t="str">
        <f>IF(Clean_Data[[#This Row],[OrderHour]]&lt;6,"Night",IF(Clean_Data[[#This Row],[OrderHour]]&lt;12,"Morning",IF(Clean_Data[[#This Row],[OrderHour]]&lt;18,"Afternoon","Evening")))</f>
        <v>Afternoon</v>
      </c>
      <c r="T28" s="3" t="str">
        <f>TEXT(Clean_Data[[#This Row],[OrderDate]],"[$-409]ddd")</f>
        <v>Tue</v>
      </c>
      <c r="U28" s="3">
        <f>WEEKDAY(Clean_Data[[#This Row],[OrderDate]],2)</f>
        <v>2</v>
      </c>
      <c r="V28" s="3">
        <f>INT(Clean_Data[[#This Row],[OrderHour]]/6)+1</f>
        <v>3</v>
      </c>
      <c r="W28" s="3">
        <f>IF(Clean_Data[[#This Row],[Status]]="Delivered",1,0)</f>
        <v>1</v>
      </c>
      <c r="X28" s="3">
        <f>IF(Clean_Data[[#This Row],[Status]]="Delivered",IF(Clean_Data[[#This Row],[DeliveryMinutes]]&lt;=Dashboard!$X$5,1,0),0)</f>
        <v>1</v>
      </c>
      <c r="Y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" s="3">
        <f>IF(AND(Clean_Data[[#This Row],[Include]]=1,Clean_Data[[#This Row],[DeliveredFlag]]=1),1,0)</f>
        <v>1</v>
      </c>
      <c r="AA28" s="1">
        <f>IF(COUNTIF($D$2:D28,D28)=1,ROW()-1,ROWS(Clean_Data[OrderID])+1)</f>
        <v>27</v>
      </c>
      <c r="AB28" s="1">
        <f>IF(COUNTIF($F$2:F28,F28)=1,ROW()-1,ROWS(Clean_Data[OrderID])+1)</f>
        <v>901</v>
      </c>
      <c r="AC28" s="1">
        <f>IF(COUNTIF($G$2:G28,G28)=1,ROW()-1,ROWS(Clean_Data[OrderID])+1)</f>
        <v>901</v>
      </c>
      <c r="AD28" s="1">
        <f>IF(COUNTIF($H$2:H28,H28)=1,ROW()-1,ROWS(Clean_Data[OrderID])+1)</f>
        <v>901</v>
      </c>
      <c r="AE28" s="1">
        <f>IF(COUNTIF($V$2:V28,V28)=1,V28,ROWS(Clean_Data[OrderID])+1)</f>
        <v>901</v>
      </c>
      <c r="AF28" s="1">
        <f>IF(COUNTIF($U$2:U28,U28)=1,U28,ROWS(Clean_Data[OrderID])+1)</f>
        <v>901</v>
      </c>
      <c r="AG28" s="1">
        <f>IF(COUNTIF($E$2:E28,E28)=1,ROW()-1,ROWS(Clean_Data[OrderID])+1)</f>
        <v>901</v>
      </c>
    </row>
    <row r="29" spans="1:33" ht="20" customHeight="1">
      <c r="A29" s="3" t="s">
        <v>168</v>
      </c>
      <c r="B29" s="2">
        <v>46266</v>
      </c>
      <c r="C29" s="3">
        <v>18</v>
      </c>
      <c r="D29" s="3" t="s">
        <v>169</v>
      </c>
      <c r="E29" s="3" t="s">
        <v>91</v>
      </c>
      <c r="F29" s="3" t="s">
        <v>139</v>
      </c>
      <c r="G29" s="3" t="s">
        <v>93</v>
      </c>
      <c r="H29" s="3" t="s">
        <v>146</v>
      </c>
      <c r="I29" s="3">
        <v>3</v>
      </c>
      <c r="J29" s="11">
        <v>110</v>
      </c>
      <c r="K29" s="4">
        <v>0.15</v>
      </c>
      <c r="L29" s="3" t="s">
        <v>95</v>
      </c>
      <c r="M29" s="3">
        <v>34</v>
      </c>
      <c r="N29" s="3">
        <v>9</v>
      </c>
      <c r="O29" s="3">
        <v>5</v>
      </c>
      <c r="P29" s="11">
        <f>Clean_Data[[#This Row],[Quantity]]*Clean_Data[[#This Row],[UnitPrice]]</f>
        <v>330</v>
      </c>
      <c r="Q29" s="11">
        <f>ROUND(Clean_Data[[#This Row],[GrossSales]]*Clean_Data[[#This Row],[DiscountPct]],2)</f>
        <v>49.5</v>
      </c>
      <c r="R29" s="11">
        <f>IF(Clean_Data[[#This Row],[Status]]="Delivered",ROUND(Clean_Data[[#This Row],[GrossSales]]-Clean_Data[[#This Row],[DiscountAmount]],2),0)</f>
        <v>280.5</v>
      </c>
      <c r="S29" s="3" t="str">
        <f>IF(Clean_Data[[#This Row],[OrderHour]]&lt;6,"Night",IF(Clean_Data[[#This Row],[OrderHour]]&lt;12,"Morning",IF(Clean_Data[[#This Row],[OrderHour]]&lt;18,"Afternoon","Evening")))</f>
        <v>Evening</v>
      </c>
      <c r="T29" s="3" t="str">
        <f>TEXT(Clean_Data[[#This Row],[OrderDate]],"[$-409]ddd")</f>
        <v>Tue</v>
      </c>
      <c r="U29" s="3">
        <f>WEEKDAY(Clean_Data[[#This Row],[OrderDate]],2)</f>
        <v>2</v>
      </c>
      <c r="V29" s="3">
        <f>INT(Clean_Data[[#This Row],[OrderHour]]/6)+1</f>
        <v>4</v>
      </c>
      <c r="W29" s="3">
        <f>IF(Clean_Data[[#This Row],[Status]]="Delivered",1,0)</f>
        <v>1</v>
      </c>
      <c r="X29" s="3">
        <f>IF(Clean_Data[[#This Row],[Status]]="Delivered",IF(Clean_Data[[#This Row],[DeliveryMinutes]]&lt;=Dashboard!$X$5,1,0),0)</f>
        <v>0</v>
      </c>
      <c r="Y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" s="3">
        <f>IF(AND(Clean_Data[[#This Row],[Include]]=1,Clean_Data[[#This Row],[DeliveredFlag]]=1),1,0)</f>
        <v>1</v>
      </c>
      <c r="AA29" s="1">
        <f>IF(COUNTIF($D$2:D29,D29)=1,ROW()-1,ROWS(Clean_Data[OrderID])+1)</f>
        <v>28</v>
      </c>
      <c r="AB29" s="1">
        <f>IF(COUNTIF($F$2:F29,F29)=1,ROW()-1,ROWS(Clean_Data[OrderID])+1)</f>
        <v>901</v>
      </c>
      <c r="AC29" s="1">
        <f>IF(COUNTIF($G$2:G29,G29)=1,ROW()-1,ROWS(Clean_Data[OrderID])+1)</f>
        <v>901</v>
      </c>
      <c r="AD29" s="1">
        <f>IF(COUNTIF($H$2:H29,H29)=1,ROW()-1,ROWS(Clean_Data[OrderID])+1)</f>
        <v>901</v>
      </c>
      <c r="AE29" s="1">
        <f>IF(COUNTIF($V$2:V29,V29)=1,V29,ROWS(Clean_Data[OrderID])+1)</f>
        <v>901</v>
      </c>
      <c r="AF29" s="1">
        <f>IF(COUNTIF($U$2:U29,U29)=1,U29,ROWS(Clean_Data[OrderID])+1)</f>
        <v>901</v>
      </c>
      <c r="AG29" s="1">
        <f>IF(COUNTIF($E$2:E29,E29)=1,ROW()-1,ROWS(Clean_Data[OrderID])+1)</f>
        <v>901</v>
      </c>
    </row>
    <row r="30" spans="1:33" ht="20" customHeight="1">
      <c r="A30" s="3" t="s">
        <v>170</v>
      </c>
      <c r="B30" s="2">
        <v>46266</v>
      </c>
      <c r="C30" s="3">
        <v>14</v>
      </c>
      <c r="D30" s="3" t="s">
        <v>171</v>
      </c>
      <c r="E30" s="3" t="s">
        <v>91</v>
      </c>
      <c r="F30" s="3" t="s">
        <v>92</v>
      </c>
      <c r="G30" s="3" t="s">
        <v>93</v>
      </c>
      <c r="H30" s="3" t="s">
        <v>146</v>
      </c>
      <c r="I30" s="3">
        <v>6</v>
      </c>
      <c r="J30" s="11">
        <v>110</v>
      </c>
      <c r="K30" s="4">
        <v>0</v>
      </c>
      <c r="L30" s="3" t="s">
        <v>95</v>
      </c>
      <c r="M30" s="3">
        <v>22</v>
      </c>
      <c r="N30" s="3">
        <v>15</v>
      </c>
      <c r="O30" s="3">
        <v>3</v>
      </c>
      <c r="P30" s="11">
        <f>Clean_Data[[#This Row],[Quantity]]*Clean_Data[[#This Row],[UnitPrice]]</f>
        <v>660</v>
      </c>
      <c r="Q30" s="11">
        <f>ROUND(Clean_Data[[#This Row],[GrossSales]]*Clean_Data[[#This Row],[DiscountPct]],2)</f>
        <v>0</v>
      </c>
      <c r="R30" s="11">
        <f>IF(Clean_Data[[#This Row],[Status]]="Delivered",ROUND(Clean_Data[[#This Row],[GrossSales]]-Clean_Data[[#This Row],[DiscountAmount]],2),0)</f>
        <v>660</v>
      </c>
      <c r="S30" s="3" t="str">
        <f>IF(Clean_Data[[#This Row],[OrderHour]]&lt;6,"Night",IF(Clean_Data[[#This Row],[OrderHour]]&lt;12,"Morning",IF(Clean_Data[[#This Row],[OrderHour]]&lt;18,"Afternoon","Evening")))</f>
        <v>Afternoon</v>
      </c>
      <c r="T30" s="3" t="str">
        <f>TEXT(Clean_Data[[#This Row],[OrderDate]],"[$-409]ddd")</f>
        <v>Tue</v>
      </c>
      <c r="U30" s="3">
        <f>WEEKDAY(Clean_Data[[#This Row],[OrderDate]],2)</f>
        <v>2</v>
      </c>
      <c r="V30" s="3">
        <f>INT(Clean_Data[[#This Row],[OrderHour]]/6)+1</f>
        <v>3</v>
      </c>
      <c r="W30" s="3">
        <f>IF(Clean_Data[[#This Row],[Status]]="Delivered",1,0)</f>
        <v>1</v>
      </c>
      <c r="X30" s="3">
        <f>IF(Clean_Data[[#This Row],[Status]]="Delivered",IF(Clean_Data[[#This Row],[DeliveryMinutes]]&lt;=Dashboard!$X$5,1,0),0)</f>
        <v>1</v>
      </c>
      <c r="Y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" s="3">
        <f>IF(AND(Clean_Data[[#This Row],[Include]]=1,Clean_Data[[#This Row],[DeliveredFlag]]=1),1,0)</f>
        <v>1</v>
      </c>
      <c r="AA30" s="1">
        <f>IF(COUNTIF($D$2:D30,D30)=1,ROW()-1,ROWS(Clean_Data[OrderID])+1)</f>
        <v>29</v>
      </c>
      <c r="AB30" s="1">
        <f>IF(COUNTIF($F$2:F30,F30)=1,ROW()-1,ROWS(Clean_Data[OrderID])+1)</f>
        <v>901</v>
      </c>
      <c r="AC30" s="1">
        <f>IF(COUNTIF($G$2:G30,G30)=1,ROW()-1,ROWS(Clean_Data[OrderID])+1)</f>
        <v>901</v>
      </c>
      <c r="AD30" s="1">
        <f>IF(COUNTIF($H$2:H30,H30)=1,ROW()-1,ROWS(Clean_Data[OrderID])+1)</f>
        <v>901</v>
      </c>
      <c r="AE30" s="1">
        <f>IF(COUNTIF($V$2:V30,V30)=1,V30,ROWS(Clean_Data[OrderID])+1)</f>
        <v>901</v>
      </c>
      <c r="AF30" s="1">
        <f>IF(COUNTIF($U$2:U30,U30)=1,U30,ROWS(Clean_Data[OrderID])+1)</f>
        <v>901</v>
      </c>
      <c r="AG30" s="1">
        <f>IF(COUNTIF($E$2:E30,E30)=1,ROW()-1,ROWS(Clean_Data[OrderID])+1)</f>
        <v>901</v>
      </c>
    </row>
    <row r="31" spans="1:33" ht="20" customHeight="1">
      <c r="A31" s="3" t="s">
        <v>172</v>
      </c>
      <c r="B31" s="2">
        <v>46266</v>
      </c>
      <c r="C31" s="3">
        <v>8</v>
      </c>
      <c r="D31" s="3" t="s">
        <v>173</v>
      </c>
      <c r="E31" s="3" t="s">
        <v>91</v>
      </c>
      <c r="F31" s="3" t="s">
        <v>109</v>
      </c>
      <c r="G31" s="3" t="s">
        <v>174</v>
      </c>
      <c r="H31" s="3" t="s">
        <v>175</v>
      </c>
      <c r="I31" s="3">
        <v>6</v>
      </c>
      <c r="J31" s="11">
        <v>155</v>
      </c>
      <c r="K31" s="4">
        <v>0.05</v>
      </c>
      <c r="L31" s="3" t="s">
        <v>95</v>
      </c>
      <c r="M31" s="3">
        <v>16</v>
      </c>
      <c r="N31" s="3">
        <v>9</v>
      </c>
      <c r="O31" s="3">
        <v>5</v>
      </c>
      <c r="P31" s="11">
        <f>Clean_Data[[#This Row],[Quantity]]*Clean_Data[[#This Row],[UnitPrice]]</f>
        <v>930</v>
      </c>
      <c r="Q31" s="11">
        <f>ROUND(Clean_Data[[#This Row],[GrossSales]]*Clean_Data[[#This Row],[DiscountPct]],2)</f>
        <v>46.5</v>
      </c>
      <c r="R31" s="11">
        <f>IF(Clean_Data[[#This Row],[Status]]="Delivered",ROUND(Clean_Data[[#This Row],[GrossSales]]-Clean_Data[[#This Row],[DiscountAmount]],2),0)</f>
        <v>883.5</v>
      </c>
      <c r="S31" s="3" t="str">
        <f>IF(Clean_Data[[#This Row],[OrderHour]]&lt;6,"Night",IF(Clean_Data[[#This Row],[OrderHour]]&lt;12,"Morning",IF(Clean_Data[[#This Row],[OrderHour]]&lt;18,"Afternoon","Evening")))</f>
        <v>Morning</v>
      </c>
      <c r="T31" s="3" t="str">
        <f>TEXT(Clean_Data[[#This Row],[OrderDate]],"[$-409]ddd")</f>
        <v>Tue</v>
      </c>
      <c r="U31" s="3">
        <f>WEEKDAY(Clean_Data[[#This Row],[OrderDate]],2)</f>
        <v>2</v>
      </c>
      <c r="V31" s="3">
        <f>INT(Clean_Data[[#This Row],[OrderHour]]/6)+1</f>
        <v>2</v>
      </c>
      <c r="W31" s="3">
        <f>IF(Clean_Data[[#This Row],[Status]]="Delivered",1,0)</f>
        <v>1</v>
      </c>
      <c r="X31" s="3">
        <f>IF(Clean_Data[[#This Row],[Status]]="Delivered",IF(Clean_Data[[#This Row],[DeliveryMinutes]]&lt;=Dashboard!$X$5,1,0),0)</f>
        <v>1</v>
      </c>
      <c r="Y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" s="3">
        <f>IF(AND(Clean_Data[[#This Row],[Include]]=1,Clean_Data[[#This Row],[DeliveredFlag]]=1),1,0)</f>
        <v>1</v>
      </c>
      <c r="AA31" s="1">
        <f>IF(COUNTIF($D$2:D31,D31)=1,ROW()-1,ROWS(Clean_Data[OrderID])+1)</f>
        <v>30</v>
      </c>
      <c r="AB31" s="1">
        <f>IF(COUNTIF($F$2:F31,F31)=1,ROW()-1,ROWS(Clean_Data[OrderID])+1)</f>
        <v>901</v>
      </c>
      <c r="AC31" s="1">
        <f>IF(COUNTIF($G$2:G31,G31)=1,ROW()-1,ROWS(Clean_Data[OrderID])+1)</f>
        <v>30</v>
      </c>
      <c r="AD31" s="1">
        <f>IF(COUNTIF($H$2:H31,H31)=1,ROW()-1,ROWS(Clean_Data[OrderID])+1)</f>
        <v>30</v>
      </c>
      <c r="AE31" s="1">
        <f>IF(COUNTIF($V$2:V31,V31)=1,V31,ROWS(Clean_Data[OrderID])+1)</f>
        <v>901</v>
      </c>
      <c r="AF31" s="1">
        <f>IF(COUNTIF($U$2:U31,U31)=1,U31,ROWS(Clean_Data[OrderID])+1)</f>
        <v>901</v>
      </c>
      <c r="AG31" s="1">
        <f>IF(COUNTIF($E$2:E31,E31)=1,ROW()-1,ROWS(Clean_Data[OrderID])+1)</f>
        <v>901</v>
      </c>
    </row>
    <row r="32" spans="1:33" ht="20" customHeight="1">
      <c r="A32" s="3" t="s">
        <v>176</v>
      </c>
      <c r="B32" s="2">
        <v>46267</v>
      </c>
      <c r="C32" s="3">
        <v>21</v>
      </c>
      <c r="D32" s="3" t="s">
        <v>177</v>
      </c>
      <c r="E32" s="3" t="s">
        <v>117</v>
      </c>
      <c r="F32" s="3" t="s">
        <v>121</v>
      </c>
      <c r="G32" s="3" t="s">
        <v>110</v>
      </c>
      <c r="H32" s="3" t="s">
        <v>114</v>
      </c>
      <c r="I32" s="3">
        <v>1</v>
      </c>
      <c r="J32" s="11">
        <v>145</v>
      </c>
      <c r="K32" s="4">
        <v>0.1</v>
      </c>
      <c r="L32" s="3" t="s">
        <v>95</v>
      </c>
      <c r="M32" s="3">
        <v>13</v>
      </c>
      <c r="N32" s="3">
        <v>14</v>
      </c>
      <c r="O32" s="3">
        <v>5</v>
      </c>
      <c r="P32" s="11">
        <f>Clean_Data[[#This Row],[Quantity]]*Clean_Data[[#This Row],[UnitPrice]]</f>
        <v>145</v>
      </c>
      <c r="Q32" s="11">
        <f>ROUND(Clean_Data[[#This Row],[GrossSales]]*Clean_Data[[#This Row],[DiscountPct]],2)</f>
        <v>14.5</v>
      </c>
      <c r="R32" s="11">
        <f>IF(Clean_Data[[#This Row],[Status]]="Delivered",ROUND(Clean_Data[[#This Row],[GrossSales]]-Clean_Data[[#This Row],[DiscountAmount]],2),0)</f>
        <v>130.5</v>
      </c>
      <c r="S32" s="3" t="str">
        <f>IF(Clean_Data[[#This Row],[OrderHour]]&lt;6,"Night",IF(Clean_Data[[#This Row],[OrderHour]]&lt;12,"Morning",IF(Clean_Data[[#This Row],[OrderHour]]&lt;18,"Afternoon","Evening")))</f>
        <v>Evening</v>
      </c>
      <c r="T32" s="3" t="str">
        <f>TEXT(Clean_Data[[#This Row],[OrderDate]],"[$-409]ddd")</f>
        <v>Wed</v>
      </c>
      <c r="U32" s="3">
        <f>WEEKDAY(Clean_Data[[#This Row],[OrderDate]],2)</f>
        <v>3</v>
      </c>
      <c r="V32" s="3">
        <f>INT(Clean_Data[[#This Row],[OrderHour]]/6)+1</f>
        <v>4</v>
      </c>
      <c r="W32" s="3">
        <f>IF(Clean_Data[[#This Row],[Status]]="Delivered",1,0)</f>
        <v>1</v>
      </c>
      <c r="X32" s="3">
        <f>IF(Clean_Data[[#This Row],[Status]]="Delivered",IF(Clean_Data[[#This Row],[DeliveryMinutes]]&lt;=Dashboard!$X$5,1,0),0)</f>
        <v>1</v>
      </c>
      <c r="Y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" s="3">
        <f>IF(AND(Clean_Data[[#This Row],[Include]]=1,Clean_Data[[#This Row],[DeliveredFlag]]=1),1,0)</f>
        <v>1</v>
      </c>
      <c r="AA32" s="1">
        <f>IF(COUNTIF($D$2:D32,D32)=1,ROW()-1,ROWS(Clean_Data[OrderID])+1)</f>
        <v>31</v>
      </c>
      <c r="AB32" s="1">
        <f>IF(COUNTIF($F$2:F32,F32)=1,ROW()-1,ROWS(Clean_Data[OrderID])+1)</f>
        <v>901</v>
      </c>
      <c r="AC32" s="1">
        <f>IF(COUNTIF($G$2:G32,G32)=1,ROW()-1,ROWS(Clean_Data[OrderID])+1)</f>
        <v>901</v>
      </c>
      <c r="AD32" s="1">
        <f>IF(COUNTIF($H$2:H32,H32)=1,ROW()-1,ROWS(Clean_Data[OrderID])+1)</f>
        <v>901</v>
      </c>
      <c r="AE32" s="1">
        <f>IF(COUNTIF($V$2:V32,V32)=1,V32,ROWS(Clean_Data[OrderID])+1)</f>
        <v>901</v>
      </c>
      <c r="AF32" s="1">
        <f>IF(COUNTIF($U$2:U32,U32)=1,U32,ROWS(Clean_Data[OrderID])+1)</f>
        <v>3</v>
      </c>
      <c r="AG32" s="1">
        <f>IF(COUNTIF($E$2:E32,E32)=1,ROW()-1,ROWS(Clean_Data[OrderID])+1)</f>
        <v>901</v>
      </c>
    </row>
    <row r="33" spans="1:33" ht="20" customHeight="1">
      <c r="A33" s="3" t="s">
        <v>178</v>
      </c>
      <c r="B33" s="2">
        <v>46267</v>
      </c>
      <c r="C33" s="3">
        <v>18</v>
      </c>
      <c r="D33" s="3" t="s">
        <v>179</v>
      </c>
      <c r="E33" s="3" t="s">
        <v>91</v>
      </c>
      <c r="F33" s="3" t="s">
        <v>98</v>
      </c>
      <c r="G33" s="3" t="s">
        <v>110</v>
      </c>
      <c r="H33" s="3" t="s">
        <v>111</v>
      </c>
      <c r="I33" s="3">
        <v>5</v>
      </c>
      <c r="J33" s="11">
        <v>115</v>
      </c>
      <c r="K33" s="4">
        <v>0</v>
      </c>
      <c r="L33" s="3" t="s">
        <v>95</v>
      </c>
      <c r="M33" s="3">
        <v>13</v>
      </c>
      <c r="N33" s="3">
        <v>14</v>
      </c>
      <c r="O33" s="3">
        <v>4</v>
      </c>
      <c r="P33" s="11">
        <f>Clean_Data[[#This Row],[Quantity]]*Clean_Data[[#This Row],[UnitPrice]]</f>
        <v>575</v>
      </c>
      <c r="Q33" s="11">
        <f>ROUND(Clean_Data[[#This Row],[GrossSales]]*Clean_Data[[#This Row],[DiscountPct]],2)</f>
        <v>0</v>
      </c>
      <c r="R33" s="11">
        <f>IF(Clean_Data[[#This Row],[Status]]="Delivered",ROUND(Clean_Data[[#This Row],[GrossSales]]-Clean_Data[[#This Row],[DiscountAmount]],2),0)</f>
        <v>575</v>
      </c>
      <c r="S33" s="3" t="str">
        <f>IF(Clean_Data[[#This Row],[OrderHour]]&lt;6,"Night",IF(Clean_Data[[#This Row],[OrderHour]]&lt;12,"Morning",IF(Clean_Data[[#This Row],[OrderHour]]&lt;18,"Afternoon","Evening")))</f>
        <v>Evening</v>
      </c>
      <c r="T33" s="3" t="str">
        <f>TEXT(Clean_Data[[#This Row],[OrderDate]],"[$-409]ddd")</f>
        <v>Wed</v>
      </c>
      <c r="U33" s="3">
        <f>WEEKDAY(Clean_Data[[#This Row],[OrderDate]],2)</f>
        <v>3</v>
      </c>
      <c r="V33" s="3">
        <f>INT(Clean_Data[[#This Row],[OrderHour]]/6)+1</f>
        <v>4</v>
      </c>
      <c r="W33" s="3">
        <f>IF(Clean_Data[[#This Row],[Status]]="Delivered",1,0)</f>
        <v>1</v>
      </c>
      <c r="X33" s="3">
        <f>IF(Clean_Data[[#This Row],[Status]]="Delivered",IF(Clean_Data[[#This Row],[DeliveryMinutes]]&lt;=Dashboard!$X$5,1,0),0)</f>
        <v>1</v>
      </c>
      <c r="Y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" s="3">
        <f>IF(AND(Clean_Data[[#This Row],[Include]]=1,Clean_Data[[#This Row],[DeliveredFlag]]=1),1,0)</f>
        <v>1</v>
      </c>
      <c r="AA33" s="1">
        <f>IF(COUNTIF($D$2:D33,D33)=1,ROW()-1,ROWS(Clean_Data[OrderID])+1)</f>
        <v>32</v>
      </c>
      <c r="AB33" s="1">
        <f>IF(COUNTIF($F$2:F33,F33)=1,ROW()-1,ROWS(Clean_Data[OrderID])+1)</f>
        <v>901</v>
      </c>
      <c r="AC33" s="1">
        <f>IF(COUNTIF($G$2:G33,G33)=1,ROW()-1,ROWS(Clean_Data[OrderID])+1)</f>
        <v>901</v>
      </c>
      <c r="AD33" s="1">
        <f>IF(COUNTIF($H$2:H33,H33)=1,ROW()-1,ROWS(Clean_Data[OrderID])+1)</f>
        <v>901</v>
      </c>
      <c r="AE33" s="1">
        <f>IF(COUNTIF($V$2:V33,V33)=1,V33,ROWS(Clean_Data[OrderID])+1)</f>
        <v>901</v>
      </c>
      <c r="AF33" s="1">
        <f>IF(COUNTIF($U$2:U33,U33)=1,U33,ROWS(Clean_Data[OrderID])+1)</f>
        <v>901</v>
      </c>
      <c r="AG33" s="1">
        <f>IF(COUNTIF($E$2:E33,E33)=1,ROW()-1,ROWS(Clean_Data[OrderID])+1)</f>
        <v>901</v>
      </c>
    </row>
    <row r="34" spans="1:33" ht="20" customHeight="1">
      <c r="A34" s="3" t="s">
        <v>180</v>
      </c>
      <c r="B34" s="2">
        <v>46267</v>
      </c>
      <c r="C34" s="3">
        <v>18</v>
      </c>
      <c r="D34" s="3" t="s">
        <v>181</v>
      </c>
      <c r="E34" s="3" t="s">
        <v>117</v>
      </c>
      <c r="F34" s="3" t="s">
        <v>92</v>
      </c>
      <c r="G34" s="3" t="s">
        <v>110</v>
      </c>
      <c r="H34" s="3" t="s">
        <v>114</v>
      </c>
      <c r="I34" s="3">
        <v>6</v>
      </c>
      <c r="J34" s="11">
        <v>145</v>
      </c>
      <c r="K34" s="4">
        <v>0.15</v>
      </c>
      <c r="L34" s="3" t="s">
        <v>95</v>
      </c>
      <c r="M34" s="3">
        <v>24</v>
      </c>
      <c r="N34" s="3">
        <v>8</v>
      </c>
      <c r="O34" s="3">
        <v>3</v>
      </c>
      <c r="P34" s="11">
        <f>Clean_Data[[#This Row],[Quantity]]*Clean_Data[[#This Row],[UnitPrice]]</f>
        <v>870</v>
      </c>
      <c r="Q34" s="11">
        <f>ROUND(Clean_Data[[#This Row],[GrossSales]]*Clean_Data[[#This Row],[DiscountPct]],2)</f>
        <v>130.5</v>
      </c>
      <c r="R34" s="11">
        <f>IF(Clean_Data[[#This Row],[Status]]="Delivered",ROUND(Clean_Data[[#This Row],[GrossSales]]-Clean_Data[[#This Row],[DiscountAmount]],2),0)</f>
        <v>739.5</v>
      </c>
      <c r="S34" s="3" t="str">
        <f>IF(Clean_Data[[#This Row],[OrderHour]]&lt;6,"Night",IF(Clean_Data[[#This Row],[OrderHour]]&lt;12,"Morning",IF(Clean_Data[[#This Row],[OrderHour]]&lt;18,"Afternoon","Evening")))</f>
        <v>Evening</v>
      </c>
      <c r="T34" s="3" t="str">
        <f>TEXT(Clean_Data[[#This Row],[OrderDate]],"[$-409]ddd")</f>
        <v>Wed</v>
      </c>
      <c r="U34" s="3">
        <f>WEEKDAY(Clean_Data[[#This Row],[OrderDate]],2)</f>
        <v>3</v>
      </c>
      <c r="V34" s="3">
        <f>INT(Clean_Data[[#This Row],[OrderHour]]/6)+1</f>
        <v>4</v>
      </c>
      <c r="W34" s="3">
        <f>IF(Clean_Data[[#This Row],[Status]]="Delivered",1,0)</f>
        <v>1</v>
      </c>
      <c r="X34" s="3">
        <f>IF(Clean_Data[[#This Row],[Status]]="Delivered",IF(Clean_Data[[#This Row],[DeliveryMinutes]]&lt;=Dashboard!$X$5,1,0),0)</f>
        <v>1</v>
      </c>
      <c r="Y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" s="3">
        <f>IF(AND(Clean_Data[[#This Row],[Include]]=1,Clean_Data[[#This Row],[DeliveredFlag]]=1),1,0)</f>
        <v>1</v>
      </c>
      <c r="AA34" s="1">
        <f>IF(COUNTIF($D$2:D34,D34)=1,ROW()-1,ROWS(Clean_Data[OrderID])+1)</f>
        <v>33</v>
      </c>
      <c r="AB34" s="1">
        <f>IF(COUNTIF($F$2:F34,F34)=1,ROW()-1,ROWS(Clean_Data[OrderID])+1)</f>
        <v>901</v>
      </c>
      <c r="AC34" s="1">
        <f>IF(COUNTIF($G$2:G34,G34)=1,ROW()-1,ROWS(Clean_Data[OrderID])+1)</f>
        <v>901</v>
      </c>
      <c r="AD34" s="1">
        <f>IF(COUNTIF($H$2:H34,H34)=1,ROW()-1,ROWS(Clean_Data[OrderID])+1)</f>
        <v>901</v>
      </c>
      <c r="AE34" s="1">
        <f>IF(COUNTIF($V$2:V34,V34)=1,V34,ROWS(Clean_Data[OrderID])+1)</f>
        <v>901</v>
      </c>
      <c r="AF34" s="1">
        <f>IF(COUNTIF($U$2:U34,U34)=1,U34,ROWS(Clean_Data[OrderID])+1)</f>
        <v>901</v>
      </c>
      <c r="AG34" s="1">
        <f>IF(COUNTIF($E$2:E34,E34)=1,ROW()-1,ROWS(Clean_Data[OrderID])+1)</f>
        <v>901</v>
      </c>
    </row>
    <row r="35" spans="1:33" ht="20" customHeight="1">
      <c r="A35" s="3" t="s">
        <v>182</v>
      </c>
      <c r="B35" s="2">
        <v>46267</v>
      </c>
      <c r="C35" s="3">
        <v>7</v>
      </c>
      <c r="D35" s="3" t="s">
        <v>183</v>
      </c>
      <c r="E35" s="3" t="s">
        <v>91</v>
      </c>
      <c r="F35" s="3" t="s">
        <v>92</v>
      </c>
      <c r="G35" s="3" t="s">
        <v>174</v>
      </c>
      <c r="H35" s="3" t="s">
        <v>184</v>
      </c>
      <c r="I35" s="3">
        <v>1</v>
      </c>
      <c r="J35" s="11">
        <v>62</v>
      </c>
      <c r="K35" s="4">
        <v>0.05</v>
      </c>
      <c r="L35" s="3" t="s">
        <v>95</v>
      </c>
      <c r="M35" s="3">
        <v>23</v>
      </c>
      <c r="N35" s="3">
        <v>14</v>
      </c>
      <c r="O35" s="3">
        <v>5</v>
      </c>
      <c r="P35" s="11">
        <f>Clean_Data[[#This Row],[Quantity]]*Clean_Data[[#This Row],[UnitPrice]]</f>
        <v>62</v>
      </c>
      <c r="Q35" s="11">
        <f>ROUND(Clean_Data[[#This Row],[GrossSales]]*Clean_Data[[#This Row],[DiscountPct]],2)</f>
        <v>3.1</v>
      </c>
      <c r="R35" s="11">
        <f>IF(Clean_Data[[#This Row],[Status]]="Delivered",ROUND(Clean_Data[[#This Row],[GrossSales]]-Clean_Data[[#This Row],[DiscountAmount]],2),0)</f>
        <v>58.9</v>
      </c>
      <c r="S35" s="3" t="str">
        <f>IF(Clean_Data[[#This Row],[OrderHour]]&lt;6,"Night",IF(Clean_Data[[#This Row],[OrderHour]]&lt;12,"Morning",IF(Clean_Data[[#This Row],[OrderHour]]&lt;18,"Afternoon","Evening")))</f>
        <v>Morning</v>
      </c>
      <c r="T35" s="3" t="str">
        <f>TEXT(Clean_Data[[#This Row],[OrderDate]],"[$-409]ddd")</f>
        <v>Wed</v>
      </c>
      <c r="U35" s="3">
        <f>WEEKDAY(Clean_Data[[#This Row],[OrderDate]],2)</f>
        <v>3</v>
      </c>
      <c r="V35" s="3">
        <f>INT(Clean_Data[[#This Row],[OrderHour]]/6)+1</f>
        <v>2</v>
      </c>
      <c r="W35" s="3">
        <f>IF(Clean_Data[[#This Row],[Status]]="Delivered",1,0)</f>
        <v>1</v>
      </c>
      <c r="X35" s="3">
        <f>IF(Clean_Data[[#This Row],[Status]]="Delivered",IF(Clean_Data[[#This Row],[DeliveryMinutes]]&lt;=Dashboard!$X$5,1,0),0)</f>
        <v>1</v>
      </c>
      <c r="Y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" s="3">
        <f>IF(AND(Clean_Data[[#This Row],[Include]]=1,Clean_Data[[#This Row],[DeliveredFlag]]=1),1,0)</f>
        <v>1</v>
      </c>
      <c r="AA35" s="1">
        <f>IF(COUNTIF($D$2:D35,D35)=1,ROW()-1,ROWS(Clean_Data[OrderID])+1)</f>
        <v>34</v>
      </c>
      <c r="AB35" s="1">
        <f>IF(COUNTIF($F$2:F35,F35)=1,ROW()-1,ROWS(Clean_Data[OrderID])+1)</f>
        <v>901</v>
      </c>
      <c r="AC35" s="1">
        <f>IF(COUNTIF($G$2:G35,G35)=1,ROW()-1,ROWS(Clean_Data[OrderID])+1)</f>
        <v>901</v>
      </c>
      <c r="AD35" s="1">
        <f>IF(COUNTIF($H$2:H35,H35)=1,ROW()-1,ROWS(Clean_Data[OrderID])+1)</f>
        <v>34</v>
      </c>
      <c r="AE35" s="1">
        <f>IF(COUNTIF($V$2:V35,V35)=1,V35,ROWS(Clean_Data[OrderID])+1)</f>
        <v>901</v>
      </c>
      <c r="AF35" s="1">
        <f>IF(COUNTIF($U$2:U35,U35)=1,U35,ROWS(Clean_Data[OrderID])+1)</f>
        <v>901</v>
      </c>
      <c r="AG35" s="1">
        <f>IF(COUNTIF($E$2:E35,E35)=1,ROW()-1,ROWS(Clean_Data[OrderID])+1)</f>
        <v>901</v>
      </c>
    </row>
    <row r="36" spans="1:33" ht="20" customHeight="1">
      <c r="A36" s="3" t="s">
        <v>185</v>
      </c>
      <c r="B36" s="2">
        <v>46267</v>
      </c>
      <c r="C36" s="3">
        <v>19</v>
      </c>
      <c r="D36" s="3" t="s">
        <v>186</v>
      </c>
      <c r="E36" s="3" t="s">
        <v>117</v>
      </c>
      <c r="F36" s="3" t="s">
        <v>98</v>
      </c>
      <c r="G36" s="3" t="s">
        <v>93</v>
      </c>
      <c r="H36" s="3" t="s">
        <v>118</v>
      </c>
      <c r="I36" s="3">
        <v>3</v>
      </c>
      <c r="J36" s="11">
        <v>45</v>
      </c>
      <c r="K36" s="4">
        <v>0.1</v>
      </c>
      <c r="L36" s="3" t="s">
        <v>95</v>
      </c>
      <c r="M36" s="3">
        <v>31</v>
      </c>
      <c r="N36" s="3">
        <v>10</v>
      </c>
      <c r="O36" s="3">
        <v>4</v>
      </c>
      <c r="P36" s="11">
        <f>Clean_Data[[#This Row],[Quantity]]*Clean_Data[[#This Row],[UnitPrice]]</f>
        <v>135</v>
      </c>
      <c r="Q36" s="11">
        <f>ROUND(Clean_Data[[#This Row],[GrossSales]]*Clean_Data[[#This Row],[DiscountPct]],2)</f>
        <v>13.5</v>
      </c>
      <c r="R36" s="11">
        <f>IF(Clean_Data[[#This Row],[Status]]="Delivered",ROUND(Clean_Data[[#This Row],[GrossSales]]-Clean_Data[[#This Row],[DiscountAmount]],2),0)</f>
        <v>121.5</v>
      </c>
      <c r="S36" s="3" t="str">
        <f>IF(Clean_Data[[#This Row],[OrderHour]]&lt;6,"Night",IF(Clean_Data[[#This Row],[OrderHour]]&lt;12,"Morning",IF(Clean_Data[[#This Row],[OrderHour]]&lt;18,"Afternoon","Evening")))</f>
        <v>Evening</v>
      </c>
      <c r="T36" s="3" t="str">
        <f>TEXT(Clean_Data[[#This Row],[OrderDate]],"[$-409]ddd")</f>
        <v>Wed</v>
      </c>
      <c r="U36" s="3">
        <f>WEEKDAY(Clean_Data[[#This Row],[OrderDate]],2)</f>
        <v>3</v>
      </c>
      <c r="V36" s="3">
        <f>INT(Clean_Data[[#This Row],[OrderHour]]/6)+1</f>
        <v>4</v>
      </c>
      <c r="W36" s="3">
        <f>IF(Clean_Data[[#This Row],[Status]]="Delivered",1,0)</f>
        <v>1</v>
      </c>
      <c r="X36" s="3">
        <f>IF(Clean_Data[[#This Row],[Status]]="Delivered",IF(Clean_Data[[#This Row],[DeliveryMinutes]]&lt;=Dashboard!$X$5,1,0),0)</f>
        <v>0</v>
      </c>
      <c r="Y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" s="3">
        <f>IF(AND(Clean_Data[[#This Row],[Include]]=1,Clean_Data[[#This Row],[DeliveredFlag]]=1),1,0)</f>
        <v>1</v>
      </c>
      <c r="AA36" s="1">
        <f>IF(COUNTIF($D$2:D36,D36)=1,ROW()-1,ROWS(Clean_Data[OrderID])+1)</f>
        <v>35</v>
      </c>
      <c r="AB36" s="1">
        <f>IF(COUNTIF($F$2:F36,F36)=1,ROW()-1,ROWS(Clean_Data[OrderID])+1)</f>
        <v>901</v>
      </c>
      <c r="AC36" s="1">
        <f>IF(COUNTIF($G$2:G36,G36)=1,ROW()-1,ROWS(Clean_Data[OrderID])+1)</f>
        <v>901</v>
      </c>
      <c r="AD36" s="1">
        <f>IF(COUNTIF($H$2:H36,H36)=1,ROW()-1,ROWS(Clean_Data[OrderID])+1)</f>
        <v>901</v>
      </c>
      <c r="AE36" s="1">
        <f>IF(COUNTIF($V$2:V36,V36)=1,V36,ROWS(Clean_Data[OrderID])+1)</f>
        <v>901</v>
      </c>
      <c r="AF36" s="1">
        <f>IF(COUNTIF($U$2:U36,U36)=1,U36,ROWS(Clean_Data[OrderID])+1)</f>
        <v>901</v>
      </c>
      <c r="AG36" s="1">
        <f>IF(COUNTIF($E$2:E36,E36)=1,ROW()-1,ROWS(Clean_Data[OrderID])+1)</f>
        <v>901</v>
      </c>
    </row>
    <row r="37" spans="1:33" ht="20" customHeight="1">
      <c r="A37" s="3" t="s">
        <v>187</v>
      </c>
      <c r="B37" s="2">
        <v>46267</v>
      </c>
      <c r="C37" s="3">
        <v>10</v>
      </c>
      <c r="D37" s="3" t="s">
        <v>188</v>
      </c>
      <c r="E37" s="3" t="s">
        <v>117</v>
      </c>
      <c r="F37" s="3" t="s">
        <v>109</v>
      </c>
      <c r="G37" s="3" t="s">
        <v>110</v>
      </c>
      <c r="H37" s="3" t="s">
        <v>114</v>
      </c>
      <c r="I37" s="3">
        <v>2</v>
      </c>
      <c r="J37" s="11">
        <v>145</v>
      </c>
      <c r="K37" s="4">
        <v>0.1</v>
      </c>
      <c r="L37" s="3" t="s">
        <v>95</v>
      </c>
      <c r="M37" s="3">
        <v>27</v>
      </c>
      <c r="N37" s="3">
        <v>4</v>
      </c>
      <c r="O37" s="3">
        <v>4</v>
      </c>
      <c r="P37" s="11">
        <f>Clean_Data[[#This Row],[Quantity]]*Clean_Data[[#This Row],[UnitPrice]]</f>
        <v>290</v>
      </c>
      <c r="Q37" s="11">
        <f>ROUND(Clean_Data[[#This Row],[GrossSales]]*Clean_Data[[#This Row],[DiscountPct]],2)</f>
        <v>29</v>
      </c>
      <c r="R37" s="11">
        <f>IF(Clean_Data[[#This Row],[Status]]="Delivered",ROUND(Clean_Data[[#This Row],[GrossSales]]-Clean_Data[[#This Row],[DiscountAmount]],2),0)</f>
        <v>261</v>
      </c>
      <c r="S37" s="3" t="str">
        <f>IF(Clean_Data[[#This Row],[OrderHour]]&lt;6,"Night",IF(Clean_Data[[#This Row],[OrderHour]]&lt;12,"Morning",IF(Clean_Data[[#This Row],[OrderHour]]&lt;18,"Afternoon","Evening")))</f>
        <v>Morning</v>
      </c>
      <c r="T37" s="3" t="str">
        <f>TEXT(Clean_Data[[#This Row],[OrderDate]],"[$-409]ddd")</f>
        <v>Wed</v>
      </c>
      <c r="U37" s="3">
        <f>WEEKDAY(Clean_Data[[#This Row],[OrderDate]],2)</f>
        <v>3</v>
      </c>
      <c r="V37" s="3">
        <f>INT(Clean_Data[[#This Row],[OrderHour]]/6)+1</f>
        <v>2</v>
      </c>
      <c r="W37" s="3">
        <f>IF(Clean_Data[[#This Row],[Status]]="Delivered",1,0)</f>
        <v>1</v>
      </c>
      <c r="X37" s="3">
        <f>IF(Clean_Data[[#This Row],[Status]]="Delivered",IF(Clean_Data[[#This Row],[DeliveryMinutes]]&lt;=Dashboard!$X$5,1,0),0)</f>
        <v>1</v>
      </c>
      <c r="Y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" s="3">
        <f>IF(AND(Clean_Data[[#This Row],[Include]]=1,Clean_Data[[#This Row],[DeliveredFlag]]=1),1,0)</f>
        <v>1</v>
      </c>
      <c r="AA37" s="1">
        <f>IF(COUNTIF($D$2:D37,D37)=1,ROW()-1,ROWS(Clean_Data[OrderID])+1)</f>
        <v>36</v>
      </c>
      <c r="AB37" s="1">
        <f>IF(COUNTIF($F$2:F37,F37)=1,ROW()-1,ROWS(Clean_Data[OrderID])+1)</f>
        <v>901</v>
      </c>
      <c r="AC37" s="1">
        <f>IF(COUNTIF($G$2:G37,G37)=1,ROW()-1,ROWS(Clean_Data[OrderID])+1)</f>
        <v>901</v>
      </c>
      <c r="AD37" s="1">
        <f>IF(COUNTIF($H$2:H37,H37)=1,ROW()-1,ROWS(Clean_Data[OrderID])+1)</f>
        <v>901</v>
      </c>
      <c r="AE37" s="1">
        <f>IF(COUNTIF($V$2:V37,V37)=1,V37,ROWS(Clean_Data[OrderID])+1)</f>
        <v>901</v>
      </c>
      <c r="AF37" s="1">
        <f>IF(COUNTIF($U$2:U37,U37)=1,U37,ROWS(Clean_Data[OrderID])+1)</f>
        <v>901</v>
      </c>
      <c r="AG37" s="1">
        <f>IF(COUNTIF($E$2:E37,E37)=1,ROW()-1,ROWS(Clean_Data[OrderID])+1)</f>
        <v>901</v>
      </c>
    </row>
    <row r="38" spans="1:33" ht="20" customHeight="1">
      <c r="A38" s="3" t="s">
        <v>189</v>
      </c>
      <c r="B38" s="2">
        <v>46267</v>
      </c>
      <c r="C38" s="3">
        <v>22</v>
      </c>
      <c r="D38" s="3" t="s">
        <v>120</v>
      </c>
      <c r="E38" s="3" t="s">
        <v>91</v>
      </c>
      <c r="F38" s="3" t="s">
        <v>109</v>
      </c>
      <c r="G38" s="3" t="s">
        <v>135</v>
      </c>
      <c r="H38" s="3" t="s">
        <v>136</v>
      </c>
      <c r="I38" s="3">
        <v>3</v>
      </c>
      <c r="J38" s="11">
        <v>40</v>
      </c>
      <c r="K38" s="4">
        <v>0.1</v>
      </c>
      <c r="L38" s="3" t="s">
        <v>95</v>
      </c>
      <c r="M38" s="3">
        <v>18</v>
      </c>
      <c r="N38" s="3">
        <v>8</v>
      </c>
      <c r="O38" s="3">
        <v>5</v>
      </c>
      <c r="P38" s="11">
        <f>Clean_Data[[#This Row],[Quantity]]*Clean_Data[[#This Row],[UnitPrice]]</f>
        <v>120</v>
      </c>
      <c r="Q38" s="11">
        <f>ROUND(Clean_Data[[#This Row],[GrossSales]]*Clean_Data[[#This Row],[DiscountPct]],2)</f>
        <v>12</v>
      </c>
      <c r="R38" s="11">
        <f>IF(Clean_Data[[#This Row],[Status]]="Delivered",ROUND(Clean_Data[[#This Row],[GrossSales]]-Clean_Data[[#This Row],[DiscountAmount]],2),0)</f>
        <v>108</v>
      </c>
      <c r="S38" s="3" t="str">
        <f>IF(Clean_Data[[#This Row],[OrderHour]]&lt;6,"Night",IF(Clean_Data[[#This Row],[OrderHour]]&lt;12,"Morning",IF(Clean_Data[[#This Row],[OrderHour]]&lt;18,"Afternoon","Evening")))</f>
        <v>Evening</v>
      </c>
      <c r="T38" s="3" t="str">
        <f>TEXT(Clean_Data[[#This Row],[OrderDate]],"[$-409]ddd")</f>
        <v>Wed</v>
      </c>
      <c r="U38" s="3">
        <f>WEEKDAY(Clean_Data[[#This Row],[OrderDate]],2)</f>
        <v>3</v>
      </c>
      <c r="V38" s="3">
        <f>INT(Clean_Data[[#This Row],[OrderHour]]/6)+1</f>
        <v>4</v>
      </c>
      <c r="W38" s="3">
        <f>IF(Clean_Data[[#This Row],[Status]]="Delivered",1,0)</f>
        <v>1</v>
      </c>
      <c r="X38" s="3">
        <f>IF(Clean_Data[[#This Row],[Status]]="Delivered",IF(Clean_Data[[#This Row],[DeliveryMinutes]]&lt;=Dashboard!$X$5,1,0),0)</f>
        <v>1</v>
      </c>
      <c r="Y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" s="3">
        <f>IF(AND(Clean_Data[[#This Row],[Include]]=1,Clean_Data[[#This Row],[DeliveredFlag]]=1),1,0)</f>
        <v>1</v>
      </c>
      <c r="AA38" s="1">
        <f>IF(COUNTIF($D$2:D38,D38)=1,ROW()-1,ROWS(Clean_Data[OrderID])+1)</f>
        <v>901</v>
      </c>
      <c r="AB38" s="1">
        <f>IF(COUNTIF($F$2:F38,F38)=1,ROW()-1,ROWS(Clean_Data[OrderID])+1)</f>
        <v>901</v>
      </c>
      <c r="AC38" s="1">
        <f>IF(COUNTIF($G$2:G38,G38)=1,ROW()-1,ROWS(Clean_Data[OrderID])+1)</f>
        <v>901</v>
      </c>
      <c r="AD38" s="1">
        <f>IF(COUNTIF($H$2:H38,H38)=1,ROW()-1,ROWS(Clean_Data[OrderID])+1)</f>
        <v>901</v>
      </c>
      <c r="AE38" s="1">
        <f>IF(COUNTIF($V$2:V38,V38)=1,V38,ROWS(Clean_Data[OrderID])+1)</f>
        <v>901</v>
      </c>
      <c r="AF38" s="1">
        <f>IF(COUNTIF($U$2:U38,U38)=1,U38,ROWS(Clean_Data[OrderID])+1)</f>
        <v>901</v>
      </c>
      <c r="AG38" s="1">
        <f>IF(COUNTIF($E$2:E38,E38)=1,ROW()-1,ROWS(Clean_Data[OrderID])+1)</f>
        <v>901</v>
      </c>
    </row>
    <row r="39" spans="1:33" ht="20" customHeight="1">
      <c r="A39" s="3" t="s">
        <v>190</v>
      </c>
      <c r="B39" s="2">
        <v>46267</v>
      </c>
      <c r="C39" s="3">
        <v>7</v>
      </c>
      <c r="D39" s="3" t="s">
        <v>191</v>
      </c>
      <c r="E39" s="3" t="s">
        <v>91</v>
      </c>
      <c r="F39" s="3" t="s">
        <v>92</v>
      </c>
      <c r="G39" s="3" t="s">
        <v>122</v>
      </c>
      <c r="H39" s="3" t="s">
        <v>153</v>
      </c>
      <c r="I39" s="3">
        <v>2</v>
      </c>
      <c r="J39" s="11">
        <v>130</v>
      </c>
      <c r="K39" s="4">
        <v>0.05</v>
      </c>
      <c r="L39" s="3" t="s">
        <v>95</v>
      </c>
      <c r="M39" s="3">
        <v>15</v>
      </c>
      <c r="N39" s="3">
        <v>9</v>
      </c>
      <c r="O39" s="3">
        <v>5</v>
      </c>
      <c r="P39" s="11">
        <f>Clean_Data[[#This Row],[Quantity]]*Clean_Data[[#This Row],[UnitPrice]]</f>
        <v>260</v>
      </c>
      <c r="Q39" s="11">
        <f>ROUND(Clean_Data[[#This Row],[GrossSales]]*Clean_Data[[#This Row],[DiscountPct]],2)</f>
        <v>13</v>
      </c>
      <c r="R39" s="11">
        <f>IF(Clean_Data[[#This Row],[Status]]="Delivered",ROUND(Clean_Data[[#This Row],[GrossSales]]-Clean_Data[[#This Row],[DiscountAmount]],2),0)</f>
        <v>247</v>
      </c>
      <c r="S39" s="3" t="str">
        <f>IF(Clean_Data[[#This Row],[OrderHour]]&lt;6,"Night",IF(Clean_Data[[#This Row],[OrderHour]]&lt;12,"Morning",IF(Clean_Data[[#This Row],[OrderHour]]&lt;18,"Afternoon","Evening")))</f>
        <v>Morning</v>
      </c>
      <c r="T39" s="3" t="str">
        <f>TEXT(Clean_Data[[#This Row],[OrderDate]],"[$-409]ddd")</f>
        <v>Wed</v>
      </c>
      <c r="U39" s="3">
        <f>WEEKDAY(Clean_Data[[#This Row],[OrderDate]],2)</f>
        <v>3</v>
      </c>
      <c r="V39" s="3">
        <f>INT(Clean_Data[[#This Row],[OrderHour]]/6)+1</f>
        <v>2</v>
      </c>
      <c r="W39" s="3">
        <f>IF(Clean_Data[[#This Row],[Status]]="Delivered",1,0)</f>
        <v>1</v>
      </c>
      <c r="X39" s="3">
        <f>IF(Clean_Data[[#This Row],[Status]]="Delivered",IF(Clean_Data[[#This Row],[DeliveryMinutes]]&lt;=Dashboard!$X$5,1,0),0)</f>
        <v>1</v>
      </c>
      <c r="Y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" s="3">
        <f>IF(AND(Clean_Data[[#This Row],[Include]]=1,Clean_Data[[#This Row],[DeliveredFlag]]=1),1,0)</f>
        <v>1</v>
      </c>
      <c r="AA39" s="1">
        <f>IF(COUNTIF($D$2:D39,D39)=1,ROW()-1,ROWS(Clean_Data[OrderID])+1)</f>
        <v>38</v>
      </c>
      <c r="AB39" s="1">
        <f>IF(COUNTIF($F$2:F39,F39)=1,ROW()-1,ROWS(Clean_Data[OrderID])+1)</f>
        <v>901</v>
      </c>
      <c r="AC39" s="1">
        <f>IF(COUNTIF($G$2:G39,G39)=1,ROW()-1,ROWS(Clean_Data[OrderID])+1)</f>
        <v>901</v>
      </c>
      <c r="AD39" s="1">
        <f>IF(COUNTIF($H$2:H39,H39)=1,ROW()-1,ROWS(Clean_Data[OrderID])+1)</f>
        <v>901</v>
      </c>
      <c r="AE39" s="1">
        <f>IF(COUNTIF($V$2:V39,V39)=1,V39,ROWS(Clean_Data[OrderID])+1)</f>
        <v>901</v>
      </c>
      <c r="AF39" s="1">
        <f>IF(COUNTIF($U$2:U39,U39)=1,U39,ROWS(Clean_Data[OrderID])+1)</f>
        <v>901</v>
      </c>
      <c r="AG39" s="1">
        <f>IF(COUNTIF($E$2:E39,E39)=1,ROW()-1,ROWS(Clean_Data[OrderID])+1)</f>
        <v>901</v>
      </c>
    </row>
    <row r="40" spans="1:33" ht="20" customHeight="1">
      <c r="A40" s="3" t="s">
        <v>192</v>
      </c>
      <c r="B40" s="2">
        <v>46267</v>
      </c>
      <c r="C40" s="3">
        <v>20</v>
      </c>
      <c r="D40" s="3" t="s">
        <v>193</v>
      </c>
      <c r="E40" s="3" t="s">
        <v>117</v>
      </c>
      <c r="F40" s="3" t="s">
        <v>139</v>
      </c>
      <c r="G40" s="3" t="s">
        <v>93</v>
      </c>
      <c r="H40" s="3" t="s">
        <v>146</v>
      </c>
      <c r="I40" s="3">
        <v>3</v>
      </c>
      <c r="J40" s="11">
        <v>110</v>
      </c>
      <c r="K40" s="4">
        <v>0.1</v>
      </c>
      <c r="L40" s="3" t="s">
        <v>95</v>
      </c>
      <c r="M40" s="3">
        <v>20</v>
      </c>
      <c r="N40" s="3">
        <v>9</v>
      </c>
      <c r="O40" s="3">
        <v>4</v>
      </c>
      <c r="P40" s="11">
        <f>Clean_Data[[#This Row],[Quantity]]*Clean_Data[[#This Row],[UnitPrice]]</f>
        <v>330</v>
      </c>
      <c r="Q40" s="11">
        <f>ROUND(Clean_Data[[#This Row],[GrossSales]]*Clean_Data[[#This Row],[DiscountPct]],2)</f>
        <v>33</v>
      </c>
      <c r="R40" s="11">
        <f>IF(Clean_Data[[#This Row],[Status]]="Delivered",ROUND(Clean_Data[[#This Row],[GrossSales]]-Clean_Data[[#This Row],[DiscountAmount]],2),0)</f>
        <v>297</v>
      </c>
      <c r="S40" s="3" t="str">
        <f>IF(Clean_Data[[#This Row],[OrderHour]]&lt;6,"Night",IF(Clean_Data[[#This Row],[OrderHour]]&lt;12,"Morning",IF(Clean_Data[[#This Row],[OrderHour]]&lt;18,"Afternoon","Evening")))</f>
        <v>Evening</v>
      </c>
      <c r="T40" s="3" t="str">
        <f>TEXT(Clean_Data[[#This Row],[OrderDate]],"[$-409]ddd")</f>
        <v>Wed</v>
      </c>
      <c r="U40" s="3">
        <f>WEEKDAY(Clean_Data[[#This Row],[OrderDate]],2)</f>
        <v>3</v>
      </c>
      <c r="V40" s="3">
        <f>INT(Clean_Data[[#This Row],[OrderHour]]/6)+1</f>
        <v>4</v>
      </c>
      <c r="W40" s="3">
        <f>IF(Clean_Data[[#This Row],[Status]]="Delivered",1,0)</f>
        <v>1</v>
      </c>
      <c r="X40" s="3">
        <f>IF(Clean_Data[[#This Row],[Status]]="Delivered",IF(Clean_Data[[#This Row],[DeliveryMinutes]]&lt;=Dashboard!$X$5,1,0),0)</f>
        <v>1</v>
      </c>
      <c r="Y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" s="3">
        <f>IF(AND(Clean_Data[[#This Row],[Include]]=1,Clean_Data[[#This Row],[DeliveredFlag]]=1),1,0)</f>
        <v>1</v>
      </c>
      <c r="AA40" s="1">
        <f>IF(COUNTIF($D$2:D40,D40)=1,ROW()-1,ROWS(Clean_Data[OrderID])+1)</f>
        <v>39</v>
      </c>
      <c r="AB40" s="1">
        <f>IF(COUNTIF($F$2:F40,F40)=1,ROW()-1,ROWS(Clean_Data[OrderID])+1)</f>
        <v>901</v>
      </c>
      <c r="AC40" s="1">
        <f>IF(COUNTIF($G$2:G40,G40)=1,ROW()-1,ROWS(Clean_Data[OrderID])+1)</f>
        <v>901</v>
      </c>
      <c r="AD40" s="1">
        <f>IF(COUNTIF($H$2:H40,H40)=1,ROW()-1,ROWS(Clean_Data[OrderID])+1)</f>
        <v>901</v>
      </c>
      <c r="AE40" s="1">
        <f>IF(COUNTIF($V$2:V40,V40)=1,V40,ROWS(Clean_Data[OrderID])+1)</f>
        <v>901</v>
      </c>
      <c r="AF40" s="1">
        <f>IF(COUNTIF($U$2:U40,U40)=1,U40,ROWS(Clean_Data[OrderID])+1)</f>
        <v>901</v>
      </c>
      <c r="AG40" s="1">
        <f>IF(COUNTIF($E$2:E40,E40)=1,ROW()-1,ROWS(Clean_Data[OrderID])+1)</f>
        <v>901</v>
      </c>
    </row>
    <row r="41" spans="1:33" ht="20" customHeight="1">
      <c r="A41" s="3" t="s">
        <v>194</v>
      </c>
      <c r="B41" s="2">
        <v>46267</v>
      </c>
      <c r="C41" s="3">
        <v>9</v>
      </c>
      <c r="D41" s="3" t="s">
        <v>195</v>
      </c>
      <c r="E41" s="3" t="s">
        <v>91</v>
      </c>
      <c r="F41" s="3" t="s">
        <v>109</v>
      </c>
      <c r="G41" s="3" t="s">
        <v>110</v>
      </c>
      <c r="H41" s="3" t="s">
        <v>114</v>
      </c>
      <c r="I41" s="3">
        <v>5</v>
      </c>
      <c r="J41" s="11">
        <v>145</v>
      </c>
      <c r="K41" s="4">
        <v>0</v>
      </c>
      <c r="L41" s="3" t="s">
        <v>95</v>
      </c>
      <c r="M41" s="3">
        <v>15</v>
      </c>
      <c r="N41" s="3">
        <v>9</v>
      </c>
      <c r="O41" s="3">
        <v>4</v>
      </c>
      <c r="P41" s="11">
        <f>Clean_Data[[#This Row],[Quantity]]*Clean_Data[[#This Row],[UnitPrice]]</f>
        <v>725</v>
      </c>
      <c r="Q41" s="11">
        <f>ROUND(Clean_Data[[#This Row],[GrossSales]]*Clean_Data[[#This Row],[DiscountPct]],2)</f>
        <v>0</v>
      </c>
      <c r="R41" s="11">
        <f>IF(Clean_Data[[#This Row],[Status]]="Delivered",ROUND(Clean_Data[[#This Row],[GrossSales]]-Clean_Data[[#This Row],[DiscountAmount]],2),0)</f>
        <v>725</v>
      </c>
      <c r="S41" s="3" t="str">
        <f>IF(Clean_Data[[#This Row],[OrderHour]]&lt;6,"Night",IF(Clean_Data[[#This Row],[OrderHour]]&lt;12,"Morning",IF(Clean_Data[[#This Row],[OrderHour]]&lt;18,"Afternoon","Evening")))</f>
        <v>Morning</v>
      </c>
      <c r="T41" s="3" t="str">
        <f>TEXT(Clean_Data[[#This Row],[OrderDate]],"[$-409]ddd")</f>
        <v>Wed</v>
      </c>
      <c r="U41" s="3">
        <f>WEEKDAY(Clean_Data[[#This Row],[OrderDate]],2)</f>
        <v>3</v>
      </c>
      <c r="V41" s="3">
        <f>INT(Clean_Data[[#This Row],[OrderHour]]/6)+1</f>
        <v>2</v>
      </c>
      <c r="W41" s="3">
        <f>IF(Clean_Data[[#This Row],[Status]]="Delivered",1,0)</f>
        <v>1</v>
      </c>
      <c r="X41" s="3">
        <f>IF(Clean_Data[[#This Row],[Status]]="Delivered",IF(Clean_Data[[#This Row],[DeliveryMinutes]]&lt;=Dashboard!$X$5,1,0),0)</f>
        <v>1</v>
      </c>
      <c r="Y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" s="3">
        <f>IF(AND(Clean_Data[[#This Row],[Include]]=1,Clean_Data[[#This Row],[DeliveredFlag]]=1),1,0)</f>
        <v>1</v>
      </c>
      <c r="AA41" s="1">
        <f>IF(COUNTIF($D$2:D41,D41)=1,ROW()-1,ROWS(Clean_Data[OrderID])+1)</f>
        <v>40</v>
      </c>
      <c r="AB41" s="1">
        <f>IF(COUNTIF($F$2:F41,F41)=1,ROW()-1,ROWS(Clean_Data[OrderID])+1)</f>
        <v>901</v>
      </c>
      <c r="AC41" s="1">
        <f>IF(COUNTIF($G$2:G41,G41)=1,ROW()-1,ROWS(Clean_Data[OrderID])+1)</f>
        <v>901</v>
      </c>
      <c r="AD41" s="1">
        <f>IF(COUNTIF($H$2:H41,H41)=1,ROW()-1,ROWS(Clean_Data[OrderID])+1)</f>
        <v>901</v>
      </c>
      <c r="AE41" s="1">
        <f>IF(COUNTIF($V$2:V41,V41)=1,V41,ROWS(Clean_Data[OrderID])+1)</f>
        <v>901</v>
      </c>
      <c r="AF41" s="1">
        <f>IF(COUNTIF($U$2:U41,U41)=1,U41,ROWS(Clean_Data[OrderID])+1)</f>
        <v>901</v>
      </c>
      <c r="AG41" s="1">
        <f>IF(COUNTIF($E$2:E41,E41)=1,ROW()-1,ROWS(Clean_Data[OrderID])+1)</f>
        <v>901</v>
      </c>
    </row>
    <row r="42" spans="1:33" ht="20" customHeight="1">
      <c r="A42" s="3" t="s">
        <v>196</v>
      </c>
      <c r="B42" s="2">
        <v>46267</v>
      </c>
      <c r="C42" s="3">
        <v>23</v>
      </c>
      <c r="D42" s="3" t="s">
        <v>197</v>
      </c>
      <c r="E42" s="3" t="s">
        <v>91</v>
      </c>
      <c r="F42" s="3" t="s">
        <v>109</v>
      </c>
      <c r="G42" s="3" t="s">
        <v>99</v>
      </c>
      <c r="H42" s="3" t="s">
        <v>104</v>
      </c>
      <c r="I42" s="3">
        <v>3</v>
      </c>
      <c r="J42" s="11">
        <v>240</v>
      </c>
      <c r="K42" s="4">
        <v>0.05</v>
      </c>
      <c r="L42" s="3" t="s">
        <v>95</v>
      </c>
      <c r="M42" s="3">
        <v>16</v>
      </c>
      <c r="N42" s="3">
        <v>6</v>
      </c>
      <c r="O42" s="3">
        <v>4</v>
      </c>
      <c r="P42" s="11">
        <f>Clean_Data[[#This Row],[Quantity]]*Clean_Data[[#This Row],[UnitPrice]]</f>
        <v>720</v>
      </c>
      <c r="Q42" s="11">
        <f>ROUND(Clean_Data[[#This Row],[GrossSales]]*Clean_Data[[#This Row],[DiscountPct]],2)</f>
        <v>36</v>
      </c>
      <c r="R42" s="11">
        <f>IF(Clean_Data[[#This Row],[Status]]="Delivered",ROUND(Clean_Data[[#This Row],[GrossSales]]-Clean_Data[[#This Row],[DiscountAmount]],2),0)</f>
        <v>684</v>
      </c>
      <c r="S42" s="3" t="str">
        <f>IF(Clean_Data[[#This Row],[OrderHour]]&lt;6,"Night",IF(Clean_Data[[#This Row],[OrderHour]]&lt;12,"Morning",IF(Clean_Data[[#This Row],[OrderHour]]&lt;18,"Afternoon","Evening")))</f>
        <v>Evening</v>
      </c>
      <c r="T42" s="3" t="str">
        <f>TEXT(Clean_Data[[#This Row],[OrderDate]],"[$-409]ddd")</f>
        <v>Wed</v>
      </c>
      <c r="U42" s="3">
        <f>WEEKDAY(Clean_Data[[#This Row],[OrderDate]],2)</f>
        <v>3</v>
      </c>
      <c r="V42" s="3">
        <f>INT(Clean_Data[[#This Row],[OrderHour]]/6)+1</f>
        <v>4</v>
      </c>
      <c r="W42" s="3">
        <f>IF(Clean_Data[[#This Row],[Status]]="Delivered",1,0)</f>
        <v>1</v>
      </c>
      <c r="X42" s="3">
        <f>IF(Clean_Data[[#This Row],[Status]]="Delivered",IF(Clean_Data[[#This Row],[DeliveryMinutes]]&lt;=Dashboard!$X$5,1,0),0)</f>
        <v>1</v>
      </c>
      <c r="Y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" s="3">
        <f>IF(AND(Clean_Data[[#This Row],[Include]]=1,Clean_Data[[#This Row],[DeliveredFlag]]=1),1,0)</f>
        <v>1</v>
      </c>
      <c r="AA42" s="1">
        <f>IF(COUNTIF($D$2:D42,D42)=1,ROW()-1,ROWS(Clean_Data[OrderID])+1)</f>
        <v>41</v>
      </c>
      <c r="AB42" s="1">
        <f>IF(COUNTIF($F$2:F42,F42)=1,ROW()-1,ROWS(Clean_Data[OrderID])+1)</f>
        <v>901</v>
      </c>
      <c r="AC42" s="1">
        <f>IF(COUNTIF($G$2:G42,G42)=1,ROW()-1,ROWS(Clean_Data[OrderID])+1)</f>
        <v>901</v>
      </c>
      <c r="AD42" s="1">
        <f>IF(COUNTIF($H$2:H42,H42)=1,ROW()-1,ROWS(Clean_Data[OrderID])+1)</f>
        <v>901</v>
      </c>
      <c r="AE42" s="1">
        <f>IF(COUNTIF($V$2:V42,V42)=1,V42,ROWS(Clean_Data[OrderID])+1)</f>
        <v>901</v>
      </c>
      <c r="AF42" s="1">
        <f>IF(COUNTIF($U$2:U42,U42)=1,U42,ROWS(Clean_Data[OrderID])+1)</f>
        <v>901</v>
      </c>
      <c r="AG42" s="1">
        <f>IF(COUNTIF($E$2:E42,E42)=1,ROW()-1,ROWS(Clean_Data[OrderID])+1)</f>
        <v>901</v>
      </c>
    </row>
    <row r="43" spans="1:33" ht="20" customHeight="1">
      <c r="A43" s="3" t="s">
        <v>198</v>
      </c>
      <c r="B43" s="2">
        <v>46267</v>
      </c>
      <c r="C43" s="3">
        <v>8</v>
      </c>
      <c r="D43" s="3" t="s">
        <v>199</v>
      </c>
      <c r="E43" s="3" t="s">
        <v>117</v>
      </c>
      <c r="F43" s="3" t="s">
        <v>98</v>
      </c>
      <c r="G43" s="3" t="s">
        <v>122</v>
      </c>
      <c r="H43" s="3" t="s">
        <v>123</v>
      </c>
      <c r="I43" s="3">
        <v>4</v>
      </c>
      <c r="J43" s="11">
        <v>45</v>
      </c>
      <c r="K43" s="4">
        <v>0.1</v>
      </c>
      <c r="L43" s="3" t="s">
        <v>95</v>
      </c>
      <c r="M43" s="3">
        <v>28</v>
      </c>
      <c r="N43" s="3">
        <v>7</v>
      </c>
      <c r="O43" s="3">
        <v>5</v>
      </c>
      <c r="P43" s="11">
        <f>Clean_Data[[#This Row],[Quantity]]*Clean_Data[[#This Row],[UnitPrice]]</f>
        <v>180</v>
      </c>
      <c r="Q43" s="11">
        <f>ROUND(Clean_Data[[#This Row],[GrossSales]]*Clean_Data[[#This Row],[DiscountPct]],2)</f>
        <v>18</v>
      </c>
      <c r="R43" s="11">
        <f>IF(Clean_Data[[#This Row],[Status]]="Delivered",ROUND(Clean_Data[[#This Row],[GrossSales]]-Clean_Data[[#This Row],[DiscountAmount]],2),0)</f>
        <v>162</v>
      </c>
      <c r="S43" s="3" t="str">
        <f>IF(Clean_Data[[#This Row],[OrderHour]]&lt;6,"Night",IF(Clean_Data[[#This Row],[OrderHour]]&lt;12,"Morning",IF(Clean_Data[[#This Row],[OrderHour]]&lt;18,"Afternoon","Evening")))</f>
        <v>Morning</v>
      </c>
      <c r="T43" s="3" t="str">
        <f>TEXT(Clean_Data[[#This Row],[OrderDate]],"[$-409]ddd")</f>
        <v>Wed</v>
      </c>
      <c r="U43" s="3">
        <f>WEEKDAY(Clean_Data[[#This Row],[OrderDate]],2)</f>
        <v>3</v>
      </c>
      <c r="V43" s="3">
        <f>INT(Clean_Data[[#This Row],[OrderHour]]/6)+1</f>
        <v>2</v>
      </c>
      <c r="W43" s="3">
        <f>IF(Clean_Data[[#This Row],[Status]]="Delivered",1,0)</f>
        <v>1</v>
      </c>
      <c r="X43" s="3">
        <f>IF(Clean_Data[[#This Row],[Status]]="Delivered",IF(Clean_Data[[#This Row],[DeliveryMinutes]]&lt;=Dashboard!$X$5,1,0),0)</f>
        <v>1</v>
      </c>
      <c r="Y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" s="3">
        <f>IF(AND(Clean_Data[[#This Row],[Include]]=1,Clean_Data[[#This Row],[DeliveredFlag]]=1),1,0)</f>
        <v>1</v>
      </c>
      <c r="AA43" s="1">
        <f>IF(COUNTIF($D$2:D43,D43)=1,ROW()-1,ROWS(Clean_Data[OrderID])+1)</f>
        <v>42</v>
      </c>
      <c r="AB43" s="1">
        <f>IF(COUNTIF($F$2:F43,F43)=1,ROW()-1,ROWS(Clean_Data[OrderID])+1)</f>
        <v>901</v>
      </c>
      <c r="AC43" s="1">
        <f>IF(COUNTIF($G$2:G43,G43)=1,ROW()-1,ROWS(Clean_Data[OrderID])+1)</f>
        <v>901</v>
      </c>
      <c r="AD43" s="1">
        <f>IF(COUNTIF($H$2:H43,H43)=1,ROW()-1,ROWS(Clean_Data[OrderID])+1)</f>
        <v>901</v>
      </c>
      <c r="AE43" s="1">
        <f>IF(COUNTIF($V$2:V43,V43)=1,V43,ROWS(Clean_Data[OrderID])+1)</f>
        <v>901</v>
      </c>
      <c r="AF43" s="1">
        <f>IF(COUNTIF($U$2:U43,U43)=1,U43,ROWS(Clean_Data[OrderID])+1)</f>
        <v>901</v>
      </c>
      <c r="AG43" s="1">
        <f>IF(COUNTIF($E$2:E43,E43)=1,ROW()-1,ROWS(Clean_Data[OrderID])+1)</f>
        <v>901</v>
      </c>
    </row>
    <row r="44" spans="1:33" ht="20" customHeight="1">
      <c r="A44" s="3" t="s">
        <v>200</v>
      </c>
      <c r="B44" s="2">
        <v>46267</v>
      </c>
      <c r="C44" s="3">
        <v>14</v>
      </c>
      <c r="D44" s="3" t="s">
        <v>201</v>
      </c>
      <c r="E44" s="3" t="s">
        <v>91</v>
      </c>
      <c r="F44" s="3" t="s">
        <v>139</v>
      </c>
      <c r="G44" s="3" t="s">
        <v>122</v>
      </c>
      <c r="H44" s="3" t="s">
        <v>153</v>
      </c>
      <c r="I44" s="3">
        <v>1</v>
      </c>
      <c r="J44" s="11">
        <v>130</v>
      </c>
      <c r="K44" s="4">
        <v>0.15</v>
      </c>
      <c r="L44" s="3" t="s">
        <v>95</v>
      </c>
      <c r="M44" s="3">
        <v>15</v>
      </c>
      <c r="N44" s="3">
        <v>14</v>
      </c>
      <c r="O44" s="3">
        <v>4</v>
      </c>
      <c r="P44" s="11">
        <f>Clean_Data[[#This Row],[Quantity]]*Clean_Data[[#This Row],[UnitPrice]]</f>
        <v>130</v>
      </c>
      <c r="Q44" s="11">
        <f>ROUND(Clean_Data[[#This Row],[GrossSales]]*Clean_Data[[#This Row],[DiscountPct]],2)</f>
        <v>19.5</v>
      </c>
      <c r="R44" s="11">
        <f>IF(Clean_Data[[#This Row],[Status]]="Delivered",ROUND(Clean_Data[[#This Row],[GrossSales]]-Clean_Data[[#This Row],[DiscountAmount]],2),0)</f>
        <v>110.5</v>
      </c>
      <c r="S44" s="3" t="str">
        <f>IF(Clean_Data[[#This Row],[OrderHour]]&lt;6,"Night",IF(Clean_Data[[#This Row],[OrderHour]]&lt;12,"Morning",IF(Clean_Data[[#This Row],[OrderHour]]&lt;18,"Afternoon","Evening")))</f>
        <v>Afternoon</v>
      </c>
      <c r="T44" s="3" t="str">
        <f>TEXT(Clean_Data[[#This Row],[OrderDate]],"[$-409]ddd")</f>
        <v>Wed</v>
      </c>
      <c r="U44" s="3">
        <f>WEEKDAY(Clean_Data[[#This Row],[OrderDate]],2)</f>
        <v>3</v>
      </c>
      <c r="V44" s="3">
        <f>INT(Clean_Data[[#This Row],[OrderHour]]/6)+1</f>
        <v>3</v>
      </c>
      <c r="W44" s="3">
        <f>IF(Clean_Data[[#This Row],[Status]]="Delivered",1,0)</f>
        <v>1</v>
      </c>
      <c r="X44" s="3">
        <f>IF(Clean_Data[[#This Row],[Status]]="Delivered",IF(Clean_Data[[#This Row],[DeliveryMinutes]]&lt;=Dashboard!$X$5,1,0),0)</f>
        <v>1</v>
      </c>
      <c r="Y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" s="3">
        <f>IF(AND(Clean_Data[[#This Row],[Include]]=1,Clean_Data[[#This Row],[DeliveredFlag]]=1),1,0)</f>
        <v>1</v>
      </c>
      <c r="AA44" s="1">
        <f>IF(COUNTIF($D$2:D44,D44)=1,ROW()-1,ROWS(Clean_Data[OrderID])+1)</f>
        <v>43</v>
      </c>
      <c r="AB44" s="1">
        <f>IF(COUNTIF($F$2:F44,F44)=1,ROW()-1,ROWS(Clean_Data[OrderID])+1)</f>
        <v>901</v>
      </c>
      <c r="AC44" s="1">
        <f>IF(COUNTIF($G$2:G44,G44)=1,ROW()-1,ROWS(Clean_Data[OrderID])+1)</f>
        <v>901</v>
      </c>
      <c r="AD44" s="1">
        <f>IF(COUNTIF($H$2:H44,H44)=1,ROW()-1,ROWS(Clean_Data[OrderID])+1)</f>
        <v>901</v>
      </c>
      <c r="AE44" s="1">
        <f>IF(COUNTIF($V$2:V44,V44)=1,V44,ROWS(Clean_Data[OrderID])+1)</f>
        <v>901</v>
      </c>
      <c r="AF44" s="1">
        <f>IF(COUNTIF($U$2:U44,U44)=1,U44,ROWS(Clean_Data[OrderID])+1)</f>
        <v>901</v>
      </c>
      <c r="AG44" s="1">
        <f>IF(COUNTIF($E$2:E44,E44)=1,ROW()-1,ROWS(Clean_Data[OrderID])+1)</f>
        <v>901</v>
      </c>
    </row>
    <row r="45" spans="1:33" ht="20" customHeight="1">
      <c r="A45" s="3" t="s">
        <v>202</v>
      </c>
      <c r="B45" s="2">
        <v>46267</v>
      </c>
      <c r="C45" s="3">
        <v>23</v>
      </c>
      <c r="D45" s="3" t="s">
        <v>203</v>
      </c>
      <c r="E45" s="3" t="s">
        <v>117</v>
      </c>
      <c r="F45" s="3" t="s">
        <v>92</v>
      </c>
      <c r="G45" s="3" t="s">
        <v>93</v>
      </c>
      <c r="H45" s="3" t="s">
        <v>118</v>
      </c>
      <c r="I45" s="3">
        <v>6</v>
      </c>
      <c r="J45" s="11">
        <v>45</v>
      </c>
      <c r="K45" s="4">
        <v>0</v>
      </c>
      <c r="L45" s="3" t="s">
        <v>95</v>
      </c>
      <c r="M45" s="3">
        <v>34</v>
      </c>
      <c r="N45" s="3">
        <v>9</v>
      </c>
      <c r="O45" s="3">
        <v>4</v>
      </c>
      <c r="P45" s="11">
        <f>Clean_Data[[#This Row],[Quantity]]*Clean_Data[[#This Row],[UnitPrice]]</f>
        <v>270</v>
      </c>
      <c r="Q45" s="11">
        <f>ROUND(Clean_Data[[#This Row],[GrossSales]]*Clean_Data[[#This Row],[DiscountPct]],2)</f>
        <v>0</v>
      </c>
      <c r="R45" s="11">
        <f>IF(Clean_Data[[#This Row],[Status]]="Delivered",ROUND(Clean_Data[[#This Row],[GrossSales]]-Clean_Data[[#This Row],[DiscountAmount]],2),0)</f>
        <v>270</v>
      </c>
      <c r="S45" s="3" t="str">
        <f>IF(Clean_Data[[#This Row],[OrderHour]]&lt;6,"Night",IF(Clean_Data[[#This Row],[OrderHour]]&lt;12,"Morning",IF(Clean_Data[[#This Row],[OrderHour]]&lt;18,"Afternoon","Evening")))</f>
        <v>Evening</v>
      </c>
      <c r="T45" s="3" t="str">
        <f>TEXT(Clean_Data[[#This Row],[OrderDate]],"[$-409]ddd")</f>
        <v>Wed</v>
      </c>
      <c r="U45" s="3">
        <f>WEEKDAY(Clean_Data[[#This Row],[OrderDate]],2)</f>
        <v>3</v>
      </c>
      <c r="V45" s="3">
        <f>INT(Clean_Data[[#This Row],[OrderHour]]/6)+1</f>
        <v>4</v>
      </c>
      <c r="W45" s="3">
        <f>IF(Clean_Data[[#This Row],[Status]]="Delivered",1,0)</f>
        <v>1</v>
      </c>
      <c r="X45" s="3">
        <f>IF(Clean_Data[[#This Row],[Status]]="Delivered",IF(Clean_Data[[#This Row],[DeliveryMinutes]]&lt;=Dashboard!$X$5,1,0),0)</f>
        <v>0</v>
      </c>
      <c r="Y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" s="3">
        <f>IF(AND(Clean_Data[[#This Row],[Include]]=1,Clean_Data[[#This Row],[DeliveredFlag]]=1),1,0)</f>
        <v>1</v>
      </c>
      <c r="AA45" s="1">
        <f>IF(COUNTIF($D$2:D45,D45)=1,ROW()-1,ROWS(Clean_Data[OrderID])+1)</f>
        <v>44</v>
      </c>
      <c r="AB45" s="1">
        <f>IF(COUNTIF($F$2:F45,F45)=1,ROW()-1,ROWS(Clean_Data[OrderID])+1)</f>
        <v>901</v>
      </c>
      <c r="AC45" s="1">
        <f>IF(COUNTIF($G$2:G45,G45)=1,ROW()-1,ROWS(Clean_Data[OrderID])+1)</f>
        <v>901</v>
      </c>
      <c r="AD45" s="1">
        <f>IF(COUNTIF($H$2:H45,H45)=1,ROW()-1,ROWS(Clean_Data[OrderID])+1)</f>
        <v>901</v>
      </c>
      <c r="AE45" s="1">
        <f>IF(COUNTIF($V$2:V45,V45)=1,V45,ROWS(Clean_Data[OrderID])+1)</f>
        <v>901</v>
      </c>
      <c r="AF45" s="1">
        <f>IF(COUNTIF($U$2:U45,U45)=1,U45,ROWS(Clean_Data[OrderID])+1)</f>
        <v>901</v>
      </c>
      <c r="AG45" s="1">
        <f>IF(COUNTIF($E$2:E45,E45)=1,ROW()-1,ROWS(Clean_Data[OrderID])+1)</f>
        <v>901</v>
      </c>
    </row>
    <row r="46" spans="1:33" ht="20" customHeight="1">
      <c r="A46" s="3" t="s">
        <v>204</v>
      </c>
      <c r="B46" s="2">
        <v>46267</v>
      </c>
      <c r="C46" s="3">
        <v>8</v>
      </c>
      <c r="D46" s="3" t="s">
        <v>205</v>
      </c>
      <c r="E46" s="3" t="s">
        <v>91</v>
      </c>
      <c r="F46" s="3" t="s">
        <v>139</v>
      </c>
      <c r="G46" s="3" t="s">
        <v>110</v>
      </c>
      <c r="H46" s="3" t="s">
        <v>206</v>
      </c>
      <c r="I46" s="3">
        <v>6</v>
      </c>
      <c r="J46" s="11">
        <v>220</v>
      </c>
      <c r="K46" s="4">
        <v>0.05</v>
      </c>
      <c r="L46" s="3" t="s">
        <v>95</v>
      </c>
      <c r="M46" s="3">
        <v>26</v>
      </c>
      <c r="N46" s="3">
        <v>14</v>
      </c>
      <c r="O46" s="3">
        <v>4</v>
      </c>
      <c r="P46" s="11">
        <f>Clean_Data[[#This Row],[Quantity]]*Clean_Data[[#This Row],[UnitPrice]]</f>
        <v>1320</v>
      </c>
      <c r="Q46" s="11">
        <f>ROUND(Clean_Data[[#This Row],[GrossSales]]*Clean_Data[[#This Row],[DiscountPct]],2)</f>
        <v>66</v>
      </c>
      <c r="R46" s="11">
        <f>IF(Clean_Data[[#This Row],[Status]]="Delivered",ROUND(Clean_Data[[#This Row],[GrossSales]]-Clean_Data[[#This Row],[DiscountAmount]],2),0)</f>
        <v>1254</v>
      </c>
      <c r="S46" s="3" t="str">
        <f>IF(Clean_Data[[#This Row],[OrderHour]]&lt;6,"Night",IF(Clean_Data[[#This Row],[OrderHour]]&lt;12,"Morning",IF(Clean_Data[[#This Row],[OrderHour]]&lt;18,"Afternoon","Evening")))</f>
        <v>Morning</v>
      </c>
      <c r="T46" s="3" t="str">
        <f>TEXT(Clean_Data[[#This Row],[OrderDate]],"[$-409]ddd")</f>
        <v>Wed</v>
      </c>
      <c r="U46" s="3">
        <f>WEEKDAY(Clean_Data[[#This Row],[OrderDate]],2)</f>
        <v>3</v>
      </c>
      <c r="V46" s="3">
        <f>INT(Clean_Data[[#This Row],[OrderHour]]/6)+1</f>
        <v>2</v>
      </c>
      <c r="W46" s="3">
        <f>IF(Clean_Data[[#This Row],[Status]]="Delivered",1,0)</f>
        <v>1</v>
      </c>
      <c r="X46" s="3">
        <f>IF(Clean_Data[[#This Row],[Status]]="Delivered",IF(Clean_Data[[#This Row],[DeliveryMinutes]]&lt;=Dashboard!$X$5,1,0),0)</f>
        <v>1</v>
      </c>
      <c r="Y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" s="3">
        <f>IF(AND(Clean_Data[[#This Row],[Include]]=1,Clean_Data[[#This Row],[DeliveredFlag]]=1),1,0)</f>
        <v>1</v>
      </c>
      <c r="AA46" s="1">
        <f>IF(COUNTIF($D$2:D46,D46)=1,ROW()-1,ROWS(Clean_Data[OrderID])+1)</f>
        <v>45</v>
      </c>
      <c r="AB46" s="1">
        <f>IF(COUNTIF($F$2:F46,F46)=1,ROW()-1,ROWS(Clean_Data[OrderID])+1)</f>
        <v>901</v>
      </c>
      <c r="AC46" s="1">
        <f>IF(COUNTIF($G$2:G46,G46)=1,ROW()-1,ROWS(Clean_Data[OrderID])+1)</f>
        <v>901</v>
      </c>
      <c r="AD46" s="1">
        <f>IF(COUNTIF($H$2:H46,H46)=1,ROW()-1,ROWS(Clean_Data[OrderID])+1)</f>
        <v>45</v>
      </c>
      <c r="AE46" s="1">
        <f>IF(COUNTIF($V$2:V46,V46)=1,V46,ROWS(Clean_Data[OrderID])+1)</f>
        <v>901</v>
      </c>
      <c r="AF46" s="1">
        <f>IF(COUNTIF($U$2:U46,U46)=1,U46,ROWS(Clean_Data[OrderID])+1)</f>
        <v>901</v>
      </c>
      <c r="AG46" s="1">
        <f>IF(COUNTIF($E$2:E46,E46)=1,ROW()-1,ROWS(Clean_Data[OrderID])+1)</f>
        <v>901</v>
      </c>
    </row>
    <row r="47" spans="1:33" ht="20" customHeight="1">
      <c r="A47" s="3" t="s">
        <v>207</v>
      </c>
      <c r="B47" s="2">
        <v>46267</v>
      </c>
      <c r="C47" s="3">
        <v>16</v>
      </c>
      <c r="D47" s="3" t="s">
        <v>208</v>
      </c>
      <c r="E47" s="3" t="s">
        <v>117</v>
      </c>
      <c r="F47" s="3" t="s">
        <v>121</v>
      </c>
      <c r="G47" s="3" t="s">
        <v>99</v>
      </c>
      <c r="H47" s="3" t="s">
        <v>100</v>
      </c>
      <c r="I47" s="3">
        <v>4</v>
      </c>
      <c r="J47" s="11">
        <v>120</v>
      </c>
      <c r="K47" s="4">
        <v>0</v>
      </c>
      <c r="L47" s="3" t="s">
        <v>95</v>
      </c>
      <c r="M47" s="3">
        <v>37</v>
      </c>
      <c r="N47" s="3">
        <v>12</v>
      </c>
      <c r="O47" s="3">
        <v>5</v>
      </c>
      <c r="P47" s="11">
        <f>Clean_Data[[#This Row],[Quantity]]*Clean_Data[[#This Row],[UnitPrice]]</f>
        <v>480</v>
      </c>
      <c r="Q47" s="11">
        <f>ROUND(Clean_Data[[#This Row],[GrossSales]]*Clean_Data[[#This Row],[DiscountPct]],2)</f>
        <v>0</v>
      </c>
      <c r="R47" s="11">
        <f>IF(Clean_Data[[#This Row],[Status]]="Delivered",ROUND(Clean_Data[[#This Row],[GrossSales]]-Clean_Data[[#This Row],[DiscountAmount]],2),0)</f>
        <v>480</v>
      </c>
      <c r="S47" s="3" t="str">
        <f>IF(Clean_Data[[#This Row],[OrderHour]]&lt;6,"Night",IF(Clean_Data[[#This Row],[OrderHour]]&lt;12,"Morning",IF(Clean_Data[[#This Row],[OrderHour]]&lt;18,"Afternoon","Evening")))</f>
        <v>Afternoon</v>
      </c>
      <c r="T47" s="3" t="str">
        <f>TEXT(Clean_Data[[#This Row],[OrderDate]],"[$-409]ddd")</f>
        <v>Wed</v>
      </c>
      <c r="U47" s="3">
        <f>WEEKDAY(Clean_Data[[#This Row],[OrderDate]],2)</f>
        <v>3</v>
      </c>
      <c r="V47" s="3">
        <f>INT(Clean_Data[[#This Row],[OrderHour]]/6)+1</f>
        <v>3</v>
      </c>
      <c r="W47" s="3">
        <f>IF(Clean_Data[[#This Row],[Status]]="Delivered",1,0)</f>
        <v>1</v>
      </c>
      <c r="X47" s="3">
        <f>IF(Clean_Data[[#This Row],[Status]]="Delivered",IF(Clean_Data[[#This Row],[DeliveryMinutes]]&lt;=Dashboard!$X$5,1,0),0)</f>
        <v>0</v>
      </c>
      <c r="Y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" s="3">
        <f>IF(AND(Clean_Data[[#This Row],[Include]]=1,Clean_Data[[#This Row],[DeliveredFlag]]=1),1,0)</f>
        <v>1</v>
      </c>
      <c r="AA47" s="1">
        <f>IF(COUNTIF($D$2:D47,D47)=1,ROW()-1,ROWS(Clean_Data[OrderID])+1)</f>
        <v>46</v>
      </c>
      <c r="AB47" s="1">
        <f>IF(COUNTIF($F$2:F47,F47)=1,ROW()-1,ROWS(Clean_Data[OrderID])+1)</f>
        <v>901</v>
      </c>
      <c r="AC47" s="1">
        <f>IF(COUNTIF($G$2:G47,G47)=1,ROW()-1,ROWS(Clean_Data[OrderID])+1)</f>
        <v>901</v>
      </c>
      <c r="AD47" s="1">
        <f>IF(COUNTIF($H$2:H47,H47)=1,ROW()-1,ROWS(Clean_Data[OrderID])+1)</f>
        <v>901</v>
      </c>
      <c r="AE47" s="1">
        <f>IF(COUNTIF($V$2:V47,V47)=1,V47,ROWS(Clean_Data[OrderID])+1)</f>
        <v>901</v>
      </c>
      <c r="AF47" s="1">
        <f>IF(COUNTIF($U$2:U47,U47)=1,U47,ROWS(Clean_Data[OrderID])+1)</f>
        <v>901</v>
      </c>
      <c r="AG47" s="1">
        <f>IF(COUNTIF($E$2:E47,E47)=1,ROW()-1,ROWS(Clean_Data[OrderID])+1)</f>
        <v>901</v>
      </c>
    </row>
    <row r="48" spans="1:33" ht="20" customHeight="1">
      <c r="A48" s="3" t="s">
        <v>209</v>
      </c>
      <c r="B48" s="2">
        <v>46267</v>
      </c>
      <c r="C48" s="3">
        <v>15</v>
      </c>
      <c r="D48" s="3" t="s">
        <v>210</v>
      </c>
      <c r="E48" s="3" t="s">
        <v>117</v>
      </c>
      <c r="F48" s="3" t="s">
        <v>109</v>
      </c>
      <c r="G48" s="3" t="s">
        <v>122</v>
      </c>
      <c r="H48" s="3" t="s">
        <v>123</v>
      </c>
      <c r="I48" s="3">
        <v>1</v>
      </c>
      <c r="J48" s="11">
        <v>45</v>
      </c>
      <c r="K48" s="4">
        <v>0.05</v>
      </c>
      <c r="L48" s="3" t="s">
        <v>95</v>
      </c>
      <c r="M48" s="3">
        <v>29</v>
      </c>
      <c r="N48" s="3">
        <v>14</v>
      </c>
      <c r="O48" s="3">
        <v>4</v>
      </c>
      <c r="P48" s="11">
        <f>Clean_Data[[#This Row],[Quantity]]*Clean_Data[[#This Row],[UnitPrice]]</f>
        <v>45</v>
      </c>
      <c r="Q48" s="11">
        <f>ROUND(Clean_Data[[#This Row],[GrossSales]]*Clean_Data[[#This Row],[DiscountPct]],2)</f>
        <v>2.25</v>
      </c>
      <c r="R48" s="11">
        <f>IF(Clean_Data[[#This Row],[Status]]="Delivered",ROUND(Clean_Data[[#This Row],[GrossSales]]-Clean_Data[[#This Row],[DiscountAmount]],2),0)</f>
        <v>42.75</v>
      </c>
      <c r="S48" s="3" t="str">
        <f>IF(Clean_Data[[#This Row],[OrderHour]]&lt;6,"Night",IF(Clean_Data[[#This Row],[OrderHour]]&lt;12,"Morning",IF(Clean_Data[[#This Row],[OrderHour]]&lt;18,"Afternoon","Evening")))</f>
        <v>Afternoon</v>
      </c>
      <c r="T48" s="3" t="str">
        <f>TEXT(Clean_Data[[#This Row],[OrderDate]],"[$-409]ddd")</f>
        <v>Wed</v>
      </c>
      <c r="U48" s="3">
        <f>WEEKDAY(Clean_Data[[#This Row],[OrderDate]],2)</f>
        <v>3</v>
      </c>
      <c r="V48" s="3">
        <f>INT(Clean_Data[[#This Row],[OrderHour]]/6)+1</f>
        <v>3</v>
      </c>
      <c r="W48" s="3">
        <f>IF(Clean_Data[[#This Row],[Status]]="Delivered",1,0)</f>
        <v>1</v>
      </c>
      <c r="X48" s="3">
        <f>IF(Clean_Data[[#This Row],[Status]]="Delivered",IF(Clean_Data[[#This Row],[DeliveryMinutes]]&lt;=Dashboard!$X$5,1,0),0)</f>
        <v>1</v>
      </c>
      <c r="Y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" s="3">
        <f>IF(AND(Clean_Data[[#This Row],[Include]]=1,Clean_Data[[#This Row],[DeliveredFlag]]=1),1,0)</f>
        <v>1</v>
      </c>
      <c r="AA48" s="1">
        <f>IF(COUNTIF($D$2:D48,D48)=1,ROW()-1,ROWS(Clean_Data[OrderID])+1)</f>
        <v>47</v>
      </c>
      <c r="AB48" s="1">
        <f>IF(COUNTIF($F$2:F48,F48)=1,ROW()-1,ROWS(Clean_Data[OrderID])+1)</f>
        <v>901</v>
      </c>
      <c r="AC48" s="1">
        <f>IF(COUNTIF($G$2:G48,G48)=1,ROW()-1,ROWS(Clean_Data[OrderID])+1)</f>
        <v>901</v>
      </c>
      <c r="AD48" s="1">
        <f>IF(COUNTIF($H$2:H48,H48)=1,ROW()-1,ROWS(Clean_Data[OrderID])+1)</f>
        <v>901</v>
      </c>
      <c r="AE48" s="1">
        <f>IF(COUNTIF($V$2:V48,V48)=1,V48,ROWS(Clean_Data[OrderID])+1)</f>
        <v>901</v>
      </c>
      <c r="AF48" s="1">
        <f>IF(COUNTIF($U$2:U48,U48)=1,U48,ROWS(Clean_Data[OrderID])+1)</f>
        <v>901</v>
      </c>
      <c r="AG48" s="1">
        <f>IF(COUNTIF($E$2:E48,E48)=1,ROW()-1,ROWS(Clean_Data[OrderID])+1)</f>
        <v>901</v>
      </c>
    </row>
    <row r="49" spans="1:33" ht="20" customHeight="1">
      <c r="A49" s="3" t="s">
        <v>211</v>
      </c>
      <c r="B49" s="2">
        <v>46267</v>
      </c>
      <c r="C49" s="3">
        <v>18</v>
      </c>
      <c r="D49" s="3" t="s">
        <v>212</v>
      </c>
      <c r="E49" s="3" t="s">
        <v>91</v>
      </c>
      <c r="F49" s="3" t="s">
        <v>98</v>
      </c>
      <c r="G49" s="3" t="s">
        <v>93</v>
      </c>
      <c r="H49" s="3" t="s">
        <v>94</v>
      </c>
      <c r="I49" s="3">
        <v>3</v>
      </c>
      <c r="J49" s="11">
        <v>95</v>
      </c>
      <c r="K49" s="4">
        <v>0</v>
      </c>
      <c r="L49" s="3" t="s">
        <v>95</v>
      </c>
      <c r="M49" s="3">
        <v>17</v>
      </c>
      <c r="N49" s="3">
        <v>11</v>
      </c>
      <c r="O49" s="3">
        <v>4</v>
      </c>
      <c r="P49" s="11">
        <f>Clean_Data[[#This Row],[Quantity]]*Clean_Data[[#This Row],[UnitPrice]]</f>
        <v>285</v>
      </c>
      <c r="Q49" s="11">
        <f>ROUND(Clean_Data[[#This Row],[GrossSales]]*Clean_Data[[#This Row],[DiscountPct]],2)</f>
        <v>0</v>
      </c>
      <c r="R49" s="11">
        <f>IF(Clean_Data[[#This Row],[Status]]="Delivered",ROUND(Clean_Data[[#This Row],[GrossSales]]-Clean_Data[[#This Row],[DiscountAmount]],2),0)</f>
        <v>285</v>
      </c>
      <c r="S49" s="3" t="str">
        <f>IF(Clean_Data[[#This Row],[OrderHour]]&lt;6,"Night",IF(Clean_Data[[#This Row],[OrderHour]]&lt;12,"Morning",IF(Clean_Data[[#This Row],[OrderHour]]&lt;18,"Afternoon","Evening")))</f>
        <v>Evening</v>
      </c>
      <c r="T49" s="3" t="str">
        <f>TEXT(Clean_Data[[#This Row],[OrderDate]],"[$-409]ddd")</f>
        <v>Wed</v>
      </c>
      <c r="U49" s="3">
        <f>WEEKDAY(Clean_Data[[#This Row],[OrderDate]],2)</f>
        <v>3</v>
      </c>
      <c r="V49" s="3">
        <f>INT(Clean_Data[[#This Row],[OrderHour]]/6)+1</f>
        <v>4</v>
      </c>
      <c r="W49" s="3">
        <f>IF(Clean_Data[[#This Row],[Status]]="Delivered",1,0)</f>
        <v>1</v>
      </c>
      <c r="X49" s="3">
        <f>IF(Clean_Data[[#This Row],[Status]]="Delivered",IF(Clean_Data[[#This Row],[DeliveryMinutes]]&lt;=Dashboard!$X$5,1,0),0)</f>
        <v>1</v>
      </c>
      <c r="Y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" s="3">
        <f>IF(AND(Clean_Data[[#This Row],[Include]]=1,Clean_Data[[#This Row],[DeliveredFlag]]=1),1,0)</f>
        <v>1</v>
      </c>
      <c r="AA49" s="1">
        <f>IF(COUNTIF($D$2:D49,D49)=1,ROW()-1,ROWS(Clean_Data[OrderID])+1)</f>
        <v>48</v>
      </c>
      <c r="AB49" s="1">
        <f>IF(COUNTIF($F$2:F49,F49)=1,ROW()-1,ROWS(Clean_Data[OrderID])+1)</f>
        <v>901</v>
      </c>
      <c r="AC49" s="1">
        <f>IF(COUNTIF($G$2:G49,G49)=1,ROW()-1,ROWS(Clean_Data[OrderID])+1)</f>
        <v>901</v>
      </c>
      <c r="AD49" s="1">
        <f>IF(COUNTIF($H$2:H49,H49)=1,ROW()-1,ROWS(Clean_Data[OrderID])+1)</f>
        <v>901</v>
      </c>
      <c r="AE49" s="1">
        <f>IF(COUNTIF($V$2:V49,V49)=1,V49,ROWS(Clean_Data[OrderID])+1)</f>
        <v>901</v>
      </c>
      <c r="AF49" s="1">
        <f>IF(COUNTIF($U$2:U49,U49)=1,U49,ROWS(Clean_Data[OrderID])+1)</f>
        <v>901</v>
      </c>
      <c r="AG49" s="1">
        <f>IF(COUNTIF($E$2:E49,E49)=1,ROW()-1,ROWS(Clean_Data[OrderID])+1)</f>
        <v>901</v>
      </c>
    </row>
    <row r="50" spans="1:33" ht="20" customHeight="1">
      <c r="A50" s="3" t="s">
        <v>213</v>
      </c>
      <c r="B50" s="2">
        <v>46267</v>
      </c>
      <c r="C50" s="3">
        <v>14</v>
      </c>
      <c r="D50" s="3" t="s">
        <v>201</v>
      </c>
      <c r="E50" s="3" t="s">
        <v>91</v>
      </c>
      <c r="F50" s="3" t="s">
        <v>121</v>
      </c>
      <c r="G50" s="3" t="s">
        <v>122</v>
      </c>
      <c r="H50" s="3" t="s">
        <v>214</v>
      </c>
      <c r="I50" s="3">
        <v>5</v>
      </c>
      <c r="J50" s="11">
        <v>55</v>
      </c>
      <c r="K50" s="4">
        <v>0</v>
      </c>
      <c r="L50" s="3" t="s">
        <v>95</v>
      </c>
      <c r="M50" s="3">
        <v>23</v>
      </c>
      <c r="N50" s="3">
        <v>5</v>
      </c>
      <c r="O50" s="3">
        <v>5</v>
      </c>
      <c r="P50" s="11">
        <f>Clean_Data[[#This Row],[Quantity]]*Clean_Data[[#This Row],[UnitPrice]]</f>
        <v>275</v>
      </c>
      <c r="Q50" s="11">
        <f>ROUND(Clean_Data[[#This Row],[GrossSales]]*Clean_Data[[#This Row],[DiscountPct]],2)</f>
        <v>0</v>
      </c>
      <c r="R50" s="11">
        <f>IF(Clean_Data[[#This Row],[Status]]="Delivered",ROUND(Clean_Data[[#This Row],[GrossSales]]-Clean_Data[[#This Row],[DiscountAmount]],2),0)</f>
        <v>275</v>
      </c>
      <c r="S50" s="3" t="str">
        <f>IF(Clean_Data[[#This Row],[OrderHour]]&lt;6,"Night",IF(Clean_Data[[#This Row],[OrderHour]]&lt;12,"Morning",IF(Clean_Data[[#This Row],[OrderHour]]&lt;18,"Afternoon","Evening")))</f>
        <v>Afternoon</v>
      </c>
      <c r="T50" s="3" t="str">
        <f>TEXT(Clean_Data[[#This Row],[OrderDate]],"[$-409]ddd")</f>
        <v>Wed</v>
      </c>
      <c r="U50" s="3">
        <f>WEEKDAY(Clean_Data[[#This Row],[OrderDate]],2)</f>
        <v>3</v>
      </c>
      <c r="V50" s="3">
        <f>INT(Clean_Data[[#This Row],[OrderHour]]/6)+1</f>
        <v>3</v>
      </c>
      <c r="W50" s="3">
        <f>IF(Clean_Data[[#This Row],[Status]]="Delivered",1,0)</f>
        <v>1</v>
      </c>
      <c r="X50" s="3">
        <f>IF(Clean_Data[[#This Row],[Status]]="Delivered",IF(Clean_Data[[#This Row],[DeliveryMinutes]]&lt;=Dashboard!$X$5,1,0),0)</f>
        <v>1</v>
      </c>
      <c r="Y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" s="3">
        <f>IF(AND(Clean_Data[[#This Row],[Include]]=1,Clean_Data[[#This Row],[DeliveredFlag]]=1),1,0)</f>
        <v>1</v>
      </c>
      <c r="AA50" s="1">
        <f>IF(COUNTIF($D$2:D50,D50)=1,ROW()-1,ROWS(Clean_Data[OrderID])+1)</f>
        <v>901</v>
      </c>
      <c r="AB50" s="1">
        <f>IF(COUNTIF($F$2:F50,F50)=1,ROW()-1,ROWS(Clean_Data[OrderID])+1)</f>
        <v>901</v>
      </c>
      <c r="AC50" s="1">
        <f>IF(COUNTIF($G$2:G50,G50)=1,ROW()-1,ROWS(Clean_Data[OrderID])+1)</f>
        <v>901</v>
      </c>
      <c r="AD50" s="1">
        <f>IF(COUNTIF($H$2:H50,H50)=1,ROW()-1,ROWS(Clean_Data[OrderID])+1)</f>
        <v>49</v>
      </c>
      <c r="AE50" s="1">
        <f>IF(COUNTIF($V$2:V50,V50)=1,V50,ROWS(Clean_Data[OrderID])+1)</f>
        <v>901</v>
      </c>
      <c r="AF50" s="1">
        <f>IF(COUNTIF($U$2:U50,U50)=1,U50,ROWS(Clean_Data[OrderID])+1)</f>
        <v>901</v>
      </c>
      <c r="AG50" s="1">
        <f>IF(COUNTIF($E$2:E50,E50)=1,ROW()-1,ROWS(Clean_Data[OrderID])+1)</f>
        <v>901</v>
      </c>
    </row>
    <row r="51" spans="1:33" ht="20" customHeight="1">
      <c r="A51" s="3" t="s">
        <v>215</v>
      </c>
      <c r="B51" s="2">
        <v>46267</v>
      </c>
      <c r="C51" s="3">
        <v>12</v>
      </c>
      <c r="D51" s="3" t="s">
        <v>216</v>
      </c>
      <c r="E51" s="3" t="s">
        <v>91</v>
      </c>
      <c r="F51" s="3" t="s">
        <v>98</v>
      </c>
      <c r="G51" s="3" t="s">
        <v>135</v>
      </c>
      <c r="H51" s="3" t="s">
        <v>217</v>
      </c>
      <c r="I51" s="3">
        <v>6</v>
      </c>
      <c r="J51" s="11">
        <v>65</v>
      </c>
      <c r="K51" s="4">
        <v>0.05</v>
      </c>
      <c r="L51" s="3" t="s">
        <v>95</v>
      </c>
      <c r="M51" s="3">
        <v>17</v>
      </c>
      <c r="N51" s="3">
        <v>11</v>
      </c>
      <c r="O51" s="3">
        <v>4</v>
      </c>
      <c r="P51" s="11">
        <f>Clean_Data[[#This Row],[Quantity]]*Clean_Data[[#This Row],[UnitPrice]]</f>
        <v>390</v>
      </c>
      <c r="Q51" s="11">
        <f>ROUND(Clean_Data[[#This Row],[GrossSales]]*Clean_Data[[#This Row],[DiscountPct]],2)</f>
        <v>19.5</v>
      </c>
      <c r="R51" s="11">
        <f>IF(Clean_Data[[#This Row],[Status]]="Delivered",ROUND(Clean_Data[[#This Row],[GrossSales]]-Clean_Data[[#This Row],[DiscountAmount]],2),0)</f>
        <v>370.5</v>
      </c>
      <c r="S51" s="3" t="str">
        <f>IF(Clean_Data[[#This Row],[OrderHour]]&lt;6,"Night",IF(Clean_Data[[#This Row],[OrderHour]]&lt;12,"Morning",IF(Clean_Data[[#This Row],[OrderHour]]&lt;18,"Afternoon","Evening")))</f>
        <v>Afternoon</v>
      </c>
      <c r="T51" s="3" t="str">
        <f>TEXT(Clean_Data[[#This Row],[OrderDate]],"[$-409]ddd")</f>
        <v>Wed</v>
      </c>
      <c r="U51" s="3">
        <f>WEEKDAY(Clean_Data[[#This Row],[OrderDate]],2)</f>
        <v>3</v>
      </c>
      <c r="V51" s="3">
        <f>INT(Clean_Data[[#This Row],[OrderHour]]/6)+1</f>
        <v>3</v>
      </c>
      <c r="W51" s="3">
        <f>IF(Clean_Data[[#This Row],[Status]]="Delivered",1,0)</f>
        <v>1</v>
      </c>
      <c r="X51" s="3">
        <f>IF(Clean_Data[[#This Row],[Status]]="Delivered",IF(Clean_Data[[#This Row],[DeliveryMinutes]]&lt;=Dashboard!$X$5,1,0),0)</f>
        <v>1</v>
      </c>
      <c r="Y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" s="3">
        <f>IF(AND(Clean_Data[[#This Row],[Include]]=1,Clean_Data[[#This Row],[DeliveredFlag]]=1),1,0)</f>
        <v>1</v>
      </c>
      <c r="AA51" s="1">
        <f>IF(COUNTIF($D$2:D51,D51)=1,ROW()-1,ROWS(Clean_Data[OrderID])+1)</f>
        <v>50</v>
      </c>
      <c r="AB51" s="1">
        <f>IF(COUNTIF($F$2:F51,F51)=1,ROW()-1,ROWS(Clean_Data[OrderID])+1)</f>
        <v>901</v>
      </c>
      <c r="AC51" s="1">
        <f>IF(COUNTIF($G$2:G51,G51)=1,ROW()-1,ROWS(Clean_Data[OrderID])+1)</f>
        <v>901</v>
      </c>
      <c r="AD51" s="1">
        <f>IF(COUNTIF($H$2:H51,H51)=1,ROW()-1,ROWS(Clean_Data[OrderID])+1)</f>
        <v>50</v>
      </c>
      <c r="AE51" s="1">
        <f>IF(COUNTIF($V$2:V51,V51)=1,V51,ROWS(Clean_Data[OrderID])+1)</f>
        <v>901</v>
      </c>
      <c r="AF51" s="1">
        <f>IF(COUNTIF($U$2:U51,U51)=1,U51,ROWS(Clean_Data[OrderID])+1)</f>
        <v>901</v>
      </c>
      <c r="AG51" s="1">
        <f>IF(COUNTIF($E$2:E51,E51)=1,ROW()-1,ROWS(Clean_Data[OrderID])+1)</f>
        <v>901</v>
      </c>
    </row>
    <row r="52" spans="1:33" ht="20" customHeight="1">
      <c r="A52" s="3" t="s">
        <v>218</v>
      </c>
      <c r="B52" s="2">
        <v>46267</v>
      </c>
      <c r="C52" s="3">
        <v>12</v>
      </c>
      <c r="D52" s="3" t="s">
        <v>219</v>
      </c>
      <c r="E52" s="3" t="s">
        <v>91</v>
      </c>
      <c r="F52" s="3" t="s">
        <v>98</v>
      </c>
      <c r="G52" s="3" t="s">
        <v>135</v>
      </c>
      <c r="H52" s="3" t="s">
        <v>136</v>
      </c>
      <c r="I52" s="3">
        <v>4</v>
      </c>
      <c r="J52" s="11">
        <v>40</v>
      </c>
      <c r="K52" s="4">
        <v>0</v>
      </c>
      <c r="L52" s="3" t="s">
        <v>95</v>
      </c>
      <c r="M52" s="3">
        <v>32</v>
      </c>
      <c r="N52" s="3">
        <v>12</v>
      </c>
      <c r="O52" s="3">
        <v>4</v>
      </c>
      <c r="P52" s="11">
        <f>Clean_Data[[#This Row],[Quantity]]*Clean_Data[[#This Row],[UnitPrice]]</f>
        <v>160</v>
      </c>
      <c r="Q52" s="11">
        <f>ROUND(Clean_Data[[#This Row],[GrossSales]]*Clean_Data[[#This Row],[DiscountPct]],2)</f>
        <v>0</v>
      </c>
      <c r="R52" s="11">
        <f>IF(Clean_Data[[#This Row],[Status]]="Delivered",ROUND(Clean_Data[[#This Row],[GrossSales]]-Clean_Data[[#This Row],[DiscountAmount]],2),0)</f>
        <v>160</v>
      </c>
      <c r="S52" s="3" t="str">
        <f>IF(Clean_Data[[#This Row],[OrderHour]]&lt;6,"Night",IF(Clean_Data[[#This Row],[OrderHour]]&lt;12,"Morning",IF(Clean_Data[[#This Row],[OrderHour]]&lt;18,"Afternoon","Evening")))</f>
        <v>Afternoon</v>
      </c>
      <c r="T52" s="3" t="str">
        <f>TEXT(Clean_Data[[#This Row],[OrderDate]],"[$-409]ddd")</f>
        <v>Wed</v>
      </c>
      <c r="U52" s="3">
        <f>WEEKDAY(Clean_Data[[#This Row],[OrderDate]],2)</f>
        <v>3</v>
      </c>
      <c r="V52" s="3">
        <f>INT(Clean_Data[[#This Row],[OrderHour]]/6)+1</f>
        <v>3</v>
      </c>
      <c r="W52" s="3">
        <f>IF(Clean_Data[[#This Row],[Status]]="Delivered",1,0)</f>
        <v>1</v>
      </c>
      <c r="X52" s="3">
        <f>IF(Clean_Data[[#This Row],[Status]]="Delivered",IF(Clean_Data[[#This Row],[DeliveryMinutes]]&lt;=Dashboard!$X$5,1,0),0)</f>
        <v>0</v>
      </c>
      <c r="Y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" s="3">
        <f>IF(AND(Clean_Data[[#This Row],[Include]]=1,Clean_Data[[#This Row],[DeliveredFlag]]=1),1,0)</f>
        <v>1</v>
      </c>
      <c r="AA52" s="1">
        <f>IF(COUNTIF($D$2:D52,D52)=1,ROW()-1,ROWS(Clean_Data[OrderID])+1)</f>
        <v>51</v>
      </c>
      <c r="AB52" s="1">
        <f>IF(COUNTIF($F$2:F52,F52)=1,ROW()-1,ROWS(Clean_Data[OrderID])+1)</f>
        <v>901</v>
      </c>
      <c r="AC52" s="1">
        <f>IF(COUNTIF($G$2:G52,G52)=1,ROW()-1,ROWS(Clean_Data[OrderID])+1)</f>
        <v>901</v>
      </c>
      <c r="AD52" s="1">
        <f>IF(COUNTIF($H$2:H52,H52)=1,ROW()-1,ROWS(Clean_Data[OrderID])+1)</f>
        <v>901</v>
      </c>
      <c r="AE52" s="1">
        <f>IF(COUNTIF($V$2:V52,V52)=1,V52,ROWS(Clean_Data[OrderID])+1)</f>
        <v>901</v>
      </c>
      <c r="AF52" s="1">
        <f>IF(COUNTIF($U$2:U52,U52)=1,U52,ROWS(Clean_Data[OrderID])+1)</f>
        <v>901</v>
      </c>
      <c r="AG52" s="1">
        <f>IF(COUNTIF($E$2:E52,E52)=1,ROW()-1,ROWS(Clean_Data[OrderID])+1)</f>
        <v>901</v>
      </c>
    </row>
    <row r="53" spans="1:33" ht="20" customHeight="1">
      <c r="A53" s="3" t="s">
        <v>220</v>
      </c>
      <c r="B53" s="2">
        <v>46267</v>
      </c>
      <c r="C53" s="3">
        <v>18</v>
      </c>
      <c r="D53" s="3" t="s">
        <v>188</v>
      </c>
      <c r="E53" s="3" t="s">
        <v>117</v>
      </c>
      <c r="F53" s="3" t="s">
        <v>121</v>
      </c>
      <c r="G53" s="3" t="s">
        <v>122</v>
      </c>
      <c r="H53" s="3" t="s">
        <v>214</v>
      </c>
      <c r="I53" s="3">
        <v>3</v>
      </c>
      <c r="J53" s="11">
        <v>55</v>
      </c>
      <c r="K53" s="4">
        <v>0</v>
      </c>
      <c r="L53" s="3" t="s">
        <v>95</v>
      </c>
      <c r="M53" s="3">
        <v>23</v>
      </c>
      <c r="N53" s="3">
        <v>12</v>
      </c>
      <c r="O53" s="3">
        <v>5</v>
      </c>
      <c r="P53" s="11">
        <f>Clean_Data[[#This Row],[Quantity]]*Clean_Data[[#This Row],[UnitPrice]]</f>
        <v>165</v>
      </c>
      <c r="Q53" s="11">
        <f>ROUND(Clean_Data[[#This Row],[GrossSales]]*Clean_Data[[#This Row],[DiscountPct]],2)</f>
        <v>0</v>
      </c>
      <c r="R53" s="11">
        <f>IF(Clean_Data[[#This Row],[Status]]="Delivered",ROUND(Clean_Data[[#This Row],[GrossSales]]-Clean_Data[[#This Row],[DiscountAmount]],2),0)</f>
        <v>165</v>
      </c>
      <c r="S53" s="3" t="str">
        <f>IF(Clean_Data[[#This Row],[OrderHour]]&lt;6,"Night",IF(Clean_Data[[#This Row],[OrderHour]]&lt;12,"Morning",IF(Clean_Data[[#This Row],[OrderHour]]&lt;18,"Afternoon","Evening")))</f>
        <v>Evening</v>
      </c>
      <c r="T53" s="3" t="str">
        <f>TEXT(Clean_Data[[#This Row],[OrderDate]],"[$-409]ddd")</f>
        <v>Wed</v>
      </c>
      <c r="U53" s="3">
        <f>WEEKDAY(Clean_Data[[#This Row],[OrderDate]],2)</f>
        <v>3</v>
      </c>
      <c r="V53" s="3">
        <f>INT(Clean_Data[[#This Row],[OrderHour]]/6)+1</f>
        <v>4</v>
      </c>
      <c r="W53" s="3">
        <f>IF(Clean_Data[[#This Row],[Status]]="Delivered",1,0)</f>
        <v>1</v>
      </c>
      <c r="X53" s="3">
        <f>IF(Clean_Data[[#This Row],[Status]]="Delivered",IF(Clean_Data[[#This Row],[DeliveryMinutes]]&lt;=Dashboard!$X$5,1,0),0)</f>
        <v>1</v>
      </c>
      <c r="Y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" s="3">
        <f>IF(AND(Clean_Data[[#This Row],[Include]]=1,Clean_Data[[#This Row],[DeliveredFlag]]=1),1,0)</f>
        <v>1</v>
      </c>
      <c r="AA53" s="1">
        <f>IF(COUNTIF($D$2:D53,D53)=1,ROW()-1,ROWS(Clean_Data[OrderID])+1)</f>
        <v>901</v>
      </c>
      <c r="AB53" s="1">
        <f>IF(COUNTIF($F$2:F53,F53)=1,ROW()-1,ROWS(Clean_Data[OrderID])+1)</f>
        <v>901</v>
      </c>
      <c r="AC53" s="1">
        <f>IF(COUNTIF($G$2:G53,G53)=1,ROW()-1,ROWS(Clean_Data[OrderID])+1)</f>
        <v>901</v>
      </c>
      <c r="AD53" s="1">
        <f>IF(COUNTIF($H$2:H53,H53)=1,ROW()-1,ROWS(Clean_Data[OrderID])+1)</f>
        <v>901</v>
      </c>
      <c r="AE53" s="1">
        <f>IF(COUNTIF($V$2:V53,V53)=1,V53,ROWS(Clean_Data[OrderID])+1)</f>
        <v>901</v>
      </c>
      <c r="AF53" s="1">
        <f>IF(COUNTIF($U$2:U53,U53)=1,U53,ROWS(Clean_Data[OrderID])+1)</f>
        <v>901</v>
      </c>
      <c r="AG53" s="1">
        <f>IF(COUNTIF($E$2:E53,E53)=1,ROW()-1,ROWS(Clean_Data[OrderID])+1)</f>
        <v>901</v>
      </c>
    </row>
    <row r="54" spans="1:33" ht="20" customHeight="1">
      <c r="A54" s="3" t="s">
        <v>221</v>
      </c>
      <c r="B54" s="2">
        <v>46267</v>
      </c>
      <c r="C54" s="3">
        <v>12</v>
      </c>
      <c r="D54" s="3" t="s">
        <v>222</v>
      </c>
      <c r="E54" s="3" t="s">
        <v>91</v>
      </c>
      <c r="F54" s="3" t="s">
        <v>109</v>
      </c>
      <c r="G54" s="3" t="s">
        <v>93</v>
      </c>
      <c r="H54" s="3" t="s">
        <v>146</v>
      </c>
      <c r="I54" s="3">
        <v>4</v>
      </c>
      <c r="J54" s="11">
        <v>110</v>
      </c>
      <c r="K54" s="4">
        <v>0</v>
      </c>
      <c r="L54" s="3" t="s">
        <v>95</v>
      </c>
      <c r="M54" s="3">
        <v>26</v>
      </c>
      <c r="N54" s="3">
        <v>9</v>
      </c>
      <c r="O54" s="3">
        <v>3</v>
      </c>
      <c r="P54" s="11">
        <f>Clean_Data[[#This Row],[Quantity]]*Clean_Data[[#This Row],[UnitPrice]]</f>
        <v>440</v>
      </c>
      <c r="Q54" s="11">
        <f>ROUND(Clean_Data[[#This Row],[GrossSales]]*Clean_Data[[#This Row],[DiscountPct]],2)</f>
        <v>0</v>
      </c>
      <c r="R54" s="11">
        <f>IF(Clean_Data[[#This Row],[Status]]="Delivered",ROUND(Clean_Data[[#This Row],[GrossSales]]-Clean_Data[[#This Row],[DiscountAmount]],2),0)</f>
        <v>440</v>
      </c>
      <c r="S54" s="3" t="str">
        <f>IF(Clean_Data[[#This Row],[OrderHour]]&lt;6,"Night",IF(Clean_Data[[#This Row],[OrderHour]]&lt;12,"Morning",IF(Clean_Data[[#This Row],[OrderHour]]&lt;18,"Afternoon","Evening")))</f>
        <v>Afternoon</v>
      </c>
      <c r="T54" s="3" t="str">
        <f>TEXT(Clean_Data[[#This Row],[OrderDate]],"[$-409]ddd")</f>
        <v>Wed</v>
      </c>
      <c r="U54" s="3">
        <f>WEEKDAY(Clean_Data[[#This Row],[OrderDate]],2)</f>
        <v>3</v>
      </c>
      <c r="V54" s="3">
        <f>INT(Clean_Data[[#This Row],[OrderHour]]/6)+1</f>
        <v>3</v>
      </c>
      <c r="W54" s="3">
        <f>IF(Clean_Data[[#This Row],[Status]]="Delivered",1,0)</f>
        <v>1</v>
      </c>
      <c r="X54" s="3">
        <f>IF(Clean_Data[[#This Row],[Status]]="Delivered",IF(Clean_Data[[#This Row],[DeliveryMinutes]]&lt;=Dashboard!$X$5,1,0),0)</f>
        <v>1</v>
      </c>
      <c r="Y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" s="3">
        <f>IF(AND(Clean_Data[[#This Row],[Include]]=1,Clean_Data[[#This Row],[DeliveredFlag]]=1),1,0)</f>
        <v>1</v>
      </c>
      <c r="AA54" s="1">
        <f>IF(COUNTIF($D$2:D54,D54)=1,ROW()-1,ROWS(Clean_Data[OrderID])+1)</f>
        <v>53</v>
      </c>
      <c r="AB54" s="1">
        <f>IF(COUNTIF($F$2:F54,F54)=1,ROW()-1,ROWS(Clean_Data[OrderID])+1)</f>
        <v>901</v>
      </c>
      <c r="AC54" s="1">
        <f>IF(COUNTIF($G$2:G54,G54)=1,ROW()-1,ROWS(Clean_Data[OrderID])+1)</f>
        <v>901</v>
      </c>
      <c r="AD54" s="1">
        <f>IF(COUNTIF($H$2:H54,H54)=1,ROW()-1,ROWS(Clean_Data[OrderID])+1)</f>
        <v>901</v>
      </c>
      <c r="AE54" s="1">
        <f>IF(COUNTIF($V$2:V54,V54)=1,V54,ROWS(Clean_Data[OrderID])+1)</f>
        <v>901</v>
      </c>
      <c r="AF54" s="1">
        <f>IF(COUNTIF($U$2:U54,U54)=1,U54,ROWS(Clean_Data[OrderID])+1)</f>
        <v>901</v>
      </c>
      <c r="AG54" s="1">
        <f>IF(COUNTIF($E$2:E54,E54)=1,ROW()-1,ROWS(Clean_Data[OrderID])+1)</f>
        <v>901</v>
      </c>
    </row>
    <row r="55" spans="1:33" ht="20" customHeight="1">
      <c r="A55" s="3" t="s">
        <v>223</v>
      </c>
      <c r="B55" s="2">
        <v>46267</v>
      </c>
      <c r="C55" s="3">
        <v>11</v>
      </c>
      <c r="D55" s="3" t="s">
        <v>224</v>
      </c>
      <c r="E55" s="3" t="s">
        <v>91</v>
      </c>
      <c r="F55" s="3" t="s">
        <v>92</v>
      </c>
      <c r="G55" s="3" t="s">
        <v>99</v>
      </c>
      <c r="H55" s="3" t="s">
        <v>100</v>
      </c>
      <c r="I55" s="3">
        <v>1</v>
      </c>
      <c r="J55" s="11">
        <v>120</v>
      </c>
      <c r="K55" s="4">
        <v>0.15</v>
      </c>
      <c r="L55" s="3" t="s">
        <v>95</v>
      </c>
      <c r="M55" s="3">
        <v>34</v>
      </c>
      <c r="N55" s="3">
        <v>11</v>
      </c>
      <c r="O55" s="3">
        <v>4</v>
      </c>
      <c r="P55" s="11">
        <f>Clean_Data[[#This Row],[Quantity]]*Clean_Data[[#This Row],[UnitPrice]]</f>
        <v>120</v>
      </c>
      <c r="Q55" s="11">
        <f>ROUND(Clean_Data[[#This Row],[GrossSales]]*Clean_Data[[#This Row],[DiscountPct]],2)</f>
        <v>18</v>
      </c>
      <c r="R55" s="11">
        <f>IF(Clean_Data[[#This Row],[Status]]="Delivered",ROUND(Clean_Data[[#This Row],[GrossSales]]-Clean_Data[[#This Row],[DiscountAmount]],2),0)</f>
        <v>102</v>
      </c>
      <c r="S55" s="3" t="str">
        <f>IF(Clean_Data[[#This Row],[OrderHour]]&lt;6,"Night",IF(Clean_Data[[#This Row],[OrderHour]]&lt;12,"Morning",IF(Clean_Data[[#This Row],[OrderHour]]&lt;18,"Afternoon","Evening")))</f>
        <v>Morning</v>
      </c>
      <c r="T55" s="3" t="str">
        <f>TEXT(Clean_Data[[#This Row],[OrderDate]],"[$-409]ddd")</f>
        <v>Wed</v>
      </c>
      <c r="U55" s="3">
        <f>WEEKDAY(Clean_Data[[#This Row],[OrderDate]],2)</f>
        <v>3</v>
      </c>
      <c r="V55" s="3">
        <f>INT(Clean_Data[[#This Row],[OrderHour]]/6)+1</f>
        <v>2</v>
      </c>
      <c r="W55" s="3">
        <f>IF(Clean_Data[[#This Row],[Status]]="Delivered",1,0)</f>
        <v>1</v>
      </c>
      <c r="X55" s="3">
        <f>IF(Clean_Data[[#This Row],[Status]]="Delivered",IF(Clean_Data[[#This Row],[DeliveryMinutes]]&lt;=Dashboard!$X$5,1,0),0)</f>
        <v>0</v>
      </c>
      <c r="Y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" s="3">
        <f>IF(AND(Clean_Data[[#This Row],[Include]]=1,Clean_Data[[#This Row],[DeliveredFlag]]=1),1,0)</f>
        <v>1</v>
      </c>
      <c r="AA55" s="1">
        <f>IF(COUNTIF($D$2:D55,D55)=1,ROW()-1,ROWS(Clean_Data[OrderID])+1)</f>
        <v>54</v>
      </c>
      <c r="AB55" s="1">
        <f>IF(COUNTIF($F$2:F55,F55)=1,ROW()-1,ROWS(Clean_Data[OrderID])+1)</f>
        <v>901</v>
      </c>
      <c r="AC55" s="1">
        <f>IF(COUNTIF($G$2:G55,G55)=1,ROW()-1,ROWS(Clean_Data[OrderID])+1)</f>
        <v>901</v>
      </c>
      <c r="AD55" s="1">
        <f>IF(COUNTIF($H$2:H55,H55)=1,ROW()-1,ROWS(Clean_Data[OrderID])+1)</f>
        <v>901</v>
      </c>
      <c r="AE55" s="1">
        <f>IF(COUNTIF($V$2:V55,V55)=1,V55,ROWS(Clean_Data[OrderID])+1)</f>
        <v>901</v>
      </c>
      <c r="AF55" s="1">
        <f>IF(COUNTIF($U$2:U55,U55)=1,U55,ROWS(Clean_Data[OrderID])+1)</f>
        <v>901</v>
      </c>
      <c r="AG55" s="1">
        <f>IF(COUNTIF($E$2:E55,E55)=1,ROW()-1,ROWS(Clean_Data[OrderID])+1)</f>
        <v>901</v>
      </c>
    </row>
    <row r="56" spans="1:33" ht="20" customHeight="1">
      <c r="A56" s="3" t="s">
        <v>225</v>
      </c>
      <c r="B56" s="2">
        <v>46267</v>
      </c>
      <c r="C56" s="3">
        <v>9</v>
      </c>
      <c r="D56" s="3" t="s">
        <v>226</v>
      </c>
      <c r="E56" s="3" t="s">
        <v>91</v>
      </c>
      <c r="F56" s="3" t="s">
        <v>139</v>
      </c>
      <c r="G56" s="3" t="s">
        <v>99</v>
      </c>
      <c r="H56" s="3" t="s">
        <v>100</v>
      </c>
      <c r="I56" s="3">
        <v>3</v>
      </c>
      <c r="J56" s="11">
        <v>120</v>
      </c>
      <c r="K56" s="4">
        <v>0</v>
      </c>
      <c r="L56" s="3" t="s">
        <v>95</v>
      </c>
      <c r="M56" s="3">
        <v>35</v>
      </c>
      <c r="N56" s="3">
        <v>5</v>
      </c>
      <c r="O56" s="3">
        <v>4</v>
      </c>
      <c r="P56" s="11">
        <f>Clean_Data[[#This Row],[Quantity]]*Clean_Data[[#This Row],[UnitPrice]]</f>
        <v>360</v>
      </c>
      <c r="Q56" s="11">
        <f>ROUND(Clean_Data[[#This Row],[GrossSales]]*Clean_Data[[#This Row],[DiscountPct]],2)</f>
        <v>0</v>
      </c>
      <c r="R56" s="11">
        <f>IF(Clean_Data[[#This Row],[Status]]="Delivered",ROUND(Clean_Data[[#This Row],[GrossSales]]-Clean_Data[[#This Row],[DiscountAmount]],2),0)</f>
        <v>360</v>
      </c>
      <c r="S56" s="3" t="str">
        <f>IF(Clean_Data[[#This Row],[OrderHour]]&lt;6,"Night",IF(Clean_Data[[#This Row],[OrderHour]]&lt;12,"Morning",IF(Clean_Data[[#This Row],[OrderHour]]&lt;18,"Afternoon","Evening")))</f>
        <v>Morning</v>
      </c>
      <c r="T56" s="3" t="str">
        <f>TEXT(Clean_Data[[#This Row],[OrderDate]],"[$-409]ddd")</f>
        <v>Wed</v>
      </c>
      <c r="U56" s="3">
        <f>WEEKDAY(Clean_Data[[#This Row],[OrderDate]],2)</f>
        <v>3</v>
      </c>
      <c r="V56" s="3">
        <f>INT(Clean_Data[[#This Row],[OrderHour]]/6)+1</f>
        <v>2</v>
      </c>
      <c r="W56" s="3">
        <f>IF(Clean_Data[[#This Row],[Status]]="Delivered",1,0)</f>
        <v>1</v>
      </c>
      <c r="X56" s="3">
        <f>IF(Clean_Data[[#This Row],[Status]]="Delivered",IF(Clean_Data[[#This Row],[DeliveryMinutes]]&lt;=Dashboard!$X$5,1,0),0)</f>
        <v>0</v>
      </c>
      <c r="Y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" s="3">
        <f>IF(AND(Clean_Data[[#This Row],[Include]]=1,Clean_Data[[#This Row],[DeliveredFlag]]=1),1,0)</f>
        <v>1</v>
      </c>
      <c r="AA56" s="1">
        <f>IF(COUNTIF($D$2:D56,D56)=1,ROW()-1,ROWS(Clean_Data[OrderID])+1)</f>
        <v>55</v>
      </c>
      <c r="AB56" s="1">
        <f>IF(COUNTIF($F$2:F56,F56)=1,ROW()-1,ROWS(Clean_Data[OrderID])+1)</f>
        <v>901</v>
      </c>
      <c r="AC56" s="1">
        <f>IF(COUNTIF($G$2:G56,G56)=1,ROW()-1,ROWS(Clean_Data[OrderID])+1)</f>
        <v>901</v>
      </c>
      <c r="AD56" s="1">
        <f>IF(COUNTIF($H$2:H56,H56)=1,ROW()-1,ROWS(Clean_Data[OrderID])+1)</f>
        <v>901</v>
      </c>
      <c r="AE56" s="1">
        <f>IF(COUNTIF($V$2:V56,V56)=1,V56,ROWS(Clean_Data[OrderID])+1)</f>
        <v>901</v>
      </c>
      <c r="AF56" s="1">
        <f>IF(COUNTIF($U$2:U56,U56)=1,U56,ROWS(Clean_Data[OrderID])+1)</f>
        <v>901</v>
      </c>
      <c r="AG56" s="1">
        <f>IF(COUNTIF($E$2:E56,E56)=1,ROW()-1,ROWS(Clean_Data[OrderID])+1)</f>
        <v>901</v>
      </c>
    </row>
    <row r="57" spans="1:33" ht="20" customHeight="1">
      <c r="A57" s="3" t="s">
        <v>227</v>
      </c>
      <c r="B57" s="2">
        <v>46267</v>
      </c>
      <c r="C57" s="3">
        <v>10</v>
      </c>
      <c r="D57" s="3" t="s">
        <v>228</v>
      </c>
      <c r="E57" s="3" t="s">
        <v>91</v>
      </c>
      <c r="F57" s="3" t="s">
        <v>139</v>
      </c>
      <c r="G57" s="3" t="s">
        <v>135</v>
      </c>
      <c r="H57" s="3" t="s">
        <v>136</v>
      </c>
      <c r="I57" s="3">
        <v>3</v>
      </c>
      <c r="J57" s="11">
        <v>40</v>
      </c>
      <c r="K57" s="4">
        <v>0</v>
      </c>
      <c r="L57" s="3" t="s">
        <v>95</v>
      </c>
      <c r="M57" s="3">
        <v>29</v>
      </c>
      <c r="N57" s="3">
        <v>6</v>
      </c>
      <c r="O57" s="3">
        <v>5</v>
      </c>
      <c r="P57" s="11">
        <f>Clean_Data[[#This Row],[Quantity]]*Clean_Data[[#This Row],[UnitPrice]]</f>
        <v>120</v>
      </c>
      <c r="Q57" s="11">
        <f>ROUND(Clean_Data[[#This Row],[GrossSales]]*Clean_Data[[#This Row],[DiscountPct]],2)</f>
        <v>0</v>
      </c>
      <c r="R57" s="11">
        <f>IF(Clean_Data[[#This Row],[Status]]="Delivered",ROUND(Clean_Data[[#This Row],[GrossSales]]-Clean_Data[[#This Row],[DiscountAmount]],2),0)</f>
        <v>120</v>
      </c>
      <c r="S57" s="3" t="str">
        <f>IF(Clean_Data[[#This Row],[OrderHour]]&lt;6,"Night",IF(Clean_Data[[#This Row],[OrderHour]]&lt;12,"Morning",IF(Clean_Data[[#This Row],[OrderHour]]&lt;18,"Afternoon","Evening")))</f>
        <v>Morning</v>
      </c>
      <c r="T57" s="3" t="str">
        <f>TEXT(Clean_Data[[#This Row],[OrderDate]],"[$-409]ddd")</f>
        <v>Wed</v>
      </c>
      <c r="U57" s="3">
        <f>WEEKDAY(Clean_Data[[#This Row],[OrderDate]],2)</f>
        <v>3</v>
      </c>
      <c r="V57" s="3">
        <f>INT(Clean_Data[[#This Row],[OrderHour]]/6)+1</f>
        <v>2</v>
      </c>
      <c r="W57" s="3">
        <f>IF(Clean_Data[[#This Row],[Status]]="Delivered",1,0)</f>
        <v>1</v>
      </c>
      <c r="X57" s="3">
        <f>IF(Clean_Data[[#This Row],[Status]]="Delivered",IF(Clean_Data[[#This Row],[DeliveryMinutes]]&lt;=Dashboard!$X$5,1,0),0)</f>
        <v>1</v>
      </c>
      <c r="Y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" s="3">
        <f>IF(AND(Clean_Data[[#This Row],[Include]]=1,Clean_Data[[#This Row],[DeliveredFlag]]=1),1,0)</f>
        <v>1</v>
      </c>
      <c r="AA57" s="1">
        <f>IF(COUNTIF($D$2:D57,D57)=1,ROW()-1,ROWS(Clean_Data[OrderID])+1)</f>
        <v>56</v>
      </c>
      <c r="AB57" s="1">
        <f>IF(COUNTIF($F$2:F57,F57)=1,ROW()-1,ROWS(Clean_Data[OrderID])+1)</f>
        <v>901</v>
      </c>
      <c r="AC57" s="1">
        <f>IF(COUNTIF($G$2:G57,G57)=1,ROW()-1,ROWS(Clean_Data[OrderID])+1)</f>
        <v>901</v>
      </c>
      <c r="AD57" s="1">
        <f>IF(COUNTIF($H$2:H57,H57)=1,ROW()-1,ROWS(Clean_Data[OrderID])+1)</f>
        <v>901</v>
      </c>
      <c r="AE57" s="1">
        <f>IF(COUNTIF($V$2:V57,V57)=1,V57,ROWS(Clean_Data[OrderID])+1)</f>
        <v>901</v>
      </c>
      <c r="AF57" s="1">
        <f>IF(COUNTIF($U$2:U57,U57)=1,U57,ROWS(Clean_Data[OrderID])+1)</f>
        <v>901</v>
      </c>
      <c r="AG57" s="1">
        <f>IF(COUNTIF($E$2:E57,E57)=1,ROW()-1,ROWS(Clean_Data[OrderID])+1)</f>
        <v>901</v>
      </c>
    </row>
    <row r="58" spans="1:33" ht="20" customHeight="1">
      <c r="A58" s="3" t="s">
        <v>229</v>
      </c>
      <c r="B58" s="2">
        <v>46267</v>
      </c>
      <c r="C58" s="3">
        <v>17</v>
      </c>
      <c r="D58" s="3" t="s">
        <v>230</v>
      </c>
      <c r="E58" s="3" t="s">
        <v>91</v>
      </c>
      <c r="F58" s="3" t="s">
        <v>121</v>
      </c>
      <c r="G58" s="3" t="s">
        <v>110</v>
      </c>
      <c r="H58" s="3" t="s">
        <v>114</v>
      </c>
      <c r="I58" s="3">
        <v>3</v>
      </c>
      <c r="J58" s="11">
        <v>145</v>
      </c>
      <c r="K58" s="4">
        <v>0</v>
      </c>
      <c r="L58" s="3" t="s">
        <v>101</v>
      </c>
      <c r="M58" s="3"/>
      <c r="N58" s="3"/>
      <c r="O58" s="3"/>
      <c r="P58" s="11">
        <f>Clean_Data[[#This Row],[Quantity]]*Clean_Data[[#This Row],[UnitPrice]]</f>
        <v>435</v>
      </c>
      <c r="Q58" s="11">
        <f>ROUND(Clean_Data[[#This Row],[GrossSales]]*Clean_Data[[#This Row],[DiscountPct]],2)</f>
        <v>0</v>
      </c>
      <c r="R58" s="11">
        <f>IF(Clean_Data[[#This Row],[Status]]="Delivered",ROUND(Clean_Data[[#This Row],[GrossSales]]-Clean_Data[[#This Row],[DiscountAmount]],2),0)</f>
        <v>0</v>
      </c>
      <c r="S58" s="3" t="str">
        <f>IF(Clean_Data[[#This Row],[OrderHour]]&lt;6,"Night",IF(Clean_Data[[#This Row],[OrderHour]]&lt;12,"Morning",IF(Clean_Data[[#This Row],[OrderHour]]&lt;18,"Afternoon","Evening")))</f>
        <v>Afternoon</v>
      </c>
      <c r="T58" s="3" t="str">
        <f>TEXT(Clean_Data[[#This Row],[OrderDate]],"[$-409]ddd")</f>
        <v>Wed</v>
      </c>
      <c r="U58" s="3">
        <f>WEEKDAY(Clean_Data[[#This Row],[OrderDate]],2)</f>
        <v>3</v>
      </c>
      <c r="V58" s="3">
        <f>INT(Clean_Data[[#This Row],[OrderHour]]/6)+1</f>
        <v>3</v>
      </c>
      <c r="W58" s="3">
        <f>IF(Clean_Data[[#This Row],[Status]]="Delivered",1,0)</f>
        <v>0</v>
      </c>
      <c r="X58" s="3">
        <f>IF(Clean_Data[[#This Row],[Status]]="Delivered",IF(Clean_Data[[#This Row],[DeliveryMinutes]]&lt;=Dashboard!$X$5,1,0),0)</f>
        <v>0</v>
      </c>
      <c r="Y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" s="3">
        <f>IF(AND(Clean_Data[[#This Row],[Include]]=1,Clean_Data[[#This Row],[DeliveredFlag]]=1),1,0)</f>
        <v>0</v>
      </c>
      <c r="AA58" s="1">
        <f>IF(COUNTIF($D$2:D58,D58)=1,ROW()-1,ROWS(Clean_Data[OrderID])+1)</f>
        <v>57</v>
      </c>
      <c r="AB58" s="1">
        <f>IF(COUNTIF($F$2:F58,F58)=1,ROW()-1,ROWS(Clean_Data[OrderID])+1)</f>
        <v>901</v>
      </c>
      <c r="AC58" s="1">
        <f>IF(COUNTIF($G$2:G58,G58)=1,ROW()-1,ROWS(Clean_Data[OrderID])+1)</f>
        <v>901</v>
      </c>
      <c r="AD58" s="1">
        <f>IF(COUNTIF($H$2:H58,H58)=1,ROW()-1,ROWS(Clean_Data[OrderID])+1)</f>
        <v>901</v>
      </c>
      <c r="AE58" s="1">
        <f>IF(COUNTIF($V$2:V58,V58)=1,V58,ROWS(Clean_Data[OrderID])+1)</f>
        <v>901</v>
      </c>
      <c r="AF58" s="1">
        <f>IF(COUNTIF($U$2:U58,U58)=1,U58,ROWS(Clean_Data[OrderID])+1)</f>
        <v>901</v>
      </c>
      <c r="AG58" s="1">
        <f>IF(COUNTIF($E$2:E58,E58)=1,ROW()-1,ROWS(Clean_Data[OrderID])+1)</f>
        <v>901</v>
      </c>
    </row>
    <row r="59" spans="1:33" ht="20" customHeight="1">
      <c r="A59" s="3" t="s">
        <v>231</v>
      </c>
      <c r="B59" s="2">
        <v>46267</v>
      </c>
      <c r="C59" s="3">
        <v>15</v>
      </c>
      <c r="D59" s="3" t="s">
        <v>232</v>
      </c>
      <c r="E59" s="3" t="s">
        <v>91</v>
      </c>
      <c r="F59" s="3" t="s">
        <v>121</v>
      </c>
      <c r="G59" s="3" t="s">
        <v>99</v>
      </c>
      <c r="H59" s="3" t="s">
        <v>100</v>
      </c>
      <c r="I59" s="3">
        <v>4</v>
      </c>
      <c r="J59" s="11">
        <v>120</v>
      </c>
      <c r="K59" s="4">
        <v>0.15</v>
      </c>
      <c r="L59" s="3" t="s">
        <v>95</v>
      </c>
      <c r="M59" s="3">
        <v>16</v>
      </c>
      <c r="N59" s="3">
        <v>11</v>
      </c>
      <c r="O59" s="3">
        <v>5</v>
      </c>
      <c r="P59" s="11">
        <f>Clean_Data[[#This Row],[Quantity]]*Clean_Data[[#This Row],[UnitPrice]]</f>
        <v>480</v>
      </c>
      <c r="Q59" s="11">
        <f>ROUND(Clean_Data[[#This Row],[GrossSales]]*Clean_Data[[#This Row],[DiscountPct]],2)</f>
        <v>72</v>
      </c>
      <c r="R59" s="11">
        <f>IF(Clean_Data[[#This Row],[Status]]="Delivered",ROUND(Clean_Data[[#This Row],[GrossSales]]-Clean_Data[[#This Row],[DiscountAmount]],2),0)</f>
        <v>408</v>
      </c>
      <c r="S59" s="3" t="str">
        <f>IF(Clean_Data[[#This Row],[OrderHour]]&lt;6,"Night",IF(Clean_Data[[#This Row],[OrderHour]]&lt;12,"Morning",IF(Clean_Data[[#This Row],[OrderHour]]&lt;18,"Afternoon","Evening")))</f>
        <v>Afternoon</v>
      </c>
      <c r="T59" s="3" t="str">
        <f>TEXT(Clean_Data[[#This Row],[OrderDate]],"[$-409]ddd")</f>
        <v>Wed</v>
      </c>
      <c r="U59" s="3">
        <f>WEEKDAY(Clean_Data[[#This Row],[OrderDate]],2)</f>
        <v>3</v>
      </c>
      <c r="V59" s="3">
        <f>INT(Clean_Data[[#This Row],[OrderHour]]/6)+1</f>
        <v>3</v>
      </c>
      <c r="W59" s="3">
        <f>IF(Clean_Data[[#This Row],[Status]]="Delivered",1,0)</f>
        <v>1</v>
      </c>
      <c r="X59" s="3">
        <f>IF(Clean_Data[[#This Row],[Status]]="Delivered",IF(Clean_Data[[#This Row],[DeliveryMinutes]]&lt;=Dashboard!$X$5,1,0),0)</f>
        <v>1</v>
      </c>
      <c r="Y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" s="3">
        <f>IF(AND(Clean_Data[[#This Row],[Include]]=1,Clean_Data[[#This Row],[DeliveredFlag]]=1),1,0)</f>
        <v>1</v>
      </c>
      <c r="AA59" s="1">
        <f>IF(COUNTIF($D$2:D59,D59)=1,ROW()-1,ROWS(Clean_Data[OrderID])+1)</f>
        <v>58</v>
      </c>
      <c r="AB59" s="1">
        <f>IF(COUNTIF($F$2:F59,F59)=1,ROW()-1,ROWS(Clean_Data[OrderID])+1)</f>
        <v>901</v>
      </c>
      <c r="AC59" s="1">
        <f>IF(COUNTIF($G$2:G59,G59)=1,ROW()-1,ROWS(Clean_Data[OrderID])+1)</f>
        <v>901</v>
      </c>
      <c r="AD59" s="1">
        <f>IF(COUNTIF($H$2:H59,H59)=1,ROW()-1,ROWS(Clean_Data[OrderID])+1)</f>
        <v>901</v>
      </c>
      <c r="AE59" s="1">
        <f>IF(COUNTIF($V$2:V59,V59)=1,V59,ROWS(Clean_Data[OrderID])+1)</f>
        <v>901</v>
      </c>
      <c r="AF59" s="1">
        <f>IF(COUNTIF($U$2:U59,U59)=1,U59,ROWS(Clean_Data[OrderID])+1)</f>
        <v>901</v>
      </c>
      <c r="AG59" s="1">
        <f>IF(COUNTIF($E$2:E59,E59)=1,ROW()-1,ROWS(Clean_Data[OrderID])+1)</f>
        <v>901</v>
      </c>
    </row>
    <row r="60" spans="1:33" ht="20" customHeight="1">
      <c r="A60" s="3" t="s">
        <v>233</v>
      </c>
      <c r="B60" s="2">
        <v>46267</v>
      </c>
      <c r="C60" s="3">
        <v>11</v>
      </c>
      <c r="D60" s="3" t="s">
        <v>234</v>
      </c>
      <c r="E60" s="3" t="s">
        <v>91</v>
      </c>
      <c r="F60" s="3" t="s">
        <v>92</v>
      </c>
      <c r="G60" s="3" t="s">
        <v>93</v>
      </c>
      <c r="H60" s="3" t="s">
        <v>118</v>
      </c>
      <c r="I60" s="3">
        <v>1</v>
      </c>
      <c r="J60" s="11">
        <v>45</v>
      </c>
      <c r="K60" s="4">
        <v>0</v>
      </c>
      <c r="L60" s="3" t="s">
        <v>95</v>
      </c>
      <c r="M60" s="3">
        <v>18</v>
      </c>
      <c r="N60" s="3">
        <v>8</v>
      </c>
      <c r="O60" s="3">
        <v>4</v>
      </c>
      <c r="P60" s="11">
        <f>Clean_Data[[#This Row],[Quantity]]*Clean_Data[[#This Row],[UnitPrice]]</f>
        <v>45</v>
      </c>
      <c r="Q60" s="11">
        <f>ROUND(Clean_Data[[#This Row],[GrossSales]]*Clean_Data[[#This Row],[DiscountPct]],2)</f>
        <v>0</v>
      </c>
      <c r="R60" s="11">
        <f>IF(Clean_Data[[#This Row],[Status]]="Delivered",ROUND(Clean_Data[[#This Row],[GrossSales]]-Clean_Data[[#This Row],[DiscountAmount]],2),0)</f>
        <v>45</v>
      </c>
      <c r="S60" s="3" t="str">
        <f>IF(Clean_Data[[#This Row],[OrderHour]]&lt;6,"Night",IF(Clean_Data[[#This Row],[OrderHour]]&lt;12,"Morning",IF(Clean_Data[[#This Row],[OrderHour]]&lt;18,"Afternoon","Evening")))</f>
        <v>Morning</v>
      </c>
      <c r="T60" s="3" t="str">
        <f>TEXT(Clean_Data[[#This Row],[OrderDate]],"[$-409]ddd")</f>
        <v>Wed</v>
      </c>
      <c r="U60" s="3">
        <f>WEEKDAY(Clean_Data[[#This Row],[OrderDate]],2)</f>
        <v>3</v>
      </c>
      <c r="V60" s="3">
        <f>INT(Clean_Data[[#This Row],[OrderHour]]/6)+1</f>
        <v>2</v>
      </c>
      <c r="W60" s="3">
        <f>IF(Clean_Data[[#This Row],[Status]]="Delivered",1,0)</f>
        <v>1</v>
      </c>
      <c r="X60" s="3">
        <f>IF(Clean_Data[[#This Row],[Status]]="Delivered",IF(Clean_Data[[#This Row],[DeliveryMinutes]]&lt;=Dashboard!$X$5,1,0),0)</f>
        <v>1</v>
      </c>
      <c r="Y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" s="3">
        <f>IF(AND(Clean_Data[[#This Row],[Include]]=1,Clean_Data[[#This Row],[DeliveredFlag]]=1),1,0)</f>
        <v>1</v>
      </c>
      <c r="AA60" s="1">
        <f>IF(COUNTIF($D$2:D60,D60)=1,ROW()-1,ROWS(Clean_Data[OrderID])+1)</f>
        <v>59</v>
      </c>
      <c r="AB60" s="1">
        <f>IF(COUNTIF($F$2:F60,F60)=1,ROW()-1,ROWS(Clean_Data[OrderID])+1)</f>
        <v>901</v>
      </c>
      <c r="AC60" s="1">
        <f>IF(COUNTIF($G$2:G60,G60)=1,ROW()-1,ROWS(Clean_Data[OrderID])+1)</f>
        <v>901</v>
      </c>
      <c r="AD60" s="1">
        <f>IF(COUNTIF($H$2:H60,H60)=1,ROW()-1,ROWS(Clean_Data[OrderID])+1)</f>
        <v>901</v>
      </c>
      <c r="AE60" s="1">
        <f>IF(COUNTIF($V$2:V60,V60)=1,V60,ROWS(Clean_Data[OrderID])+1)</f>
        <v>901</v>
      </c>
      <c r="AF60" s="1">
        <f>IF(COUNTIF($U$2:U60,U60)=1,U60,ROWS(Clean_Data[OrderID])+1)</f>
        <v>901</v>
      </c>
      <c r="AG60" s="1">
        <f>IF(COUNTIF($E$2:E60,E60)=1,ROW()-1,ROWS(Clean_Data[OrderID])+1)</f>
        <v>901</v>
      </c>
    </row>
    <row r="61" spans="1:33" ht="20" customHeight="1">
      <c r="A61" s="3" t="s">
        <v>235</v>
      </c>
      <c r="B61" s="2">
        <v>46267</v>
      </c>
      <c r="C61" s="3">
        <v>10</v>
      </c>
      <c r="D61" s="3" t="s">
        <v>236</v>
      </c>
      <c r="E61" s="3" t="s">
        <v>91</v>
      </c>
      <c r="F61" s="3" t="s">
        <v>98</v>
      </c>
      <c r="G61" s="3" t="s">
        <v>135</v>
      </c>
      <c r="H61" s="3" t="s">
        <v>162</v>
      </c>
      <c r="I61" s="3">
        <v>6</v>
      </c>
      <c r="J61" s="11">
        <v>180</v>
      </c>
      <c r="K61" s="4">
        <v>0.1</v>
      </c>
      <c r="L61" s="3" t="s">
        <v>101</v>
      </c>
      <c r="M61" s="3"/>
      <c r="N61" s="3"/>
      <c r="O61" s="3"/>
      <c r="P61" s="11">
        <f>Clean_Data[[#This Row],[Quantity]]*Clean_Data[[#This Row],[UnitPrice]]</f>
        <v>1080</v>
      </c>
      <c r="Q61" s="11">
        <f>ROUND(Clean_Data[[#This Row],[GrossSales]]*Clean_Data[[#This Row],[DiscountPct]],2)</f>
        <v>108</v>
      </c>
      <c r="R61" s="11">
        <f>IF(Clean_Data[[#This Row],[Status]]="Delivered",ROUND(Clean_Data[[#This Row],[GrossSales]]-Clean_Data[[#This Row],[DiscountAmount]],2),0)</f>
        <v>0</v>
      </c>
      <c r="S61" s="3" t="str">
        <f>IF(Clean_Data[[#This Row],[OrderHour]]&lt;6,"Night",IF(Clean_Data[[#This Row],[OrderHour]]&lt;12,"Morning",IF(Clean_Data[[#This Row],[OrderHour]]&lt;18,"Afternoon","Evening")))</f>
        <v>Morning</v>
      </c>
      <c r="T61" s="3" t="str">
        <f>TEXT(Clean_Data[[#This Row],[OrderDate]],"[$-409]ddd")</f>
        <v>Wed</v>
      </c>
      <c r="U61" s="3">
        <f>WEEKDAY(Clean_Data[[#This Row],[OrderDate]],2)</f>
        <v>3</v>
      </c>
      <c r="V61" s="3">
        <f>INT(Clean_Data[[#This Row],[OrderHour]]/6)+1</f>
        <v>2</v>
      </c>
      <c r="W61" s="3">
        <f>IF(Clean_Data[[#This Row],[Status]]="Delivered",1,0)</f>
        <v>0</v>
      </c>
      <c r="X61" s="3">
        <f>IF(Clean_Data[[#This Row],[Status]]="Delivered",IF(Clean_Data[[#This Row],[DeliveryMinutes]]&lt;=Dashboard!$X$5,1,0),0)</f>
        <v>0</v>
      </c>
      <c r="Y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" s="3">
        <f>IF(AND(Clean_Data[[#This Row],[Include]]=1,Clean_Data[[#This Row],[DeliveredFlag]]=1),1,0)</f>
        <v>0</v>
      </c>
      <c r="AA61" s="1">
        <f>IF(COUNTIF($D$2:D61,D61)=1,ROW()-1,ROWS(Clean_Data[OrderID])+1)</f>
        <v>60</v>
      </c>
      <c r="AB61" s="1">
        <f>IF(COUNTIF($F$2:F61,F61)=1,ROW()-1,ROWS(Clean_Data[OrderID])+1)</f>
        <v>901</v>
      </c>
      <c r="AC61" s="1">
        <f>IF(COUNTIF($G$2:G61,G61)=1,ROW()-1,ROWS(Clean_Data[OrderID])+1)</f>
        <v>901</v>
      </c>
      <c r="AD61" s="1">
        <f>IF(COUNTIF($H$2:H61,H61)=1,ROW()-1,ROWS(Clean_Data[OrderID])+1)</f>
        <v>901</v>
      </c>
      <c r="AE61" s="1">
        <f>IF(COUNTIF($V$2:V61,V61)=1,V61,ROWS(Clean_Data[OrderID])+1)</f>
        <v>901</v>
      </c>
      <c r="AF61" s="1">
        <f>IF(COUNTIF($U$2:U61,U61)=1,U61,ROWS(Clean_Data[OrderID])+1)</f>
        <v>901</v>
      </c>
      <c r="AG61" s="1">
        <f>IF(COUNTIF($E$2:E61,E61)=1,ROW()-1,ROWS(Clean_Data[OrderID])+1)</f>
        <v>901</v>
      </c>
    </row>
    <row r="62" spans="1:33" ht="20" customHeight="1">
      <c r="A62" s="3" t="s">
        <v>237</v>
      </c>
      <c r="B62" s="2">
        <v>46268</v>
      </c>
      <c r="C62" s="3">
        <v>19</v>
      </c>
      <c r="D62" s="3" t="s">
        <v>238</v>
      </c>
      <c r="E62" s="3" t="s">
        <v>91</v>
      </c>
      <c r="F62" s="3" t="s">
        <v>121</v>
      </c>
      <c r="G62" s="3" t="s">
        <v>110</v>
      </c>
      <c r="H62" s="3" t="s">
        <v>206</v>
      </c>
      <c r="I62" s="3">
        <v>1</v>
      </c>
      <c r="J62" s="11">
        <v>220</v>
      </c>
      <c r="K62" s="4">
        <v>0</v>
      </c>
      <c r="L62" s="3" t="s">
        <v>95</v>
      </c>
      <c r="M62" s="3">
        <v>18</v>
      </c>
      <c r="N62" s="3">
        <v>13</v>
      </c>
      <c r="O62" s="3">
        <v>5</v>
      </c>
      <c r="P62" s="11">
        <f>Clean_Data[[#This Row],[Quantity]]*Clean_Data[[#This Row],[UnitPrice]]</f>
        <v>220</v>
      </c>
      <c r="Q62" s="11">
        <f>ROUND(Clean_Data[[#This Row],[GrossSales]]*Clean_Data[[#This Row],[DiscountPct]],2)</f>
        <v>0</v>
      </c>
      <c r="R62" s="11">
        <f>IF(Clean_Data[[#This Row],[Status]]="Delivered",ROUND(Clean_Data[[#This Row],[GrossSales]]-Clean_Data[[#This Row],[DiscountAmount]],2),0)</f>
        <v>220</v>
      </c>
      <c r="S62" s="3" t="str">
        <f>IF(Clean_Data[[#This Row],[OrderHour]]&lt;6,"Night",IF(Clean_Data[[#This Row],[OrderHour]]&lt;12,"Morning",IF(Clean_Data[[#This Row],[OrderHour]]&lt;18,"Afternoon","Evening")))</f>
        <v>Evening</v>
      </c>
      <c r="T62" s="3" t="str">
        <f>TEXT(Clean_Data[[#This Row],[OrderDate]],"[$-409]ddd")</f>
        <v>Thu</v>
      </c>
      <c r="U62" s="3">
        <f>WEEKDAY(Clean_Data[[#This Row],[OrderDate]],2)</f>
        <v>4</v>
      </c>
      <c r="V62" s="3">
        <f>INT(Clean_Data[[#This Row],[OrderHour]]/6)+1</f>
        <v>4</v>
      </c>
      <c r="W62" s="3">
        <f>IF(Clean_Data[[#This Row],[Status]]="Delivered",1,0)</f>
        <v>1</v>
      </c>
      <c r="X62" s="3">
        <f>IF(Clean_Data[[#This Row],[Status]]="Delivered",IF(Clean_Data[[#This Row],[DeliveryMinutes]]&lt;=Dashboard!$X$5,1,0),0)</f>
        <v>1</v>
      </c>
      <c r="Y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" s="3">
        <f>IF(AND(Clean_Data[[#This Row],[Include]]=1,Clean_Data[[#This Row],[DeliveredFlag]]=1),1,0)</f>
        <v>1</v>
      </c>
      <c r="AA62" s="1">
        <f>IF(COUNTIF($D$2:D62,D62)=1,ROW()-1,ROWS(Clean_Data[OrderID])+1)</f>
        <v>61</v>
      </c>
      <c r="AB62" s="1">
        <f>IF(COUNTIF($F$2:F62,F62)=1,ROW()-1,ROWS(Clean_Data[OrderID])+1)</f>
        <v>901</v>
      </c>
      <c r="AC62" s="1">
        <f>IF(COUNTIF($G$2:G62,G62)=1,ROW()-1,ROWS(Clean_Data[OrderID])+1)</f>
        <v>901</v>
      </c>
      <c r="AD62" s="1">
        <f>IF(COUNTIF($H$2:H62,H62)=1,ROW()-1,ROWS(Clean_Data[OrderID])+1)</f>
        <v>901</v>
      </c>
      <c r="AE62" s="1">
        <f>IF(COUNTIF($V$2:V62,V62)=1,V62,ROWS(Clean_Data[OrderID])+1)</f>
        <v>901</v>
      </c>
      <c r="AF62" s="1">
        <f>IF(COUNTIF($U$2:U62,U62)=1,U62,ROWS(Clean_Data[OrderID])+1)</f>
        <v>4</v>
      </c>
      <c r="AG62" s="1">
        <f>IF(COUNTIF($E$2:E62,E62)=1,ROW()-1,ROWS(Clean_Data[OrderID])+1)</f>
        <v>901</v>
      </c>
    </row>
    <row r="63" spans="1:33" ht="20" customHeight="1">
      <c r="A63" s="3" t="s">
        <v>239</v>
      </c>
      <c r="B63" s="2">
        <v>46268</v>
      </c>
      <c r="C63" s="3">
        <v>21</v>
      </c>
      <c r="D63" s="3" t="s">
        <v>240</v>
      </c>
      <c r="E63" s="3" t="s">
        <v>91</v>
      </c>
      <c r="F63" s="3" t="s">
        <v>109</v>
      </c>
      <c r="G63" s="3" t="s">
        <v>135</v>
      </c>
      <c r="H63" s="3" t="s">
        <v>162</v>
      </c>
      <c r="I63" s="3">
        <v>1</v>
      </c>
      <c r="J63" s="11">
        <v>180</v>
      </c>
      <c r="K63" s="4">
        <v>0.15</v>
      </c>
      <c r="L63" s="3" t="s">
        <v>95</v>
      </c>
      <c r="M63" s="3">
        <v>13</v>
      </c>
      <c r="N63" s="3">
        <v>14</v>
      </c>
      <c r="O63" s="3">
        <v>4</v>
      </c>
      <c r="P63" s="11">
        <f>Clean_Data[[#This Row],[Quantity]]*Clean_Data[[#This Row],[UnitPrice]]</f>
        <v>180</v>
      </c>
      <c r="Q63" s="11">
        <f>ROUND(Clean_Data[[#This Row],[GrossSales]]*Clean_Data[[#This Row],[DiscountPct]],2)</f>
        <v>27</v>
      </c>
      <c r="R63" s="11">
        <f>IF(Clean_Data[[#This Row],[Status]]="Delivered",ROUND(Clean_Data[[#This Row],[GrossSales]]-Clean_Data[[#This Row],[DiscountAmount]],2),0)</f>
        <v>153</v>
      </c>
      <c r="S63" s="3" t="str">
        <f>IF(Clean_Data[[#This Row],[OrderHour]]&lt;6,"Night",IF(Clean_Data[[#This Row],[OrderHour]]&lt;12,"Morning",IF(Clean_Data[[#This Row],[OrderHour]]&lt;18,"Afternoon","Evening")))</f>
        <v>Evening</v>
      </c>
      <c r="T63" s="3" t="str">
        <f>TEXT(Clean_Data[[#This Row],[OrderDate]],"[$-409]ddd")</f>
        <v>Thu</v>
      </c>
      <c r="U63" s="3">
        <f>WEEKDAY(Clean_Data[[#This Row],[OrderDate]],2)</f>
        <v>4</v>
      </c>
      <c r="V63" s="3">
        <f>INT(Clean_Data[[#This Row],[OrderHour]]/6)+1</f>
        <v>4</v>
      </c>
      <c r="W63" s="3">
        <f>IF(Clean_Data[[#This Row],[Status]]="Delivered",1,0)</f>
        <v>1</v>
      </c>
      <c r="X63" s="3">
        <f>IF(Clean_Data[[#This Row],[Status]]="Delivered",IF(Clean_Data[[#This Row],[DeliveryMinutes]]&lt;=Dashboard!$X$5,1,0),0)</f>
        <v>1</v>
      </c>
      <c r="Y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" s="3">
        <f>IF(AND(Clean_Data[[#This Row],[Include]]=1,Clean_Data[[#This Row],[DeliveredFlag]]=1),1,0)</f>
        <v>1</v>
      </c>
      <c r="AA63" s="1">
        <f>IF(COUNTIF($D$2:D63,D63)=1,ROW()-1,ROWS(Clean_Data[OrderID])+1)</f>
        <v>62</v>
      </c>
      <c r="AB63" s="1">
        <f>IF(COUNTIF($F$2:F63,F63)=1,ROW()-1,ROWS(Clean_Data[OrderID])+1)</f>
        <v>901</v>
      </c>
      <c r="AC63" s="1">
        <f>IF(COUNTIF($G$2:G63,G63)=1,ROW()-1,ROWS(Clean_Data[OrderID])+1)</f>
        <v>901</v>
      </c>
      <c r="AD63" s="1">
        <f>IF(COUNTIF($H$2:H63,H63)=1,ROW()-1,ROWS(Clean_Data[OrderID])+1)</f>
        <v>901</v>
      </c>
      <c r="AE63" s="1">
        <f>IF(COUNTIF($V$2:V63,V63)=1,V63,ROWS(Clean_Data[OrderID])+1)</f>
        <v>901</v>
      </c>
      <c r="AF63" s="1">
        <f>IF(COUNTIF($U$2:U63,U63)=1,U63,ROWS(Clean_Data[OrderID])+1)</f>
        <v>901</v>
      </c>
      <c r="AG63" s="1">
        <f>IF(COUNTIF($E$2:E63,E63)=1,ROW()-1,ROWS(Clean_Data[OrderID])+1)</f>
        <v>901</v>
      </c>
    </row>
    <row r="64" spans="1:33" ht="20" customHeight="1">
      <c r="A64" s="3" t="s">
        <v>241</v>
      </c>
      <c r="B64" s="2">
        <v>46268</v>
      </c>
      <c r="C64" s="3">
        <v>20</v>
      </c>
      <c r="D64" s="3" t="s">
        <v>242</v>
      </c>
      <c r="E64" s="3" t="s">
        <v>91</v>
      </c>
      <c r="F64" s="3" t="s">
        <v>121</v>
      </c>
      <c r="G64" s="3" t="s">
        <v>135</v>
      </c>
      <c r="H64" s="3" t="s">
        <v>136</v>
      </c>
      <c r="I64" s="3">
        <v>3</v>
      </c>
      <c r="J64" s="11">
        <v>40</v>
      </c>
      <c r="K64" s="4">
        <v>0.15</v>
      </c>
      <c r="L64" s="3" t="s">
        <v>95</v>
      </c>
      <c r="M64" s="3">
        <v>28</v>
      </c>
      <c r="N64" s="3">
        <v>11</v>
      </c>
      <c r="O64" s="3">
        <v>5</v>
      </c>
      <c r="P64" s="11">
        <f>Clean_Data[[#This Row],[Quantity]]*Clean_Data[[#This Row],[UnitPrice]]</f>
        <v>120</v>
      </c>
      <c r="Q64" s="11">
        <f>ROUND(Clean_Data[[#This Row],[GrossSales]]*Clean_Data[[#This Row],[DiscountPct]],2)</f>
        <v>18</v>
      </c>
      <c r="R64" s="11">
        <f>IF(Clean_Data[[#This Row],[Status]]="Delivered",ROUND(Clean_Data[[#This Row],[GrossSales]]-Clean_Data[[#This Row],[DiscountAmount]],2),0)</f>
        <v>102</v>
      </c>
      <c r="S64" s="3" t="str">
        <f>IF(Clean_Data[[#This Row],[OrderHour]]&lt;6,"Night",IF(Clean_Data[[#This Row],[OrderHour]]&lt;12,"Morning",IF(Clean_Data[[#This Row],[OrderHour]]&lt;18,"Afternoon","Evening")))</f>
        <v>Evening</v>
      </c>
      <c r="T64" s="3" t="str">
        <f>TEXT(Clean_Data[[#This Row],[OrderDate]],"[$-409]ddd")</f>
        <v>Thu</v>
      </c>
      <c r="U64" s="3">
        <f>WEEKDAY(Clean_Data[[#This Row],[OrderDate]],2)</f>
        <v>4</v>
      </c>
      <c r="V64" s="3">
        <f>INT(Clean_Data[[#This Row],[OrderHour]]/6)+1</f>
        <v>4</v>
      </c>
      <c r="W64" s="3">
        <f>IF(Clean_Data[[#This Row],[Status]]="Delivered",1,0)</f>
        <v>1</v>
      </c>
      <c r="X64" s="3">
        <f>IF(Clean_Data[[#This Row],[Status]]="Delivered",IF(Clean_Data[[#This Row],[DeliveryMinutes]]&lt;=Dashboard!$X$5,1,0),0)</f>
        <v>1</v>
      </c>
      <c r="Y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" s="3">
        <f>IF(AND(Clean_Data[[#This Row],[Include]]=1,Clean_Data[[#This Row],[DeliveredFlag]]=1),1,0)</f>
        <v>1</v>
      </c>
      <c r="AA64" s="1">
        <f>IF(COUNTIF($D$2:D64,D64)=1,ROW()-1,ROWS(Clean_Data[OrderID])+1)</f>
        <v>63</v>
      </c>
      <c r="AB64" s="1">
        <f>IF(COUNTIF($F$2:F64,F64)=1,ROW()-1,ROWS(Clean_Data[OrderID])+1)</f>
        <v>901</v>
      </c>
      <c r="AC64" s="1">
        <f>IF(COUNTIF($G$2:G64,G64)=1,ROW()-1,ROWS(Clean_Data[OrderID])+1)</f>
        <v>901</v>
      </c>
      <c r="AD64" s="1">
        <f>IF(COUNTIF($H$2:H64,H64)=1,ROW()-1,ROWS(Clean_Data[OrderID])+1)</f>
        <v>901</v>
      </c>
      <c r="AE64" s="1">
        <f>IF(COUNTIF($V$2:V64,V64)=1,V64,ROWS(Clean_Data[OrderID])+1)</f>
        <v>901</v>
      </c>
      <c r="AF64" s="1">
        <f>IF(COUNTIF($U$2:U64,U64)=1,U64,ROWS(Clean_Data[OrderID])+1)</f>
        <v>901</v>
      </c>
      <c r="AG64" s="1">
        <f>IF(COUNTIF($E$2:E64,E64)=1,ROW()-1,ROWS(Clean_Data[OrderID])+1)</f>
        <v>901</v>
      </c>
    </row>
    <row r="65" spans="1:33" ht="20" customHeight="1">
      <c r="A65" s="3" t="s">
        <v>243</v>
      </c>
      <c r="B65" s="2">
        <v>46268</v>
      </c>
      <c r="C65" s="3">
        <v>17</v>
      </c>
      <c r="D65" s="3" t="s">
        <v>244</v>
      </c>
      <c r="E65" s="3" t="s">
        <v>117</v>
      </c>
      <c r="F65" s="3" t="s">
        <v>121</v>
      </c>
      <c r="G65" s="3" t="s">
        <v>93</v>
      </c>
      <c r="H65" s="3" t="s">
        <v>118</v>
      </c>
      <c r="I65" s="3">
        <v>1</v>
      </c>
      <c r="J65" s="11">
        <v>45</v>
      </c>
      <c r="K65" s="4">
        <v>0.05</v>
      </c>
      <c r="L65" s="3" t="s">
        <v>95</v>
      </c>
      <c r="M65" s="3">
        <v>17</v>
      </c>
      <c r="N65" s="3">
        <v>13</v>
      </c>
      <c r="O65" s="3">
        <v>4</v>
      </c>
      <c r="P65" s="11">
        <f>Clean_Data[[#This Row],[Quantity]]*Clean_Data[[#This Row],[UnitPrice]]</f>
        <v>45</v>
      </c>
      <c r="Q65" s="11">
        <f>ROUND(Clean_Data[[#This Row],[GrossSales]]*Clean_Data[[#This Row],[DiscountPct]],2)</f>
        <v>2.25</v>
      </c>
      <c r="R65" s="11">
        <f>IF(Clean_Data[[#This Row],[Status]]="Delivered",ROUND(Clean_Data[[#This Row],[GrossSales]]-Clean_Data[[#This Row],[DiscountAmount]],2),0)</f>
        <v>42.75</v>
      </c>
      <c r="S65" s="3" t="str">
        <f>IF(Clean_Data[[#This Row],[OrderHour]]&lt;6,"Night",IF(Clean_Data[[#This Row],[OrderHour]]&lt;12,"Morning",IF(Clean_Data[[#This Row],[OrderHour]]&lt;18,"Afternoon","Evening")))</f>
        <v>Afternoon</v>
      </c>
      <c r="T65" s="3" t="str">
        <f>TEXT(Clean_Data[[#This Row],[OrderDate]],"[$-409]ddd")</f>
        <v>Thu</v>
      </c>
      <c r="U65" s="3">
        <f>WEEKDAY(Clean_Data[[#This Row],[OrderDate]],2)</f>
        <v>4</v>
      </c>
      <c r="V65" s="3">
        <f>INT(Clean_Data[[#This Row],[OrderHour]]/6)+1</f>
        <v>3</v>
      </c>
      <c r="W65" s="3">
        <f>IF(Clean_Data[[#This Row],[Status]]="Delivered",1,0)</f>
        <v>1</v>
      </c>
      <c r="X65" s="3">
        <f>IF(Clean_Data[[#This Row],[Status]]="Delivered",IF(Clean_Data[[#This Row],[DeliveryMinutes]]&lt;=Dashboard!$X$5,1,0),0)</f>
        <v>1</v>
      </c>
      <c r="Y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" s="3">
        <f>IF(AND(Clean_Data[[#This Row],[Include]]=1,Clean_Data[[#This Row],[DeliveredFlag]]=1),1,0)</f>
        <v>1</v>
      </c>
      <c r="AA65" s="1">
        <f>IF(COUNTIF($D$2:D65,D65)=1,ROW()-1,ROWS(Clean_Data[OrderID])+1)</f>
        <v>64</v>
      </c>
      <c r="AB65" s="1">
        <f>IF(COUNTIF($F$2:F65,F65)=1,ROW()-1,ROWS(Clean_Data[OrderID])+1)</f>
        <v>901</v>
      </c>
      <c r="AC65" s="1">
        <f>IF(COUNTIF($G$2:G65,G65)=1,ROW()-1,ROWS(Clean_Data[OrderID])+1)</f>
        <v>901</v>
      </c>
      <c r="AD65" s="1">
        <f>IF(COUNTIF($H$2:H65,H65)=1,ROW()-1,ROWS(Clean_Data[OrderID])+1)</f>
        <v>901</v>
      </c>
      <c r="AE65" s="1">
        <f>IF(COUNTIF($V$2:V65,V65)=1,V65,ROWS(Clean_Data[OrderID])+1)</f>
        <v>901</v>
      </c>
      <c r="AF65" s="1">
        <f>IF(COUNTIF($U$2:U65,U65)=1,U65,ROWS(Clean_Data[OrderID])+1)</f>
        <v>901</v>
      </c>
      <c r="AG65" s="1">
        <f>IF(COUNTIF($E$2:E65,E65)=1,ROW()-1,ROWS(Clean_Data[OrderID])+1)</f>
        <v>901</v>
      </c>
    </row>
    <row r="66" spans="1:33" ht="20" customHeight="1">
      <c r="A66" s="3" t="s">
        <v>245</v>
      </c>
      <c r="B66" s="2">
        <v>46268</v>
      </c>
      <c r="C66" s="3">
        <v>10</v>
      </c>
      <c r="D66" s="3" t="s">
        <v>169</v>
      </c>
      <c r="E66" s="3" t="s">
        <v>91</v>
      </c>
      <c r="F66" s="3" t="s">
        <v>121</v>
      </c>
      <c r="G66" s="3" t="s">
        <v>110</v>
      </c>
      <c r="H66" s="3" t="s">
        <v>111</v>
      </c>
      <c r="I66" s="3">
        <v>6</v>
      </c>
      <c r="J66" s="11">
        <v>115</v>
      </c>
      <c r="K66" s="4">
        <v>0.05</v>
      </c>
      <c r="L66" s="3" t="s">
        <v>95</v>
      </c>
      <c r="M66" s="3">
        <v>35</v>
      </c>
      <c r="N66" s="3">
        <v>6</v>
      </c>
      <c r="O66" s="3">
        <v>5</v>
      </c>
      <c r="P66" s="11">
        <f>Clean_Data[[#This Row],[Quantity]]*Clean_Data[[#This Row],[UnitPrice]]</f>
        <v>690</v>
      </c>
      <c r="Q66" s="11">
        <f>ROUND(Clean_Data[[#This Row],[GrossSales]]*Clean_Data[[#This Row],[DiscountPct]],2)</f>
        <v>34.5</v>
      </c>
      <c r="R66" s="11">
        <f>IF(Clean_Data[[#This Row],[Status]]="Delivered",ROUND(Clean_Data[[#This Row],[GrossSales]]-Clean_Data[[#This Row],[DiscountAmount]],2),0)</f>
        <v>655.5</v>
      </c>
      <c r="S66" s="3" t="str">
        <f>IF(Clean_Data[[#This Row],[OrderHour]]&lt;6,"Night",IF(Clean_Data[[#This Row],[OrderHour]]&lt;12,"Morning",IF(Clean_Data[[#This Row],[OrderHour]]&lt;18,"Afternoon","Evening")))</f>
        <v>Morning</v>
      </c>
      <c r="T66" s="3" t="str">
        <f>TEXT(Clean_Data[[#This Row],[OrderDate]],"[$-409]ddd")</f>
        <v>Thu</v>
      </c>
      <c r="U66" s="3">
        <f>WEEKDAY(Clean_Data[[#This Row],[OrderDate]],2)</f>
        <v>4</v>
      </c>
      <c r="V66" s="3">
        <f>INT(Clean_Data[[#This Row],[OrderHour]]/6)+1</f>
        <v>2</v>
      </c>
      <c r="W66" s="3">
        <f>IF(Clean_Data[[#This Row],[Status]]="Delivered",1,0)</f>
        <v>1</v>
      </c>
      <c r="X66" s="3">
        <f>IF(Clean_Data[[#This Row],[Status]]="Delivered",IF(Clean_Data[[#This Row],[DeliveryMinutes]]&lt;=Dashboard!$X$5,1,0),0)</f>
        <v>0</v>
      </c>
      <c r="Y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" s="3">
        <f>IF(AND(Clean_Data[[#This Row],[Include]]=1,Clean_Data[[#This Row],[DeliveredFlag]]=1),1,0)</f>
        <v>1</v>
      </c>
      <c r="AA66" s="1">
        <f>IF(COUNTIF($D$2:D66,D66)=1,ROW()-1,ROWS(Clean_Data[OrderID])+1)</f>
        <v>901</v>
      </c>
      <c r="AB66" s="1">
        <f>IF(COUNTIF($F$2:F66,F66)=1,ROW()-1,ROWS(Clean_Data[OrderID])+1)</f>
        <v>901</v>
      </c>
      <c r="AC66" s="1">
        <f>IF(COUNTIF($G$2:G66,G66)=1,ROW()-1,ROWS(Clean_Data[OrderID])+1)</f>
        <v>901</v>
      </c>
      <c r="AD66" s="1">
        <f>IF(COUNTIF($H$2:H66,H66)=1,ROW()-1,ROWS(Clean_Data[OrderID])+1)</f>
        <v>901</v>
      </c>
      <c r="AE66" s="1">
        <f>IF(COUNTIF($V$2:V66,V66)=1,V66,ROWS(Clean_Data[OrderID])+1)</f>
        <v>901</v>
      </c>
      <c r="AF66" s="1">
        <f>IF(COUNTIF($U$2:U66,U66)=1,U66,ROWS(Clean_Data[OrderID])+1)</f>
        <v>901</v>
      </c>
      <c r="AG66" s="1">
        <f>IF(COUNTIF($E$2:E66,E66)=1,ROW()-1,ROWS(Clean_Data[OrderID])+1)</f>
        <v>901</v>
      </c>
    </row>
    <row r="67" spans="1:33" ht="20" customHeight="1">
      <c r="A67" s="3" t="s">
        <v>246</v>
      </c>
      <c r="B67" s="2">
        <v>46268</v>
      </c>
      <c r="C67" s="3">
        <v>17</v>
      </c>
      <c r="D67" s="3" t="s">
        <v>247</v>
      </c>
      <c r="E67" s="3" t="s">
        <v>117</v>
      </c>
      <c r="F67" s="3" t="s">
        <v>92</v>
      </c>
      <c r="G67" s="3" t="s">
        <v>93</v>
      </c>
      <c r="H67" s="3" t="s">
        <v>118</v>
      </c>
      <c r="I67" s="3">
        <v>2</v>
      </c>
      <c r="J67" s="11">
        <v>45</v>
      </c>
      <c r="K67" s="4">
        <v>0</v>
      </c>
      <c r="L67" s="3" t="s">
        <v>95</v>
      </c>
      <c r="M67" s="3">
        <v>29</v>
      </c>
      <c r="N67" s="3">
        <v>5</v>
      </c>
      <c r="O67" s="3">
        <v>4</v>
      </c>
      <c r="P67" s="11">
        <f>Clean_Data[[#This Row],[Quantity]]*Clean_Data[[#This Row],[UnitPrice]]</f>
        <v>90</v>
      </c>
      <c r="Q67" s="11">
        <f>ROUND(Clean_Data[[#This Row],[GrossSales]]*Clean_Data[[#This Row],[DiscountPct]],2)</f>
        <v>0</v>
      </c>
      <c r="R67" s="11">
        <f>IF(Clean_Data[[#This Row],[Status]]="Delivered",ROUND(Clean_Data[[#This Row],[GrossSales]]-Clean_Data[[#This Row],[DiscountAmount]],2),0)</f>
        <v>90</v>
      </c>
      <c r="S67" s="3" t="str">
        <f>IF(Clean_Data[[#This Row],[OrderHour]]&lt;6,"Night",IF(Clean_Data[[#This Row],[OrderHour]]&lt;12,"Morning",IF(Clean_Data[[#This Row],[OrderHour]]&lt;18,"Afternoon","Evening")))</f>
        <v>Afternoon</v>
      </c>
      <c r="T67" s="3" t="str">
        <f>TEXT(Clean_Data[[#This Row],[OrderDate]],"[$-409]ddd")</f>
        <v>Thu</v>
      </c>
      <c r="U67" s="3">
        <f>WEEKDAY(Clean_Data[[#This Row],[OrderDate]],2)</f>
        <v>4</v>
      </c>
      <c r="V67" s="3">
        <f>INT(Clean_Data[[#This Row],[OrderHour]]/6)+1</f>
        <v>3</v>
      </c>
      <c r="W67" s="3">
        <f>IF(Clean_Data[[#This Row],[Status]]="Delivered",1,0)</f>
        <v>1</v>
      </c>
      <c r="X67" s="3">
        <f>IF(Clean_Data[[#This Row],[Status]]="Delivered",IF(Clean_Data[[#This Row],[DeliveryMinutes]]&lt;=Dashboard!$X$5,1,0),0)</f>
        <v>1</v>
      </c>
      <c r="Y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" s="3">
        <f>IF(AND(Clean_Data[[#This Row],[Include]]=1,Clean_Data[[#This Row],[DeliveredFlag]]=1),1,0)</f>
        <v>1</v>
      </c>
      <c r="AA67" s="1">
        <f>IF(COUNTIF($D$2:D67,D67)=1,ROW()-1,ROWS(Clean_Data[OrderID])+1)</f>
        <v>66</v>
      </c>
      <c r="AB67" s="1">
        <f>IF(COUNTIF($F$2:F67,F67)=1,ROW()-1,ROWS(Clean_Data[OrderID])+1)</f>
        <v>901</v>
      </c>
      <c r="AC67" s="1">
        <f>IF(COUNTIF($G$2:G67,G67)=1,ROW()-1,ROWS(Clean_Data[OrderID])+1)</f>
        <v>901</v>
      </c>
      <c r="AD67" s="1">
        <f>IF(COUNTIF($H$2:H67,H67)=1,ROW()-1,ROWS(Clean_Data[OrderID])+1)</f>
        <v>901</v>
      </c>
      <c r="AE67" s="1">
        <f>IF(COUNTIF($V$2:V67,V67)=1,V67,ROWS(Clean_Data[OrderID])+1)</f>
        <v>901</v>
      </c>
      <c r="AF67" s="1">
        <f>IF(COUNTIF($U$2:U67,U67)=1,U67,ROWS(Clean_Data[OrderID])+1)</f>
        <v>901</v>
      </c>
      <c r="AG67" s="1">
        <f>IF(COUNTIF($E$2:E67,E67)=1,ROW()-1,ROWS(Clean_Data[OrderID])+1)</f>
        <v>901</v>
      </c>
    </row>
    <row r="68" spans="1:33" ht="20" customHeight="1">
      <c r="A68" s="3" t="s">
        <v>248</v>
      </c>
      <c r="B68" s="2">
        <v>46268</v>
      </c>
      <c r="C68" s="3">
        <v>10</v>
      </c>
      <c r="D68" s="3" t="s">
        <v>116</v>
      </c>
      <c r="E68" s="3" t="s">
        <v>117</v>
      </c>
      <c r="F68" s="3" t="s">
        <v>92</v>
      </c>
      <c r="G68" s="3" t="s">
        <v>93</v>
      </c>
      <c r="H68" s="3" t="s">
        <v>118</v>
      </c>
      <c r="I68" s="3">
        <v>2</v>
      </c>
      <c r="J68" s="11">
        <v>45</v>
      </c>
      <c r="K68" s="4">
        <v>0</v>
      </c>
      <c r="L68" s="3" t="s">
        <v>95</v>
      </c>
      <c r="M68" s="3">
        <v>27</v>
      </c>
      <c r="N68" s="3">
        <v>6</v>
      </c>
      <c r="O68" s="3">
        <v>3</v>
      </c>
      <c r="P68" s="11">
        <f>Clean_Data[[#This Row],[Quantity]]*Clean_Data[[#This Row],[UnitPrice]]</f>
        <v>90</v>
      </c>
      <c r="Q68" s="11">
        <f>ROUND(Clean_Data[[#This Row],[GrossSales]]*Clean_Data[[#This Row],[DiscountPct]],2)</f>
        <v>0</v>
      </c>
      <c r="R68" s="11">
        <f>IF(Clean_Data[[#This Row],[Status]]="Delivered",ROUND(Clean_Data[[#This Row],[GrossSales]]-Clean_Data[[#This Row],[DiscountAmount]],2),0)</f>
        <v>90</v>
      </c>
      <c r="S68" s="3" t="str">
        <f>IF(Clean_Data[[#This Row],[OrderHour]]&lt;6,"Night",IF(Clean_Data[[#This Row],[OrderHour]]&lt;12,"Morning",IF(Clean_Data[[#This Row],[OrderHour]]&lt;18,"Afternoon","Evening")))</f>
        <v>Morning</v>
      </c>
      <c r="T68" s="3" t="str">
        <f>TEXT(Clean_Data[[#This Row],[OrderDate]],"[$-409]ddd")</f>
        <v>Thu</v>
      </c>
      <c r="U68" s="3">
        <f>WEEKDAY(Clean_Data[[#This Row],[OrderDate]],2)</f>
        <v>4</v>
      </c>
      <c r="V68" s="3">
        <f>INT(Clean_Data[[#This Row],[OrderHour]]/6)+1</f>
        <v>2</v>
      </c>
      <c r="W68" s="3">
        <f>IF(Clean_Data[[#This Row],[Status]]="Delivered",1,0)</f>
        <v>1</v>
      </c>
      <c r="X68" s="3">
        <f>IF(Clean_Data[[#This Row],[Status]]="Delivered",IF(Clean_Data[[#This Row],[DeliveryMinutes]]&lt;=Dashboard!$X$5,1,0),0)</f>
        <v>1</v>
      </c>
      <c r="Y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" s="3">
        <f>IF(AND(Clean_Data[[#This Row],[Include]]=1,Clean_Data[[#This Row],[DeliveredFlag]]=1),1,0)</f>
        <v>1</v>
      </c>
      <c r="AA68" s="1">
        <f>IF(COUNTIF($D$2:D68,D68)=1,ROW()-1,ROWS(Clean_Data[OrderID])+1)</f>
        <v>901</v>
      </c>
      <c r="AB68" s="1">
        <f>IF(COUNTIF($F$2:F68,F68)=1,ROW()-1,ROWS(Clean_Data[OrderID])+1)</f>
        <v>901</v>
      </c>
      <c r="AC68" s="1">
        <f>IF(COUNTIF($G$2:G68,G68)=1,ROW()-1,ROWS(Clean_Data[OrderID])+1)</f>
        <v>901</v>
      </c>
      <c r="AD68" s="1">
        <f>IF(COUNTIF($H$2:H68,H68)=1,ROW()-1,ROWS(Clean_Data[OrderID])+1)</f>
        <v>901</v>
      </c>
      <c r="AE68" s="1">
        <f>IF(COUNTIF($V$2:V68,V68)=1,V68,ROWS(Clean_Data[OrderID])+1)</f>
        <v>901</v>
      </c>
      <c r="AF68" s="1">
        <f>IF(COUNTIF($U$2:U68,U68)=1,U68,ROWS(Clean_Data[OrderID])+1)</f>
        <v>901</v>
      </c>
      <c r="AG68" s="1">
        <f>IF(COUNTIF($E$2:E68,E68)=1,ROW()-1,ROWS(Clean_Data[OrderID])+1)</f>
        <v>901</v>
      </c>
    </row>
    <row r="69" spans="1:33" ht="20" customHeight="1">
      <c r="A69" s="3" t="s">
        <v>249</v>
      </c>
      <c r="B69" s="2">
        <v>46268</v>
      </c>
      <c r="C69" s="3">
        <v>10</v>
      </c>
      <c r="D69" s="3" t="s">
        <v>250</v>
      </c>
      <c r="E69" s="3" t="s">
        <v>91</v>
      </c>
      <c r="F69" s="3" t="s">
        <v>92</v>
      </c>
      <c r="G69" s="3" t="s">
        <v>174</v>
      </c>
      <c r="H69" s="3" t="s">
        <v>175</v>
      </c>
      <c r="I69" s="3">
        <v>3</v>
      </c>
      <c r="J69" s="11">
        <v>155</v>
      </c>
      <c r="K69" s="4">
        <v>0</v>
      </c>
      <c r="L69" s="3" t="s">
        <v>95</v>
      </c>
      <c r="M69" s="3">
        <v>24</v>
      </c>
      <c r="N69" s="3">
        <v>13</v>
      </c>
      <c r="O69" s="3">
        <v>4</v>
      </c>
      <c r="P69" s="11">
        <f>Clean_Data[[#This Row],[Quantity]]*Clean_Data[[#This Row],[UnitPrice]]</f>
        <v>465</v>
      </c>
      <c r="Q69" s="11">
        <f>ROUND(Clean_Data[[#This Row],[GrossSales]]*Clean_Data[[#This Row],[DiscountPct]],2)</f>
        <v>0</v>
      </c>
      <c r="R69" s="11">
        <f>IF(Clean_Data[[#This Row],[Status]]="Delivered",ROUND(Clean_Data[[#This Row],[GrossSales]]-Clean_Data[[#This Row],[DiscountAmount]],2),0)</f>
        <v>465</v>
      </c>
      <c r="S69" s="3" t="str">
        <f>IF(Clean_Data[[#This Row],[OrderHour]]&lt;6,"Night",IF(Clean_Data[[#This Row],[OrderHour]]&lt;12,"Morning",IF(Clean_Data[[#This Row],[OrderHour]]&lt;18,"Afternoon","Evening")))</f>
        <v>Morning</v>
      </c>
      <c r="T69" s="3" t="str">
        <f>TEXT(Clean_Data[[#This Row],[OrderDate]],"[$-409]ddd")</f>
        <v>Thu</v>
      </c>
      <c r="U69" s="3">
        <f>WEEKDAY(Clean_Data[[#This Row],[OrderDate]],2)</f>
        <v>4</v>
      </c>
      <c r="V69" s="3">
        <f>INT(Clean_Data[[#This Row],[OrderHour]]/6)+1</f>
        <v>2</v>
      </c>
      <c r="W69" s="3">
        <f>IF(Clean_Data[[#This Row],[Status]]="Delivered",1,0)</f>
        <v>1</v>
      </c>
      <c r="X69" s="3">
        <f>IF(Clean_Data[[#This Row],[Status]]="Delivered",IF(Clean_Data[[#This Row],[DeliveryMinutes]]&lt;=Dashboard!$X$5,1,0),0)</f>
        <v>1</v>
      </c>
      <c r="Y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" s="3">
        <f>IF(AND(Clean_Data[[#This Row],[Include]]=1,Clean_Data[[#This Row],[DeliveredFlag]]=1),1,0)</f>
        <v>1</v>
      </c>
      <c r="AA69" s="1">
        <f>IF(COUNTIF($D$2:D69,D69)=1,ROW()-1,ROWS(Clean_Data[OrderID])+1)</f>
        <v>68</v>
      </c>
      <c r="AB69" s="1">
        <f>IF(COUNTIF($F$2:F69,F69)=1,ROW()-1,ROWS(Clean_Data[OrderID])+1)</f>
        <v>901</v>
      </c>
      <c r="AC69" s="1">
        <f>IF(COUNTIF($G$2:G69,G69)=1,ROW()-1,ROWS(Clean_Data[OrderID])+1)</f>
        <v>901</v>
      </c>
      <c r="AD69" s="1">
        <f>IF(COUNTIF($H$2:H69,H69)=1,ROW()-1,ROWS(Clean_Data[OrderID])+1)</f>
        <v>901</v>
      </c>
      <c r="AE69" s="1">
        <f>IF(COUNTIF($V$2:V69,V69)=1,V69,ROWS(Clean_Data[OrderID])+1)</f>
        <v>901</v>
      </c>
      <c r="AF69" s="1">
        <f>IF(COUNTIF($U$2:U69,U69)=1,U69,ROWS(Clean_Data[OrderID])+1)</f>
        <v>901</v>
      </c>
      <c r="AG69" s="1">
        <f>IF(COUNTIF($E$2:E69,E69)=1,ROW()-1,ROWS(Clean_Data[OrderID])+1)</f>
        <v>901</v>
      </c>
    </row>
    <row r="70" spans="1:33" ht="20" customHeight="1">
      <c r="A70" s="3" t="s">
        <v>251</v>
      </c>
      <c r="B70" s="2">
        <v>46268</v>
      </c>
      <c r="C70" s="3">
        <v>7</v>
      </c>
      <c r="D70" s="3" t="s">
        <v>252</v>
      </c>
      <c r="E70" s="3" t="s">
        <v>91</v>
      </c>
      <c r="F70" s="3" t="s">
        <v>121</v>
      </c>
      <c r="G70" s="3" t="s">
        <v>99</v>
      </c>
      <c r="H70" s="3" t="s">
        <v>104</v>
      </c>
      <c r="I70" s="3">
        <v>3</v>
      </c>
      <c r="J70" s="11">
        <v>240</v>
      </c>
      <c r="K70" s="4">
        <v>0</v>
      </c>
      <c r="L70" s="3" t="s">
        <v>95</v>
      </c>
      <c r="M70" s="3">
        <v>13</v>
      </c>
      <c r="N70" s="3">
        <v>13</v>
      </c>
      <c r="O70" s="3">
        <v>3</v>
      </c>
      <c r="P70" s="11">
        <f>Clean_Data[[#This Row],[Quantity]]*Clean_Data[[#This Row],[UnitPrice]]</f>
        <v>720</v>
      </c>
      <c r="Q70" s="11">
        <f>ROUND(Clean_Data[[#This Row],[GrossSales]]*Clean_Data[[#This Row],[DiscountPct]],2)</f>
        <v>0</v>
      </c>
      <c r="R70" s="11">
        <f>IF(Clean_Data[[#This Row],[Status]]="Delivered",ROUND(Clean_Data[[#This Row],[GrossSales]]-Clean_Data[[#This Row],[DiscountAmount]],2),0)</f>
        <v>720</v>
      </c>
      <c r="S70" s="3" t="str">
        <f>IF(Clean_Data[[#This Row],[OrderHour]]&lt;6,"Night",IF(Clean_Data[[#This Row],[OrderHour]]&lt;12,"Morning",IF(Clean_Data[[#This Row],[OrderHour]]&lt;18,"Afternoon","Evening")))</f>
        <v>Morning</v>
      </c>
      <c r="T70" s="3" t="str">
        <f>TEXT(Clean_Data[[#This Row],[OrderDate]],"[$-409]ddd")</f>
        <v>Thu</v>
      </c>
      <c r="U70" s="3">
        <f>WEEKDAY(Clean_Data[[#This Row],[OrderDate]],2)</f>
        <v>4</v>
      </c>
      <c r="V70" s="3">
        <f>INT(Clean_Data[[#This Row],[OrderHour]]/6)+1</f>
        <v>2</v>
      </c>
      <c r="W70" s="3">
        <f>IF(Clean_Data[[#This Row],[Status]]="Delivered",1,0)</f>
        <v>1</v>
      </c>
      <c r="X70" s="3">
        <f>IF(Clean_Data[[#This Row],[Status]]="Delivered",IF(Clean_Data[[#This Row],[DeliveryMinutes]]&lt;=Dashboard!$X$5,1,0),0)</f>
        <v>1</v>
      </c>
      <c r="Y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" s="3">
        <f>IF(AND(Clean_Data[[#This Row],[Include]]=1,Clean_Data[[#This Row],[DeliveredFlag]]=1),1,0)</f>
        <v>1</v>
      </c>
      <c r="AA70" s="1">
        <f>IF(COUNTIF($D$2:D70,D70)=1,ROW()-1,ROWS(Clean_Data[OrderID])+1)</f>
        <v>69</v>
      </c>
      <c r="AB70" s="1">
        <f>IF(COUNTIF($F$2:F70,F70)=1,ROW()-1,ROWS(Clean_Data[OrderID])+1)</f>
        <v>901</v>
      </c>
      <c r="AC70" s="1">
        <f>IF(COUNTIF($G$2:G70,G70)=1,ROW()-1,ROWS(Clean_Data[OrderID])+1)</f>
        <v>901</v>
      </c>
      <c r="AD70" s="1">
        <f>IF(COUNTIF($H$2:H70,H70)=1,ROW()-1,ROWS(Clean_Data[OrderID])+1)</f>
        <v>901</v>
      </c>
      <c r="AE70" s="1">
        <f>IF(COUNTIF($V$2:V70,V70)=1,V70,ROWS(Clean_Data[OrderID])+1)</f>
        <v>901</v>
      </c>
      <c r="AF70" s="1">
        <f>IF(COUNTIF($U$2:U70,U70)=1,U70,ROWS(Clean_Data[OrderID])+1)</f>
        <v>901</v>
      </c>
      <c r="AG70" s="1">
        <f>IF(COUNTIF($E$2:E70,E70)=1,ROW()-1,ROWS(Clean_Data[OrderID])+1)</f>
        <v>901</v>
      </c>
    </row>
    <row r="71" spans="1:33" ht="20" customHeight="1">
      <c r="A71" s="3" t="s">
        <v>253</v>
      </c>
      <c r="B71" s="2">
        <v>46268</v>
      </c>
      <c r="C71" s="3">
        <v>8</v>
      </c>
      <c r="D71" s="3" t="s">
        <v>90</v>
      </c>
      <c r="E71" s="3" t="s">
        <v>91</v>
      </c>
      <c r="F71" s="3" t="s">
        <v>92</v>
      </c>
      <c r="G71" s="3" t="s">
        <v>93</v>
      </c>
      <c r="H71" s="3" t="s">
        <v>94</v>
      </c>
      <c r="I71" s="3">
        <v>1</v>
      </c>
      <c r="J71" s="11">
        <v>95</v>
      </c>
      <c r="K71" s="4">
        <v>0.15</v>
      </c>
      <c r="L71" s="3" t="s">
        <v>101</v>
      </c>
      <c r="M71" s="3"/>
      <c r="N71" s="3"/>
      <c r="O71" s="3"/>
      <c r="P71" s="11">
        <f>Clean_Data[[#This Row],[Quantity]]*Clean_Data[[#This Row],[UnitPrice]]</f>
        <v>95</v>
      </c>
      <c r="Q71" s="11">
        <f>ROUND(Clean_Data[[#This Row],[GrossSales]]*Clean_Data[[#This Row],[DiscountPct]],2)</f>
        <v>14.25</v>
      </c>
      <c r="R71" s="11">
        <f>IF(Clean_Data[[#This Row],[Status]]="Delivered",ROUND(Clean_Data[[#This Row],[GrossSales]]-Clean_Data[[#This Row],[DiscountAmount]],2),0)</f>
        <v>0</v>
      </c>
      <c r="S71" s="3" t="str">
        <f>IF(Clean_Data[[#This Row],[OrderHour]]&lt;6,"Night",IF(Clean_Data[[#This Row],[OrderHour]]&lt;12,"Morning",IF(Clean_Data[[#This Row],[OrderHour]]&lt;18,"Afternoon","Evening")))</f>
        <v>Morning</v>
      </c>
      <c r="T71" s="3" t="str">
        <f>TEXT(Clean_Data[[#This Row],[OrderDate]],"[$-409]ddd")</f>
        <v>Thu</v>
      </c>
      <c r="U71" s="3">
        <f>WEEKDAY(Clean_Data[[#This Row],[OrderDate]],2)</f>
        <v>4</v>
      </c>
      <c r="V71" s="3">
        <f>INT(Clean_Data[[#This Row],[OrderHour]]/6)+1</f>
        <v>2</v>
      </c>
      <c r="W71" s="3">
        <f>IF(Clean_Data[[#This Row],[Status]]="Delivered",1,0)</f>
        <v>0</v>
      </c>
      <c r="X71" s="3">
        <f>IF(Clean_Data[[#This Row],[Status]]="Delivered",IF(Clean_Data[[#This Row],[DeliveryMinutes]]&lt;=Dashboard!$X$5,1,0),0)</f>
        <v>0</v>
      </c>
      <c r="Y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" s="3">
        <f>IF(AND(Clean_Data[[#This Row],[Include]]=1,Clean_Data[[#This Row],[DeliveredFlag]]=1),1,0)</f>
        <v>0</v>
      </c>
      <c r="AA71" s="1">
        <f>IF(COUNTIF($D$2:D71,D71)=1,ROW()-1,ROWS(Clean_Data[OrderID])+1)</f>
        <v>901</v>
      </c>
      <c r="AB71" s="1">
        <f>IF(COUNTIF($F$2:F71,F71)=1,ROW()-1,ROWS(Clean_Data[OrderID])+1)</f>
        <v>901</v>
      </c>
      <c r="AC71" s="1">
        <f>IF(COUNTIF($G$2:G71,G71)=1,ROW()-1,ROWS(Clean_Data[OrderID])+1)</f>
        <v>901</v>
      </c>
      <c r="AD71" s="1">
        <f>IF(COUNTIF($H$2:H71,H71)=1,ROW()-1,ROWS(Clean_Data[OrderID])+1)</f>
        <v>901</v>
      </c>
      <c r="AE71" s="1">
        <f>IF(COUNTIF($V$2:V71,V71)=1,V71,ROWS(Clean_Data[OrderID])+1)</f>
        <v>901</v>
      </c>
      <c r="AF71" s="1">
        <f>IF(COUNTIF($U$2:U71,U71)=1,U71,ROWS(Clean_Data[OrderID])+1)</f>
        <v>901</v>
      </c>
      <c r="AG71" s="1">
        <f>IF(COUNTIF($E$2:E71,E71)=1,ROW()-1,ROWS(Clean_Data[OrderID])+1)</f>
        <v>901</v>
      </c>
    </row>
    <row r="72" spans="1:33" ht="20" customHeight="1">
      <c r="A72" s="3" t="s">
        <v>254</v>
      </c>
      <c r="B72" s="2">
        <v>46268</v>
      </c>
      <c r="C72" s="3">
        <v>16</v>
      </c>
      <c r="D72" s="3" t="s">
        <v>255</v>
      </c>
      <c r="E72" s="3" t="s">
        <v>91</v>
      </c>
      <c r="F72" s="3" t="s">
        <v>109</v>
      </c>
      <c r="G72" s="3" t="s">
        <v>99</v>
      </c>
      <c r="H72" s="3" t="s">
        <v>130</v>
      </c>
      <c r="I72" s="3">
        <v>1</v>
      </c>
      <c r="J72" s="11">
        <v>85</v>
      </c>
      <c r="K72" s="4">
        <v>0.15</v>
      </c>
      <c r="L72" s="3" t="s">
        <v>95</v>
      </c>
      <c r="M72" s="3">
        <v>31</v>
      </c>
      <c r="N72" s="3">
        <v>6</v>
      </c>
      <c r="O72" s="3">
        <v>3</v>
      </c>
      <c r="P72" s="11">
        <f>Clean_Data[[#This Row],[Quantity]]*Clean_Data[[#This Row],[UnitPrice]]</f>
        <v>85</v>
      </c>
      <c r="Q72" s="11">
        <f>ROUND(Clean_Data[[#This Row],[GrossSales]]*Clean_Data[[#This Row],[DiscountPct]],2)</f>
        <v>12.75</v>
      </c>
      <c r="R72" s="11">
        <f>IF(Clean_Data[[#This Row],[Status]]="Delivered",ROUND(Clean_Data[[#This Row],[GrossSales]]-Clean_Data[[#This Row],[DiscountAmount]],2),0)</f>
        <v>72.25</v>
      </c>
      <c r="S72" s="3" t="str">
        <f>IF(Clean_Data[[#This Row],[OrderHour]]&lt;6,"Night",IF(Clean_Data[[#This Row],[OrderHour]]&lt;12,"Morning",IF(Clean_Data[[#This Row],[OrderHour]]&lt;18,"Afternoon","Evening")))</f>
        <v>Afternoon</v>
      </c>
      <c r="T72" s="3" t="str">
        <f>TEXT(Clean_Data[[#This Row],[OrderDate]],"[$-409]ddd")</f>
        <v>Thu</v>
      </c>
      <c r="U72" s="3">
        <f>WEEKDAY(Clean_Data[[#This Row],[OrderDate]],2)</f>
        <v>4</v>
      </c>
      <c r="V72" s="3">
        <f>INT(Clean_Data[[#This Row],[OrderHour]]/6)+1</f>
        <v>3</v>
      </c>
      <c r="W72" s="3">
        <f>IF(Clean_Data[[#This Row],[Status]]="Delivered",1,0)</f>
        <v>1</v>
      </c>
      <c r="X72" s="3">
        <f>IF(Clean_Data[[#This Row],[Status]]="Delivered",IF(Clean_Data[[#This Row],[DeliveryMinutes]]&lt;=Dashboard!$X$5,1,0),0)</f>
        <v>0</v>
      </c>
      <c r="Y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" s="3">
        <f>IF(AND(Clean_Data[[#This Row],[Include]]=1,Clean_Data[[#This Row],[DeliveredFlag]]=1),1,0)</f>
        <v>1</v>
      </c>
      <c r="AA72" s="1">
        <f>IF(COUNTIF($D$2:D72,D72)=1,ROW()-1,ROWS(Clean_Data[OrderID])+1)</f>
        <v>71</v>
      </c>
      <c r="AB72" s="1">
        <f>IF(COUNTIF($F$2:F72,F72)=1,ROW()-1,ROWS(Clean_Data[OrderID])+1)</f>
        <v>901</v>
      </c>
      <c r="AC72" s="1">
        <f>IF(COUNTIF($G$2:G72,G72)=1,ROW()-1,ROWS(Clean_Data[OrderID])+1)</f>
        <v>901</v>
      </c>
      <c r="AD72" s="1">
        <f>IF(COUNTIF($H$2:H72,H72)=1,ROW()-1,ROWS(Clean_Data[OrderID])+1)</f>
        <v>901</v>
      </c>
      <c r="AE72" s="1">
        <f>IF(COUNTIF($V$2:V72,V72)=1,V72,ROWS(Clean_Data[OrderID])+1)</f>
        <v>901</v>
      </c>
      <c r="AF72" s="1">
        <f>IF(COUNTIF($U$2:U72,U72)=1,U72,ROWS(Clean_Data[OrderID])+1)</f>
        <v>901</v>
      </c>
      <c r="AG72" s="1">
        <f>IF(COUNTIF($E$2:E72,E72)=1,ROW()-1,ROWS(Clean_Data[OrderID])+1)</f>
        <v>901</v>
      </c>
    </row>
    <row r="73" spans="1:33" ht="20" customHeight="1">
      <c r="A73" s="3" t="s">
        <v>256</v>
      </c>
      <c r="B73" s="2">
        <v>46268</v>
      </c>
      <c r="C73" s="3">
        <v>12</v>
      </c>
      <c r="D73" s="3" t="s">
        <v>257</v>
      </c>
      <c r="E73" s="3" t="s">
        <v>91</v>
      </c>
      <c r="F73" s="3" t="s">
        <v>92</v>
      </c>
      <c r="G73" s="3" t="s">
        <v>135</v>
      </c>
      <c r="H73" s="3" t="s">
        <v>217</v>
      </c>
      <c r="I73" s="3">
        <v>2</v>
      </c>
      <c r="J73" s="11">
        <v>65</v>
      </c>
      <c r="K73" s="4">
        <v>0.05</v>
      </c>
      <c r="L73" s="3" t="s">
        <v>95</v>
      </c>
      <c r="M73" s="3">
        <v>13</v>
      </c>
      <c r="N73" s="3">
        <v>5</v>
      </c>
      <c r="O73" s="3">
        <v>3</v>
      </c>
      <c r="P73" s="11">
        <f>Clean_Data[[#This Row],[Quantity]]*Clean_Data[[#This Row],[UnitPrice]]</f>
        <v>130</v>
      </c>
      <c r="Q73" s="11">
        <f>ROUND(Clean_Data[[#This Row],[GrossSales]]*Clean_Data[[#This Row],[DiscountPct]],2)</f>
        <v>6.5</v>
      </c>
      <c r="R73" s="11">
        <f>IF(Clean_Data[[#This Row],[Status]]="Delivered",ROUND(Clean_Data[[#This Row],[GrossSales]]-Clean_Data[[#This Row],[DiscountAmount]],2),0)</f>
        <v>123.5</v>
      </c>
      <c r="S73" s="3" t="str">
        <f>IF(Clean_Data[[#This Row],[OrderHour]]&lt;6,"Night",IF(Clean_Data[[#This Row],[OrderHour]]&lt;12,"Morning",IF(Clean_Data[[#This Row],[OrderHour]]&lt;18,"Afternoon","Evening")))</f>
        <v>Afternoon</v>
      </c>
      <c r="T73" s="3" t="str">
        <f>TEXT(Clean_Data[[#This Row],[OrderDate]],"[$-409]ddd")</f>
        <v>Thu</v>
      </c>
      <c r="U73" s="3">
        <f>WEEKDAY(Clean_Data[[#This Row],[OrderDate]],2)</f>
        <v>4</v>
      </c>
      <c r="V73" s="3">
        <f>INT(Clean_Data[[#This Row],[OrderHour]]/6)+1</f>
        <v>3</v>
      </c>
      <c r="W73" s="3">
        <f>IF(Clean_Data[[#This Row],[Status]]="Delivered",1,0)</f>
        <v>1</v>
      </c>
      <c r="X73" s="3">
        <f>IF(Clean_Data[[#This Row],[Status]]="Delivered",IF(Clean_Data[[#This Row],[DeliveryMinutes]]&lt;=Dashboard!$X$5,1,0),0)</f>
        <v>1</v>
      </c>
      <c r="Y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" s="3">
        <f>IF(AND(Clean_Data[[#This Row],[Include]]=1,Clean_Data[[#This Row],[DeliveredFlag]]=1),1,0)</f>
        <v>1</v>
      </c>
      <c r="AA73" s="1">
        <f>IF(COUNTIF($D$2:D73,D73)=1,ROW()-1,ROWS(Clean_Data[OrderID])+1)</f>
        <v>72</v>
      </c>
      <c r="AB73" s="1">
        <f>IF(COUNTIF($F$2:F73,F73)=1,ROW()-1,ROWS(Clean_Data[OrderID])+1)</f>
        <v>901</v>
      </c>
      <c r="AC73" s="1">
        <f>IF(COUNTIF($G$2:G73,G73)=1,ROW()-1,ROWS(Clean_Data[OrderID])+1)</f>
        <v>901</v>
      </c>
      <c r="AD73" s="1">
        <f>IF(COUNTIF($H$2:H73,H73)=1,ROW()-1,ROWS(Clean_Data[OrderID])+1)</f>
        <v>901</v>
      </c>
      <c r="AE73" s="1">
        <f>IF(COUNTIF($V$2:V73,V73)=1,V73,ROWS(Clean_Data[OrderID])+1)</f>
        <v>901</v>
      </c>
      <c r="AF73" s="1">
        <f>IF(COUNTIF($U$2:U73,U73)=1,U73,ROWS(Clean_Data[OrderID])+1)</f>
        <v>901</v>
      </c>
      <c r="AG73" s="1">
        <f>IF(COUNTIF($E$2:E73,E73)=1,ROW()-1,ROWS(Clean_Data[OrderID])+1)</f>
        <v>901</v>
      </c>
    </row>
    <row r="74" spans="1:33" ht="20" customHeight="1">
      <c r="A74" s="3" t="s">
        <v>258</v>
      </c>
      <c r="B74" s="2">
        <v>46268</v>
      </c>
      <c r="C74" s="3">
        <v>8</v>
      </c>
      <c r="D74" s="3" t="s">
        <v>259</v>
      </c>
      <c r="E74" s="3" t="s">
        <v>91</v>
      </c>
      <c r="F74" s="3" t="s">
        <v>92</v>
      </c>
      <c r="G74" s="3" t="s">
        <v>110</v>
      </c>
      <c r="H74" s="3" t="s">
        <v>114</v>
      </c>
      <c r="I74" s="3">
        <v>1</v>
      </c>
      <c r="J74" s="11">
        <v>145</v>
      </c>
      <c r="K74" s="4">
        <v>0.1</v>
      </c>
      <c r="L74" s="3" t="s">
        <v>95</v>
      </c>
      <c r="M74" s="3">
        <v>29</v>
      </c>
      <c r="N74" s="3">
        <v>13</v>
      </c>
      <c r="O74" s="3">
        <v>4</v>
      </c>
      <c r="P74" s="11">
        <f>Clean_Data[[#This Row],[Quantity]]*Clean_Data[[#This Row],[UnitPrice]]</f>
        <v>145</v>
      </c>
      <c r="Q74" s="11">
        <f>ROUND(Clean_Data[[#This Row],[GrossSales]]*Clean_Data[[#This Row],[DiscountPct]],2)</f>
        <v>14.5</v>
      </c>
      <c r="R74" s="11">
        <f>IF(Clean_Data[[#This Row],[Status]]="Delivered",ROUND(Clean_Data[[#This Row],[GrossSales]]-Clean_Data[[#This Row],[DiscountAmount]],2),0)</f>
        <v>130.5</v>
      </c>
      <c r="S74" s="3" t="str">
        <f>IF(Clean_Data[[#This Row],[OrderHour]]&lt;6,"Night",IF(Clean_Data[[#This Row],[OrderHour]]&lt;12,"Morning",IF(Clean_Data[[#This Row],[OrderHour]]&lt;18,"Afternoon","Evening")))</f>
        <v>Morning</v>
      </c>
      <c r="T74" s="3" t="str">
        <f>TEXT(Clean_Data[[#This Row],[OrderDate]],"[$-409]ddd")</f>
        <v>Thu</v>
      </c>
      <c r="U74" s="3">
        <f>WEEKDAY(Clean_Data[[#This Row],[OrderDate]],2)</f>
        <v>4</v>
      </c>
      <c r="V74" s="3">
        <f>INT(Clean_Data[[#This Row],[OrderHour]]/6)+1</f>
        <v>2</v>
      </c>
      <c r="W74" s="3">
        <f>IF(Clean_Data[[#This Row],[Status]]="Delivered",1,0)</f>
        <v>1</v>
      </c>
      <c r="X74" s="3">
        <f>IF(Clean_Data[[#This Row],[Status]]="Delivered",IF(Clean_Data[[#This Row],[DeliveryMinutes]]&lt;=Dashboard!$X$5,1,0),0)</f>
        <v>1</v>
      </c>
      <c r="Y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" s="3">
        <f>IF(AND(Clean_Data[[#This Row],[Include]]=1,Clean_Data[[#This Row],[DeliveredFlag]]=1),1,0)</f>
        <v>1</v>
      </c>
      <c r="AA74" s="1">
        <f>IF(COUNTIF($D$2:D74,D74)=1,ROW()-1,ROWS(Clean_Data[OrderID])+1)</f>
        <v>73</v>
      </c>
      <c r="AB74" s="1">
        <f>IF(COUNTIF($F$2:F74,F74)=1,ROW()-1,ROWS(Clean_Data[OrderID])+1)</f>
        <v>901</v>
      </c>
      <c r="AC74" s="1">
        <f>IF(COUNTIF($G$2:G74,G74)=1,ROW()-1,ROWS(Clean_Data[OrderID])+1)</f>
        <v>901</v>
      </c>
      <c r="AD74" s="1">
        <f>IF(COUNTIF($H$2:H74,H74)=1,ROW()-1,ROWS(Clean_Data[OrderID])+1)</f>
        <v>901</v>
      </c>
      <c r="AE74" s="1">
        <f>IF(COUNTIF($V$2:V74,V74)=1,V74,ROWS(Clean_Data[OrderID])+1)</f>
        <v>901</v>
      </c>
      <c r="AF74" s="1">
        <f>IF(COUNTIF($U$2:U74,U74)=1,U74,ROWS(Clean_Data[OrderID])+1)</f>
        <v>901</v>
      </c>
      <c r="AG74" s="1">
        <f>IF(COUNTIF($E$2:E74,E74)=1,ROW()-1,ROWS(Clean_Data[OrderID])+1)</f>
        <v>901</v>
      </c>
    </row>
    <row r="75" spans="1:33" ht="20" customHeight="1">
      <c r="A75" s="3" t="s">
        <v>260</v>
      </c>
      <c r="B75" s="2">
        <v>46268</v>
      </c>
      <c r="C75" s="3">
        <v>13</v>
      </c>
      <c r="D75" s="3" t="s">
        <v>97</v>
      </c>
      <c r="E75" s="3" t="s">
        <v>91</v>
      </c>
      <c r="F75" s="3" t="s">
        <v>92</v>
      </c>
      <c r="G75" s="3" t="s">
        <v>99</v>
      </c>
      <c r="H75" s="3" t="s">
        <v>100</v>
      </c>
      <c r="I75" s="3">
        <v>4</v>
      </c>
      <c r="J75" s="11">
        <v>120</v>
      </c>
      <c r="K75" s="4">
        <v>0.1</v>
      </c>
      <c r="L75" s="3" t="s">
        <v>95</v>
      </c>
      <c r="M75" s="3">
        <v>28</v>
      </c>
      <c r="N75" s="3">
        <v>4</v>
      </c>
      <c r="O75" s="3">
        <v>3</v>
      </c>
      <c r="P75" s="11">
        <f>Clean_Data[[#This Row],[Quantity]]*Clean_Data[[#This Row],[UnitPrice]]</f>
        <v>480</v>
      </c>
      <c r="Q75" s="11">
        <f>ROUND(Clean_Data[[#This Row],[GrossSales]]*Clean_Data[[#This Row],[DiscountPct]],2)</f>
        <v>48</v>
      </c>
      <c r="R75" s="11">
        <f>IF(Clean_Data[[#This Row],[Status]]="Delivered",ROUND(Clean_Data[[#This Row],[GrossSales]]-Clean_Data[[#This Row],[DiscountAmount]],2),0)</f>
        <v>432</v>
      </c>
      <c r="S75" s="3" t="str">
        <f>IF(Clean_Data[[#This Row],[OrderHour]]&lt;6,"Night",IF(Clean_Data[[#This Row],[OrderHour]]&lt;12,"Morning",IF(Clean_Data[[#This Row],[OrderHour]]&lt;18,"Afternoon","Evening")))</f>
        <v>Afternoon</v>
      </c>
      <c r="T75" s="3" t="str">
        <f>TEXT(Clean_Data[[#This Row],[OrderDate]],"[$-409]ddd")</f>
        <v>Thu</v>
      </c>
      <c r="U75" s="3">
        <f>WEEKDAY(Clean_Data[[#This Row],[OrderDate]],2)</f>
        <v>4</v>
      </c>
      <c r="V75" s="3">
        <f>INT(Clean_Data[[#This Row],[OrderHour]]/6)+1</f>
        <v>3</v>
      </c>
      <c r="W75" s="3">
        <f>IF(Clean_Data[[#This Row],[Status]]="Delivered",1,0)</f>
        <v>1</v>
      </c>
      <c r="X75" s="3">
        <f>IF(Clean_Data[[#This Row],[Status]]="Delivered",IF(Clean_Data[[#This Row],[DeliveryMinutes]]&lt;=Dashboard!$X$5,1,0),0)</f>
        <v>1</v>
      </c>
      <c r="Y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" s="3">
        <f>IF(AND(Clean_Data[[#This Row],[Include]]=1,Clean_Data[[#This Row],[DeliveredFlag]]=1),1,0)</f>
        <v>1</v>
      </c>
      <c r="AA75" s="1">
        <f>IF(COUNTIF($D$2:D75,D75)=1,ROW()-1,ROWS(Clean_Data[OrderID])+1)</f>
        <v>901</v>
      </c>
      <c r="AB75" s="1">
        <f>IF(COUNTIF($F$2:F75,F75)=1,ROW()-1,ROWS(Clean_Data[OrderID])+1)</f>
        <v>901</v>
      </c>
      <c r="AC75" s="1">
        <f>IF(COUNTIF($G$2:G75,G75)=1,ROW()-1,ROWS(Clean_Data[OrderID])+1)</f>
        <v>901</v>
      </c>
      <c r="AD75" s="1">
        <f>IF(COUNTIF($H$2:H75,H75)=1,ROW()-1,ROWS(Clean_Data[OrderID])+1)</f>
        <v>901</v>
      </c>
      <c r="AE75" s="1">
        <f>IF(COUNTIF($V$2:V75,V75)=1,V75,ROWS(Clean_Data[OrderID])+1)</f>
        <v>901</v>
      </c>
      <c r="AF75" s="1">
        <f>IF(COUNTIF($U$2:U75,U75)=1,U75,ROWS(Clean_Data[OrderID])+1)</f>
        <v>901</v>
      </c>
      <c r="AG75" s="1">
        <f>IF(COUNTIF($E$2:E75,E75)=1,ROW()-1,ROWS(Clean_Data[OrderID])+1)</f>
        <v>901</v>
      </c>
    </row>
    <row r="76" spans="1:33" ht="20" customHeight="1">
      <c r="A76" s="3" t="s">
        <v>261</v>
      </c>
      <c r="B76" s="2">
        <v>46268</v>
      </c>
      <c r="C76" s="3">
        <v>19</v>
      </c>
      <c r="D76" s="3" t="s">
        <v>262</v>
      </c>
      <c r="E76" s="3" t="s">
        <v>117</v>
      </c>
      <c r="F76" s="3" t="s">
        <v>92</v>
      </c>
      <c r="G76" s="3" t="s">
        <v>122</v>
      </c>
      <c r="H76" s="3" t="s">
        <v>153</v>
      </c>
      <c r="I76" s="3">
        <v>1</v>
      </c>
      <c r="J76" s="11">
        <v>130</v>
      </c>
      <c r="K76" s="4">
        <v>0.15</v>
      </c>
      <c r="L76" s="3" t="s">
        <v>95</v>
      </c>
      <c r="M76" s="3">
        <v>19</v>
      </c>
      <c r="N76" s="3">
        <v>5</v>
      </c>
      <c r="O76" s="3">
        <v>5</v>
      </c>
      <c r="P76" s="11">
        <f>Clean_Data[[#This Row],[Quantity]]*Clean_Data[[#This Row],[UnitPrice]]</f>
        <v>130</v>
      </c>
      <c r="Q76" s="11">
        <f>ROUND(Clean_Data[[#This Row],[GrossSales]]*Clean_Data[[#This Row],[DiscountPct]],2)</f>
        <v>19.5</v>
      </c>
      <c r="R76" s="11">
        <f>IF(Clean_Data[[#This Row],[Status]]="Delivered",ROUND(Clean_Data[[#This Row],[GrossSales]]-Clean_Data[[#This Row],[DiscountAmount]],2),0)</f>
        <v>110.5</v>
      </c>
      <c r="S76" s="3" t="str">
        <f>IF(Clean_Data[[#This Row],[OrderHour]]&lt;6,"Night",IF(Clean_Data[[#This Row],[OrderHour]]&lt;12,"Morning",IF(Clean_Data[[#This Row],[OrderHour]]&lt;18,"Afternoon","Evening")))</f>
        <v>Evening</v>
      </c>
      <c r="T76" s="3" t="str">
        <f>TEXT(Clean_Data[[#This Row],[OrderDate]],"[$-409]ddd")</f>
        <v>Thu</v>
      </c>
      <c r="U76" s="3">
        <f>WEEKDAY(Clean_Data[[#This Row],[OrderDate]],2)</f>
        <v>4</v>
      </c>
      <c r="V76" s="3">
        <f>INT(Clean_Data[[#This Row],[OrderHour]]/6)+1</f>
        <v>4</v>
      </c>
      <c r="W76" s="3">
        <f>IF(Clean_Data[[#This Row],[Status]]="Delivered",1,0)</f>
        <v>1</v>
      </c>
      <c r="X76" s="3">
        <f>IF(Clean_Data[[#This Row],[Status]]="Delivered",IF(Clean_Data[[#This Row],[DeliveryMinutes]]&lt;=Dashboard!$X$5,1,0),0)</f>
        <v>1</v>
      </c>
      <c r="Y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" s="3">
        <f>IF(AND(Clean_Data[[#This Row],[Include]]=1,Clean_Data[[#This Row],[DeliveredFlag]]=1),1,0)</f>
        <v>1</v>
      </c>
      <c r="AA76" s="1">
        <f>IF(COUNTIF($D$2:D76,D76)=1,ROW()-1,ROWS(Clean_Data[OrderID])+1)</f>
        <v>75</v>
      </c>
      <c r="AB76" s="1">
        <f>IF(COUNTIF($F$2:F76,F76)=1,ROW()-1,ROWS(Clean_Data[OrderID])+1)</f>
        <v>901</v>
      </c>
      <c r="AC76" s="1">
        <f>IF(COUNTIF($G$2:G76,G76)=1,ROW()-1,ROWS(Clean_Data[OrderID])+1)</f>
        <v>901</v>
      </c>
      <c r="AD76" s="1">
        <f>IF(COUNTIF($H$2:H76,H76)=1,ROW()-1,ROWS(Clean_Data[OrderID])+1)</f>
        <v>901</v>
      </c>
      <c r="AE76" s="1">
        <f>IF(COUNTIF($V$2:V76,V76)=1,V76,ROWS(Clean_Data[OrderID])+1)</f>
        <v>901</v>
      </c>
      <c r="AF76" s="1">
        <f>IF(COUNTIF($U$2:U76,U76)=1,U76,ROWS(Clean_Data[OrderID])+1)</f>
        <v>901</v>
      </c>
      <c r="AG76" s="1">
        <f>IF(COUNTIF($E$2:E76,E76)=1,ROW()-1,ROWS(Clean_Data[OrderID])+1)</f>
        <v>901</v>
      </c>
    </row>
    <row r="77" spans="1:33" ht="20" customHeight="1">
      <c r="A77" s="3" t="s">
        <v>263</v>
      </c>
      <c r="B77" s="2">
        <v>46268</v>
      </c>
      <c r="C77" s="3">
        <v>9</v>
      </c>
      <c r="D77" s="3" t="s">
        <v>120</v>
      </c>
      <c r="E77" s="3" t="s">
        <v>91</v>
      </c>
      <c r="F77" s="3" t="s">
        <v>139</v>
      </c>
      <c r="G77" s="3" t="s">
        <v>110</v>
      </c>
      <c r="H77" s="3" t="s">
        <v>114</v>
      </c>
      <c r="I77" s="3">
        <v>3</v>
      </c>
      <c r="J77" s="11">
        <v>145</v>
      </c>
      <c r="K77" s="4">
        <v>0.1</v>
      </c>
      <c r="L77" s="3" t="s">
        <v>95</v>
      </c>
      <c r="M77" s="3">
        <v>34</v>
      </c>
      <c r="N77" s="3">
        <v>8</v>
      </c>
      <c r="O77" s="3">
        <v>4</v>
      </c>
      <c r="P77" s="11">
        <f>Clean_Data[[#This Row],[Quantity]]*Clean_Data[[#This Row],[UnitPrice]]</f>
        <v>435</v>
      </c>
      <c r="Q77" s="11">
        <f>ROUND(Clean_Data[[#This Row],[GrossSales]]*Clean_Data[[#This Row],[DiscountPct]],2)</f>
        <v>43.5</v>
      </c>
      <c r="R77" s="11">
        <f>IF(Clean_Data[[#This Row],[Status]]="Delivered",ROUND(Clean_Data[[#This Row],[GrossSales]]-Clean_Data[[#This Row],[DiscountAmount]],2),0)</f>
        <v>391.5</v>
      </c>
      <c r="S77" s="3" t="str">
        <f>IF(Clean_Data[[#This Row],[OrderHour]]&lt;6,"Night",IF(Clean_Data[[#This Row],[OrderHour]]&lt;12,"Morning",IF(Clean_Data[[#This Row],[OrderHour]]&lt;18,"Afternoon","Evening")))</f>
        <v>Morning</v>
      </c>
      <c r="T77" s="3" t="str">
        <f>TEXT(Clean_Data[[#This Row],[OrderDate]],"[$-409]ddd")</f>
        <v>Thu</v>
      </c>
      <c r="U77" s="3">
        <f>WEEKDAY(Clean_Data[[#This Row],[OrderDate]],2)</f>
        <v>4</v>
      </c>
      <c r="V77" s="3">
        <f>INT(Clean_Data[[#This Row],[OrderHour]]/6)+1</f>
        <v>2</v>
      </c>
      <c r="W77" s="3">
        <f>IF(Clean_Data[[#This Row],[Status]]="Delivered",1,0)</f>
        <v>1</v>
      </c>
      <c r="X77" s="3">
        <f>IF(Clean_Data[[#This Row],[Status]]="Delivered",IF(Clean_Data[[#This Row],[DeliveryMinutes]]&lt;=Dashboard!$X$5,1,0),0)</f>
        <v>0</v>
      </c>
      <c r="Y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" s="3">
        <f>IF(AND(Clean_Data[[#This Row],[Include]]=1,Clean_Data[[#This Row],[DeliveredFlag]]=1),1,0)</f>
        <v>1</v>
      </c>
      <c r="AA77" s="1">
        <f>IF(COUNTIF($D$2:D77,D77)=1,ROW()-1,ROWS(Clean_Data[OrderID])+1)</f>
        <v>901</v>
      </c>
      <c r="AB77" s="1">
        <f>IF(COUNTIF($F$2:F77,F77)=1,ROW()-1,ROWS(Clean_Data[OrderID])+1)</f>
        <v>901</v>
      </c>
      <c r="AC77" s="1">
        <f>IF(COUNTIF($G$2:G77,G77)=1,ROW()-1,ROWS(Clean_Data[OrderID])+1)</f>
        <v>901</v>
      </c>
      <c r="AD77" s="1">
        <f>IF(COUNTIF($H$2:H77,H77)=1,ROW()-1,ROWS(Clean_Data[OrderID])+1)</f>
        <v>901</v>
      </c>
      <c r="AE77" s="1">
        <f>IF(COUNTIF($V$2:V77,V77)=1,V77,ROWS(Clean_Data[OrderID])+1)</f>
        <v>901</v>
      </c>
      <c r="AF77" s="1">
        <f>IF(COUNTIF($U$2:U77,U77)=1,U77,ROWS(Clean_Data[OrderID])+1)</f>
        <v>901</v>
      </c>
      <c r="AG77" s="1">
        <f>IF(COUNTIF($E$2:E77,E77)=1,ROW()-1,ROWS(Clean_Data[OrderID])+1)</f>
        <v>901</v>
      </c>
    </row>
    <row r="78" spans="1:33" ht="20" customHeight="1">
      <c r="A78" s="3" t="s">
        <v>264</v>
      </c>
      <c r="B78" s="2">
        <v>46268</v>
      </c>
      <c r="C78" s="3">
        <v>10</v>
      </c>
      <c r="D78" s="3" t="s">
        <v>265</v>
      </c>
      <c r="E78" s="3" t="s">
        <v>117</v>
      </c>
      <c r="F78" s="3" t="s">
        <v>109</v>
      </c>
      <c r="G78" s="3" t="s">
        <v>135</v>
      </c>
      <c r="H78" s="3" t="s">
        <v>162</v>
      </c>
      <c r="I78" s="3">
        <v>6</v>
      </c>
      <c r="J78" s="11">
        <v>180</v>
      </c>
      <c r="K78" s="4">
        <v>0.05</v>
      </c>
      <c r="L78" s="3" t="s">
        <v>95</v>
      </c>
      <c r="M78" s="3">
        <v>17</v>
      </c>
      <c r="N78" s="3">
        <v>5</v>
      </c>
      <c r="O78" s="3">
        <v>5</v>
      </c>
      <c r="P78" s="11">
        <f>Clean_Data[[#This Row],[Quantity]]*Clean_Data[[#This Row],[UnitPrice]]</f>
        <v>1080</v>
      </c>
      <c r="Q78" s="11">
        <f>ROUND(Clean_Data[[#This Row],[GrossSales]]*Clean_Data[[#This Row],[DiscountPct]],2)</f>
        <v>54</v>
      </c>
      <c r="R78" s="11">
        <f>IF(Clean_Data[[#This Row],[Status]]="Delivered",ROUND(Clean_Data[[#This Row],[GrossSales]]-Clean_Data[[#This Row],[DiscountAmount]],2),0)</f>
        <v>1026</v>
      </c>
      <c r="S78" s="3" t="str">
        <f>IF(Clean_Data[[#This Row],[OrderHour]]&lt;6,"Night",IF(Clean_Data[[#This Row],[OrderHour]]&lt;12,"Morning",IF(Clean_Data[[#This Row],[OrderHour]]&lt;18,"Afternoon","Evening")))</f>
        <v>Morning</v>
      </c>
      <c r="T78" s="3" t="str">
        <f>TEXT(Clean_Data[[#This Row],[OrderDate]],"[$-409]ddd")</f>
        <v>Thu</v>
      </c>
      <c r="U78" s="3">
        <f>WEEKDAY(Clean_Data[[#This Row],[OrderDate]],2)</f>
        <v>4</v>
      </c>
      <c r="V78" s="3">
        <f>INT(Clean_Data[[#This Row],[OrderHour]]/6)+1</f>
        <v>2</v>
      </c>
      <c r="W78" s="3">
        <f>IF(Clean_Data[[#This Row],[Status]]="Delivered",1,0)</f>
        <v>1</v>
      </c>
      <c r="X78" s="3">
        <f>IF(Clean_Data[[#This Row],[Status]]="Delivered",IF(Clean_Data[[#This Row],[DeliveryMinutes]]&lt;=Dashboard!$X$5,1,0),0)</f>
        <v>1</v>
      </c>
      <c r="Y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" s="3">
        <f>IF(AND(Clean_Data[[#This Row],[Include]]=1,Clean_Data[[#This Row],[DeliveredFlag]]=1),1,0)</f>
        <v>1</v>
      </c>
      <c r="AA78" s="1">
        <f>IF(COUNTIF($D$2:D78,D78)=1,ROW()-1,ROWS(Clean_Data[OrderID])+1)</f>
        <v>77</v>
      </c>
      <c r="AB78" s="1">
        <f>IF(COUNTIF($F$2:F78,F78)=1,ROW()-1,ROWS(Clean_Data[OrderID])+1)</f>
        <v>901</v>
      </c>
      <c r="AC78" s="1">
        <f>IF(COUNTIF($G$2:G78,G78)=1,ROW()-1,ROWS(Clean_Data[OrderID])+1)</f>
        <v>901</v>
      </c>
      <c r="AD78" s="1">
        <f>IF(COUNTIF($H$2:H78,H78)=1,ROW()-1,ROWS(Clean_Data[OrderID])+1)</f>
        <v>901</v>
      </c>
      <c r="AE78" s="1">
        <f>IF(COUNTIF($V$2:V78,V78)=1,V78,ROWS(Clean_Data[OrderID])+1)</f>
        <v>901</v>
      </c>
      <c r="AF78" s="1">
        <f>IF(COUNTIF($U$2:U78,U78)=1,U78,ROWS(Clean_Data[OrderID])+1)</f>
        <v>901</v>
      </c>
      <c r="AG78" s="1">
        <f>IF(COUNTIF($E$2:E78,E78)=1,ROW()-1,ROWS(Clean_Data[OrderID])+1)</f>
        <v>901</v>
      </c>
    </row>
    <row r="79" spans="1:33" ht="20" customHeight="1">
      <c r="A79" s="3" t="s">
        <v>266</v>
      </c>
      <c r="B79" s="2">
        <v>46268</v>
      </c>
      <c r="C79" s="3">
        <v>8</v>
      </c>
      <c r="D79" s="3" t="s">
        <v>267</v>
      </c>
      <c r="E79" s="3" t="s">
        <v>91</v>
      </c>
      <c r="F79" s="3" t="s">
        <v>92</v>
      </c>
      <c r="G79" s="3" t="s">
        <v>135</v>
      </c>
      <c r="H79" s="3" t="s">
        <v>136</v>
      </c>
      <c r="I79" s="3">
        <v>5</v>
      </c>
      <c r="J79" s="11">
        <v>40</v>
      </c>
      <c r="K79" s="4">
        <v>0</v>
      </c>
      <c r="L79" s="3" t="s">
        <v>95</v>
      </c>
      <c r="M79" s="3">
        <v>25</v>
      </c>
      <c r="N79" s="3">
        <v>9</v>
      </c>
      <c r="O79" s="3">
        <v>3</v>
      </c>
      <c r="P79" s="11">
        <f>Clean_Data[[#This Row],[Quantity]]*Clean_Data[[#This Row],[UnitPrice]]</f>
        <v>200</v>
      </c>
      <c r="Q79" s="11">
        <f>ROUND(Clean_Data[[#This Row],[GrossSales]]*Clean_Data[[#This Row],[DiscountPct]],2)</f>
        <v>0</v>
      </c>
      <c r="R79" s="11">
        <f>IF(Clean_Data[[#This Row],[Status]]="Delivered",ROUND(Clean_Data[[#This Row],[GrossSales]]-Clean_Data[[#This Row],[DiscountAmount]],2),0)</f>
        <v>200</v>
      </c>
      <c r="S79" s="3" t="str">
        <f>IF(Clean_Data[[#This Row],[OrderHour]]&lt;6,"Night",IF(Clean_Data[[#This Row],[OrderHour]]&lt;12,"Morning",IF(Clean_Data[[#This Row],[OrderHour]]&lt;18,"Afternoon","Evening")))</f>
        <v>Morning</v>
      </c>
      <c r="T79" s="3" t="str">
        <f>TEXT(Clean_Data[[#This Row],[OrderDate]],"[$-409]ddd")</f>
        <v>Thu</v>
      </c>
      <c r="U79" s="3">
        <f>WEEKDAY(Clean_Data[[#This Row],[OrderDate]],2)</f>
        <v>4</v>
      </c>
      <c r="V79" s="3">
        <f>INT(Clean_Data[[#This Row],[OrderHour]]/6)+1</f>
        <v>2</v>
      </c>
      <c r="W79" s="3">
        <f>IF(Clean_Data[[#This Row],[Status]]="Delivered",1,0)</f>
        <v>1</v>
      </c>
      <c r="X79" s="3">
        <f>IF(Clean_Data[[#This Row],[Status]]="Delivered",IF(Clean_Data[[#This Row],[DeliveryMinutes]]&lt;=Dashboard!$X$5,1,0),0)</f>
        <v>1</v>
      </c>
      <c r="Y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" s="3">
        <f>IF(AND(Clean_Data[[#This Row],[Include]]=1,Clean_Data[[#This Row],[DeliveredFlag]]=1),1,0)</f>
        <v>1</v>
      </c>
      <c r="AA79" s="1">
        <f>IF(COUNTIF($D$2:D79,D79)=1,ROW()-1,ROWS(Clean_Data[OrderID])+1)</f>
        <v>78</v>
      </c>
      <c r="AB79" s="1">
        <f>IF(COUNTIF($F$2:F79,F79)=1,ROW()-1,ROWS(Clean_Data[OrderID])+1)</f>
        <v>901</v>
      </c>
      <c r="AC79" s="1">
        <f>IF(COUNTIF($G$2:G79,G79)=1,ROW()-1,ROWS(Clean_Data[OrderID])+1)</f>
        <v>901</v>
      </c>
      <c r="AD79" s="1">
        <f>IF(COUNTIF($H$2:H79,H79)=1,ROW()-1,ROWS(Clean_Data[OrderID])+1)</f>
        <v>901</v>
      </c>
      <c r="AE79" s="1">
        <f>IF(COUNTIF($V$2:V79,V79)=1,V79,ROWS(Clean_Data[OrderID])+1)</f>
        <v>901</v>
      </c>
      <c r="AF79" s="1">
        <f>IF(COUNTIF($U$2:U79,U79)=1,U79,ROWS(Clean_Data[OrderID])+1)</f>
        <v>901</v>
      </c>
      <c r="AG79" s="1">
        <f>IF(COUNTIF($E$2:E79,E79)=1,ROW()-1,ROWS(Clean_Data[OrderID])+1)</f>
        <v>901</v>
      </c>
    </row>
    <row r="80" spans="1:33" ht="20" customHeight="1">
      <c r="A80" s="3" t="s">
        <v>268</v>
      </c>
      <c r="B80" s="2">
        <v>46268</v>
      </c>
      <c r="C80" s="3">
        <v>17</v>
      </c>
      <c r="D80" s="3" t="s">
        <v>269</v>
      </c>
      <c r="E80" s="3" t="s">
        <v>117</v>
      </c>
      <c r="F80" s="3" t="s">
        <v>92</v>
      </c>
      <c r="G80" s="3" t="s">
        <v>122</v>
      </c>
      <c r="H80" s="3" t="s">
        <v>214</v>
      </c>
      <c r="I80" s="3">
        <v>3</v>
      </c>
      <c r="J80" s="11">
        <v>55</v>
      </c>
      <c r="K80" s="4">
        <v>0.15</v>
      </c>
      <c r="L80" s="3" t="s">
        <v>95</v>
      </c>
      <c r="M80" s="3">
        <v>33</v>
      </c>
      <c r="N80" s="3">
        <v>5</v>
      </c>
      <c r="O80" s="3">
        <v>5</v>
      </c>
      <c r="P80" s="11">
        <f>Clean_Data[[#This Row],[Quantity]]*Clean_Data[[#This Row],[UnitPrice]]</f>
        <v>165</v>
      </c>
      <c r="Q80" s="11">
        <f>ROUND(Clean_Data[[#This Row],[GrossSales]]*Clean_Data[[#This Row],[DiscountPct]],2)</f>
        <v>24.75</v>
      </c>
      <c r="R80" s="11">
        <f>IF(Clean_Data[[#This Row],[Status]]="Delivered",ROUND(Clean_Data[[#This Row],[GrossSales]]-Clean_Data[[#This Row],[DiscountAmount]],2),0)</f>
        <v>140.25</v>
      </c>
      <c r="S80" s="3" t="str">
        <f>IF(Clean_Data[[#This Row],[OrderHour]]&lt;6,"Night",IF(Clean_Data[[#This Row],[OrderHour]]&lt;12,"Morning",IF(Clean_Data[[#This Row],[OrderHour]]&lt;18,"Afternoon","Evening")))</f>
        <v>Afternoon</v>
      </c>
      <c r="T80" s="3" t="str">
        <f>TEXT(Clean_Data[[#This Row],[OrderDate]],"[$-409]ddd")</f>
        <v>Thu</v>
      </c>
      <c r="U80" s="3">
        <f>WEEKDAY(Clean_Data[[#This Row],[OrderDate]],2)</f>
        <v>4</v>
      </c>
      <c r="V80" s="3">
        <f>INT(Clean_Data[[#This Row],[OrderHour]]/6)+1</f>
        <v>3</v>
      </c>
      <c r="W80" s="3">
        <f>IF(Clean_Data[[#This Row],[Status]]="Delivered",1,0)</f>
        <v>1</v>
      </c>
      <c r="X80" s="3">
        <f>IF(Clean_Data[[#This Row],[Status]]="Delivered",IF(Clean_Data[[#This Row],[DeliveryMinutes]]&lt;=Dashboard!$X$5,1,0),0)</f>
        <v>0</v>
      </c>
      <c r="Y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" s="3">
        <f>IF(AND(Clean_Data[[#This Row],[Include]]=1,Clean_Data[[#This Row],[DeliveredFlag]]=1),1,0)</f>
        <v>1</v>
      </c>
      <c r="AA80" s="1">
        <f>IF(COUNTIF($D$2:D80,D80)=1,ROW()-1,ROWS(Clean_Data[OrderID])+1)</f>
        <v>79</v>
      </c>
      <c r="AB80" s="1">
        <f>IF(COUNTIF($F$2:F80,F80)=1,ROW()-1,ROWS(Clean_Data[OrderID])+1)</f>
        <v>901</v>
      </c>
      <c r="AC80" s="1">
        <f>IF(COUNTIF($G$2:G80,G80)=1,ROW()-1,ROWS(Clean_Data[OrderID])+1)</f>
        <v>901</v>
      </c>
      <c r="AD80" s="1">
        <f>IF(COUNTIF($H$2:H80,H80)=1,ROW()-1,ROWS(Clean_Data[OrderID])+1)</f>
        <v>901</v>
      </c>
      <c r="AE80" s="1">
        <f>IF(COUNTIF($V$2:V80,V80)=1,V80,ROWS(Clean_Data[OrderID])+1)</f>
        <v>901</v>
      </c>
      <c r="AF80" s="1">
        <f>IF(COUNTIF($U$2:U80,U80)=1,U80,ROWS(Clean_Data[OrderID])+1)</f>
        <v>901</v>
      </c>
      <c r="AG80" s="1">
        <f>IF(COUNTIF($E$2:E80,E80)=1,ROW()-1,ROWS(Clean_Data[OrderID])+1)</f>
        <v>901</v>
      </c>
    </row>
    <row r="81" spans="1:33" ht="20" customHeight="1">
      <c r="A81" s="3" t="s">
        <v>270</v>
      </c>
      <c r="B81" s="2">
        <v>46268</v>
      </c>
      <c r="C81" s="3">
        <v>22</v>
      </c>
      <c r="D81" s="3" t="s">
        <v>271</v>
      </c>
      <c r="E81" s="3" t="s">
        <v>91</v>
      </c>
      <c r="F81" s="3" t="s">
        <v>98</v>
      </c>
      <c r="G81" s="3" t="s">
        <v>93</v>
      </c>
      <c r="H81" s="3" t="s">
        <v>118</v>
      </c>
      <c r="I81" s="3">
        <v>2</v>
      </c>
      <c r="J81" s="11">
        <v>45</v>
      </c>
      <c r="K81" s="4">
        <v>0</v>
      </c>
      <c r="L81" s="3" t="s">
        <v>95</v>
      </c>
      <c r="M81" s="3">
        <v>17</v>
      </c>
      <c r="N81" s="3">
        <v>11</v>
      </c>
      <c r="O81" s="3">
        <v>5</v>
      </c>
      <c r="P81" s="11">
        <f>Clean_Data[[#This Row],[Quantity]]*Clean_Data[[#This Row],[UnitPrice]]</f>
        <v>90</v>
      </c>
      <c r="Q81" s="11">
        <f>ROUND(Clean_Data[[#This Row],[GrossSales]]*Clean_Data[[#This Row],[DiscountPct]],2)</f>
        <v>0</v>
      </c>
      <c r="R81" s="11">
        <f>IF(Clean_Data[[#This Row],[Status]]="Delivered",ROUND(Clean_Data[[#This Row],[GrossSales]]-Clean_Data[[#This Row],[DiscountAmount]],2),0)</f>
        <v>90</v>
      </c>
      <c r="S81" s="3" t="str">
        <f>IF(Clean_Data[[#This Row],[OrderHour]]&lt;6,"Night",IF(Clean_Data[[#This Row],[OrderHour]]&lt;12,"Morning",IF(Clean_Data[[#This Row],[OrderHour]]&lt;18,"Afternoon","Evening")))</f>
        <v>Evening</v>
      </c>
      <c r="T81" s="3" t="str">
        <f>TEXT(Clean_Data[[#This Row],[OrderDate]],"[$-409]ddd")</f>
        <v>Thu</v>
      </c>
      <c r="U81" s="3">
        <f>WEEKDAY(Clean_Data[[#This Row],[OrderDate]],2)</f>
        <v>4</v>
      </c>
      <c r="V81" s="3">
        <f>INT(Clean_Data[[#This Row],[OrderHour]]/6)+1</f>
        <v>4</v>
      </c>
      <c r="W81" s="3">
        <f>IF(Clean_Data[[#This Row],[Status]]="Delivered",1,0)</f>
        <v>1</v>
      </c>
      <c r="X81" s="3">
        <f>IF(Clean_Data[[#This Row],[Status]]="Delivered",IF(Clean_Data[[#This Row],[DeliveryMinutes]]&lt;=Dashboard!$X$5,1,0),0)</f>
        <v>1</v>
      </c>
      <c r="Y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" s="3">
        <f>IF(AND(Clean_Data[[#This Row],[Include]]=1,Clean_Data[[#This Row],[DeliveredFlag]]=1),1,0)</f>
        <v>1</v>
      </c>
      <c r="AA81" s="1">
        <f>IF(COUNTIF($D$2:D81,D81)=1,ROW()-1,ROWS(Clean_Data[OrderID])+1)</f>
        <v>80</v>
      </c>
      <c r="AB81" s="1">
        <f>IF(COUNTIF($F$2:F81,F81)=1,ROW()-1,ROWS(Clean_Data[OrderID])+1)</f>
        <v>901</v>
      </c>
      <c r="AC81" s="1">
        <f>IF(COUNTIF($G$2:G81,G81)=1,ROW()-1,ROWS(Clean_Data[OrderID])+1)</f>
        <v>901</v>
      </c>
      <c r="AD81" s="1">
        <f>IF(COUNTIF($H$2:H81,H81)=1,ROW()-1,ROWS(Clean_Data[OrderID])+1)</f>
        <v>901</v>
      </c>
      <c r="AE81" s="1">
        <f>IF(COUNTIF($V$2:V81,V81)=1,V81,ROWS(Clean_Data[OrderID])+1)</f>
        <v>901</v>
      </c>
      <c r="AF81" s="1">
        <f>IF(COUNTIF($U$2:U81,U81)=1,U81,ROWS(Clean_Data[OrderID])+1)</f>
        <v>901</v>
      </c>
      <c r="AG81" s="1">
        <f>IF(COUNTIF($E$2:E81,E81)=1,ROW()-1,ROWS(Clean_Data[OrderID])+1)</f>
        <v>901</v>
      </c>
    </row>
    <row r="82" spans="1:33" ht="20" customHeight="1">
      <c r="A82" s="3" t="s">
        <v>272</v>
      </c>
      <c r="B82" s="2">
        <v>46268</v>
      </c>
      <c r="C82" s="3">
        <v>18</v>
      </c>
      <c r="D82" s="3" t="s">
        <v>273</v>
      </c>
      <c r="E82" s="3" t="s">
        <v>117</v>
      </c>
      <c r="F82" s="3" t="s">
        <v>121</v>
      </c>
      <c r="G82" s="3" t="s">
        <v>174</v>
      </c>
      <c r="H82" s="3" t="s">
        <v>274</v>
      </c>
      <c r="I82" s="3">
        <v>5</v>
      </c>
      <c r="J82" s="11">
        <v>90</v>
      </c>
      <c r="K82" s="4">
        <v>0.05</v>
      </c>
      <c r="L82" s="3" t="s">
        <v>95</v>
      </c>
      <c r="M82" s="3">
        <v>16</v>
      </c>
      <c r="N82" s="3">
        <v>5</v>
      </c>
      <c r="O82" s="3">
        <v>3</v>
      </c>
      <c r="P82" s="11">
        <f>Clean_Data[[#This Row],[Quantity]]*Clean_Data[[#This Row],[UnitPrice]]</f>
        <v>450</v>
      </c>
      <c r="Q82" s="11">
        <f>ROUND(Clean_Data[[#This Row],[GrossSales]]*Clean_Data[[#This Row],[DiscountPct]],2)</f>
        <v>22.5</v>
      </c>
      <c r="R82" s="11">
        <f>IF(Clean_Data[[#This Row],[Status]]="Delivered",ROUND(Clean_Data[[#This Row],[GrossSales]]-Clean_Data[[#This Row],[DiscountAmount]],2),0)</f>
        <v>427.5</v>
      </c>
      <c r="S82" s="3" t="str">
        <f>IF(Clean_Data[[#This Row],[OrderHour]]&lt;6,"Night",IF(Clean_Data[[#This Row],[OrderHour]]&lt;12,"Morning",IF(Clean_Data[[#This Row],[OrderHour]]&lt;18,"Afternoon","Evening")))</f>
        <v>Evening</v>
      </c>
      <c r="T82" s="3" t="str">
        <f>TEXT(Clean_Data[[#This Row],[OrderDate]],"[$-409]ddd")</f>
        <v>Thu</v>
      </c>
      <c r="U82" s="3">
        <f>WEEKDAY(Clean_Data[[#This Row],[OrderDate]],2)</f>
        <v>4</v>
      </c>
      <c r="V82" s="3">
        <f>INT(Clean_Data[[#This Row],[OrderHour]]/6)+1</f>
        <v>4</v>
      </c>
      <c r="W82" s="3">
        <f>IF(Clean_Data[[#This Row],[Status]]="Delivered",1,0)</f>
        <v>1</v>
      </c>
      <c r="X82" s="3">
        <f>IF(Clean_Data[[#This Row],[Status]]="Delivered",IF(Clean_Data[[#This Row],[DeliveryMinutes]]&lt;=Dashboard!$X$5,1,0),0)</f>
        <v>1</v>
      </c>
      <c r="Y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" s="3">
        <f>IF(AND(Clean_Data[[#This Row],[Include]]=1,Clean_Data[[#This Row],[DeliveredFlag]]=1),1,0)</f>
        <v>1</v>
      </c>
      <c r="AA82" s="1">
        <f>IF(COUNTIF($D$2:D82,D82)=1,ROW()-1,ROWS(Clean_Data[OrderID])+1)</f>
        <v>81</v>
      </c>
      <c r="AB82" s="1">
        <f>IF(COUNTIF($F$2:F82,F82)=1,ROW()-1,ROWS(Clean_Data[OrderID])+1)</f>
        <v>901</v>
      </c>
      <c r="AC82" s="1">
        <f>IF(COUNTIF($G$2:G82,G82)=1,ROW()-1,ROWS(Clean_Data[OrderID])+1)</f>
        <v>901</v>
      </c>
      <c r="AD82" s="1">
        <f>IF(COUNTIF($H$2:H82,H82)=1,ROW()-1,ROWS(Clean_Data[OrderID])+1)</f>
        <v>81</v>
      </c>
      <c r="AE82" s="1">
        <f>IF(COUNTIF($V$2:V82,V82)=1,V82,ROWS(Clean_Data[OrderID])+1)</f>
        <v>901</v>
      </c>
      <c r="AF82" s="1">
        <f>IF(COUNTIF($U$2:U82,U82)=1,U82,ROWS(Clean_Data[OrderID])+1)</f>
        <v>901</v>
      </c>
      <c r="AG82" s="1">
        <f>IF(COUNTIF($E$2:E82,E82)=1,ROW()-1,ROWS(Clean_Data[OrderID])+1)</f>
        <v>901</v>
      </c>
    </row>
    <row r="83" spans="1:33" ht="20" customHeight="1">
      <c r="A83" s="3" t="s">
        <v>275</v>
      </c>
      <c r="B83" s="2">
        <v>46268</v>
      </c>
      <c r="C83" s="3">
        <v>19</v>
      </c>
      <c r="D83" s="3" t="s">
        <v>276</v>
      </c>
      <c r="E83" s="3" t="s">
        <v>117</v>
      </c>
      <c r="F83" s="3" t="s">
        <v>98</v>
      </c>
      <c r="G83" s="3" t="s">
        <v>99</v>
      </c>
      <c r="H83" s="3" t="s">
        <v>104</v>
      </c>
      <c r="I83" s="3">
        <v>3</v>
      </c>
      <c r="J83" s="11">
        <v>240</v>
      </c>
      <c r="K83" s="4">
        <v>0</v>
      </c>
      <c r="L83" s="3" t="s">
        <v>101</v>
      </c>
      <c r="M83" s="3"/>
      <c r="N83" s="3"/>
      <c r="O83" s="3"/>
      <c r="P83" s="11">
        <f>Clean_Data[[#This Row],[Quantity]]*Clean_Data[[#This Row],[UnitPrice]]</f>
        <v>720</v>
      </c>
      <c r="Q83" s="11">
        <f>ROUND(Clean_Data[[#This Row],[GrossSales]]*Clean_Data[[#This Row],[DiscountPct]],2)</f>
        <v>0</v>
      </c>
      <c r="R83" s="11">
        <f>IF(Clean_Data[[#This Row],[Status]]="Delivered",ROUND(Clean_Data[[#This Row],[GrossSales]]-Clean_Data[[#This Row],[DiscountAmount]],2),0)</f>
        <v>0</v>
      </c>
      <c r="S83" s="3" t="str">
        <f>IF(Clean_Data[[#This Row],[OrderHour]]&lt;6,"Night",IF(Clean_Data[[#This Row],[OrderHour]]&lt;12,"Morning",IF(Clean_Data[[#This Row],[OrderHour]]&lt;18,"Afternoon","Evening")))</f>
        <v>Evening</v>
      </c>
      <c r="T83" s="3" t="str">
        <f>TEXT(Clean_Data[[#This Row],[OrderDate]],"[$-409]ddd")</f>
        <v>Thu</v>
      </c>
      <c r="U83" s="3">
        <f>WEEKDAY(Clean_Data[[#This Row],[OrderDate]],2)</f>
        <v>4</v>
      </c>
      <c r="V83" s="3">
        <f>INT(Clean_Data[[#This Row],[OrderHour]]/6)+1</f>
        <v>4</v>
      </c>
      <c r="W83" s="3">
        <f>IF(Clean_Data[[#This Row],[Status]]="Delivered",1,0)</f>
        <v>0</v>
      </c>
      <c r="X83" s="3">
        <f>IF(Clean_Data[[#This Row],[Status]]="Delivered",IF(Clean_Data[[#This Row],[DeliveryMinutes]]&lt;=Dashboard!$X$5,1,0),0)</f>
        <v>0</v>
      </c>
      <c r="Y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" s="3">
        <f>IF(AND(Clean_Data[[#This Row],[Include]]=1,Clean_Data[[#This Row],[DeliveredFlag]]=1),1,0)</f>
        <v>0</v>
      </c>
      <c r="AA83" s="1">
        <f>IF(COUNTIF($D$2:D83,D83)=1,ROW()-1,ROWS(Clean_Data[OrderID])+1)</f>
        <v>82</v>
      </c>
      <c r="AB83" s="1">
        <f>IF(COUNTIF($F$2:F83,F83)=1,ROW()-1,ROWS(Clean_Data[OrderID])+1)</f>
        <v>901</v>
      </c>
      <c r="AC83" s="1">
        <f>IF(COUNTIF($G$2:G83,G83)=1,ROW()-1,ROWS(Clean_Data[OrderID])+1)</f>
        <v>901</v>
      </c>
      <c r="AD83" s="1">
        <f>IF(COUNTIF($H$2:H83,H83)=1,ROW()-1,ROWS(Clean_Data[OrderID])+1)</f>
        <v>901</v>
      </c>
      <c r="AE83" s="1">
        <f>IF(COUNTIF($V$2:V83,V83)=1,V83,ROWS(Clean_Data[OrderID])+1)</f>
        <v>901</v>
      </c>
      <c r="AF83" s="1">
        <f>IF(COUNTIF($U$2:U83,U83)=1,U83,ROWS(Clean_Data[OrderID])+1)</f>
        <v>901</v>
      </c>
      <c r="AG83" s="1">
        <f>IF(COUNTIF($E$2:E83,E83)=1,ROW()-1,ROWS(Clean_Data[OrderID])+1)</f>
        <v>901</v>
      </c>
    </row>
    <row r="84" spans="1:33" ht="20" customHeight="1">
      <c r="A84" s="3" t="s">
        <v>277</v>
      </c>
      <c r="B84" s="2">
        <v>46268</v>
      </c>
      <c r="C84" s="3">
        <v>18</v>
      </c>
      <c r="D84" s="3" t="s">
        <v>252</v>
      </c>
      <c r="E84" s="3" t="s">
        <v>91</v>
      </c>
      <c r="F84" s="3" t="s">
        <v>98</v>
      </c>
      <c r="G84" s="3" t="s">
        <v>174</v>
      </c>
      <c r="H84" s="3" t="s">
        <v>274</v>
      </c>
      <c r="I84" s="3">
        <v>6</v>
      </c>
      <c r="J84" s="11">
        <v>90</v>
      </c>
      <c r="K84" s="4">
        <v>0.05</v>
      </c>
      <c r="L84" s="3" t="s">
        <v>95</v>
      </c>
      <c r="M84" s="3">
        <v>35</v>
      </c>
      <c r="N84" s="3">
        <v>6</v>
      </c>
      <c r="O84" s="3">
        <v>4</v>
      </c>
      <c r="P84" s="11">
        <f>Clean_Data[[#This Row],[Quantity]]*Clean_Data[[#This Row],[UnitPrice]]</f>
        <v>540</v>
      </c>
      <c r="Q84" s="11">
        <f>ROUND(Clean_Data[[#This Row],[GrossSales]]*Clean_Data[[#This Row],[DiscountPct]],2)</f>
        <v>27</v>
      </c>
      <c r="R84" s="11">
        <f>IF(Clean_Data[[#This Row],[Status]]="Delivered",ROUND(Clean_Data[[#This Row],[GrossSales]]-Clean_Data[[#This Row],[DiscountAmount]],2),0)</f>
        <v>513</v>
      </c>
      <c r="S84" s="3" t="str">
        <f>IF(Clean_Data[[#This Row],[OrderHour]]&lt;6,"Night",IF(Clean_Data[[#This Row],[OrderHour]]&lt;12,"Morning",IF(Clean_Data[[#This Row],[OrderHour]]&lt;18,"Afternoon","Evening")))</f>
        <v>Evening</v>
      </c>
      <c r="T84" s="3" t="str">
        <f>TEXT(Clean_Data[[#This Row],[OrderDate]],"[$-409]ddd")</f>
        <v>Thu</v>
      </c>
      <c r="U84" s="3">
        <f>WEEKDAY(Clean_Data[[#This Row],[OrderDate]],2)</f>
        <v>4</v>
      </c>
      <c r="V84" s="3">
        <f>INT(Clean_Data[[#This Row],[OrderHour]]/6)+1</f>
        <v>4</v>
      </c>
      <c r="W84" s="3">
        <f>IF(Clean_Data[[#This Row],[Status]]="Delivered",1,0)</f>
        <v>1</v>
      </c>
      <c r="X84" s="3">
        <f>IF(Clean_Data[[#This Row],[Status]]="Delivered",IF(Clean_Data[[#This Row],[DeliveryMinutes]]&lt;=Dashboard!$X$5,1,0),0)</f>
        <v>0</v>
      </c>
      <c r="Y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" s="3">
        <f>IF(AND(Clean_Data[[#This Row],[Include]]=1,Clean_Data[[#This Row],[DeliveredFlag]]=1),1,0)</f>
        <v>1</v>
      </c>
      <c r="AA84" s="1">
        <f>IF(COUNTIF($D$2:D84,D84)=1,ROW()-1,ROWS(Clean_Data[OrderID])+1)</f>
        <v>901</v>
      </c>
      <c r="AB84" s="1">
        <f>IF(COUNTIF($F$2:F84,F84)=1,ROW()-1,ROWS(Clean_Data[OrderID])+1)</f>
        <v>901</v>
      </c>
      <c r="AC84" s="1">
        <f>IF(COUNTIF($G$2:G84,G84)=1,ROW()-1,ROWS(Clean_Data[OrderID])+1)</f>
        <v>901</v>
      </c>
      <c r="AD84" s="1">
        <f>IF(COUNTIF($H$2:H84,H84)=1,ROW()-1,ROWS(Clean_Data[OrderID])+1)</f>
        <v>901</v>
      </c>
      <c r="AE84" s="1">
        <f>IF(COUNTIF($V$2:V84,V84)=1,V84,ROWS(Clean_Data[OrderID])+1)</f>
        <v>901</v>
      </c>
      <c r="AF84" s="1">
        <f>IF(COUNTIF($U$2:U84,U84)=1,U84,ROWS(Clean_Data[OrderID])+1)</f>
        <v>901</v>
      </c>
      <c r="AG84" s="1">
        <f>IF(COUNTIF($E$2:E84,E84)=1,ROW()-1,ROWS(Clean_Data[OrderID])+1)</f>
        <v>901</v>
      </c>
    </row>
    <row r="85" spans="1:33" ht="20" customHeight="1">
      <c r="A85" s="3" t="s">
        <v>278</v>
      </c>
      <c r="B85" s="2">
        <v>46268</v>
      </c>
      <c r="C85" s="3">
        <v>22</v>
      </c>
      <c r="D85" s="3" t="s">
        <v>279</v>
      </c>
      <c r="E85" s="3" t="s">
        <v>91</v>
      </c>
      <c r="F85" s="3" t="s">
        <v>92</v>
      </c>
      <c r="G85" s="3" t="s">
        <v>135</v>
      </c>
      <c r="H85" s="3" t="s">
        <v>136</v>
      </c>
      <c r="I85" s="3">
        <v>6</v>
      </c>
      <c r="J85" s="11">
        <v>40</v>
      </c>
      <c r="K85" s="4">
        <v>0.1</v>
      </c>
      <c r="L85" s="3" t="s">
        <v>95</v>
      </c>
      <c r="M85" s="3">
        <v>18</v>
      </c>
      <c r="N85" s="3">
        <v>9</v>
      </c>
      <c r="O85" s="3">
        <v>5</v>
      </c>
      <c r="P85" s="11">
        <f>Clean_Data[[#This Row],[Quantity]]*Clean_Data[[#This Row],[UnitPrice]]</f>
        <v>240</v>
      </c>
      <c r="Q85" s="11">
        <f>ROUND(Clean_Data[[#This Row],[GrossSales]]*Clean_Data[[#This Row],[DiscountPct]],2)</f>
        <v>24</v>
      </c>
      <c r="R85" s="11">
        <f>IF(Clean_Data[[#This Row],[Status]]="Delivered",ROUND(Clean_Data[[#This Row],[GrossSales]]-Clean_Data[[#This Row],[DiscountAmount]],2),0)</f>
        <v>216</v>
      </c>
      <c r="S85" s="3" t="str">
        <f>IF(Clean_Data[[#This Row],[OrderHour]]&lt;6,"Night",IF(Clean_Data[[#This Row],[OrderHour]]&lt;12,"Morning",IF(Clean_Data[[#This Row],[OrderHour]]&lt;18,"Afternoon","Evening")))</f>
        <v>Evening</v>
      </c>
      <c r="T85" s="3" t="str">
        <f>TEXT(Clean_Data[[#This Row],[OrderDate]],"[$-409]ddd")</f>
        <v>Thu</v>
      </c>
      <c r="U85" s="3">
        <f>WEEKDAY(Clean_Data[[#This Row],[OrderDate]],2)</f>
        <v>4</v>
      </c>
      <c r="V85" s="3">
        <f>INT(Clean_Data[[#This Row],[OrderHour]]/6)+1</f>
        <v>4</v>
      </c>
      <c r="W85" s="3">
        <f>IF(Clean_Data[[#This Row],[Status]]="Delivered",1,0)</f>
        <v>1</v>
      </c>
      <c r="X85" s="3">
        <f>IF(Clean_Data[[#This Row],[Status]]="Delivered",IF(Clean_Data[[#This Row],[DeliveryMinutes]]&lt;=Dashboard!$X$5,1,0),0)</f>
        <v>1</v>
      </c>
      <c r="Y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" s="3">
        <f>IF(AND(Clean_Data[[#This Row],[Include]]=1,Clean_Data[[#This Row],[DeliveredFlag]]=1),1,0)</f>
        <v>1</v>
      </c>
      <c r="AA85" s="1">
        <f>IF(COUNTIF($D$2:D85,D85)=1,ROW()-1,ROWS(Clean_Data[OrderID])+1)</f>
        <v>84</v>
      </c>
      <c r="AB85" s="1">
        <f>IF(COUNTIF($F$2:F85,F85)=1,ROW()-1,ROWS(Clean_Data[OrderID])+1)</f>
        <v>901</v>
      </c>
      <c r="AC85" s="1">
        <f>IF(COUNTIF($G$2:G85,G85)=1,ROW()-1,ROWS(Clean_Data[OrderID])+1)</f>
        <v>901</v>
      </c>
      <c r="AD85" s="1">
        <f>IF(COUNTIF($H$2:H85,H85)=1,ROW()-1,ROWS(Clean_Data[OrderID])+1)</f>
        <v>901</v>
      </c>
      <c r="AE85" s="1">
        <f>IF(COUNTIF($V$2:V85,V85)=1,V85,ROWS(Clean_Data[OrderID])+1)</f>
        <v>901</v>
      </c>
      <c r="AF85" s="1">
        <f>IF(COUNTIF($U$2:U85,U85)=1,U85,ROWS(Clean_Data[OrderID])+1)</f>
        <v>901</v>
      </c>
      <c r="AG85" s="1">
        <f>IF(COUNTIF($E$2:E85,E85)=1,ROW()-1,ROWS(Clean_Data[OrderID])+1)</f>
        <v>901</v>
      </c>
    </row>
    <row r="86" spans="1:33" ht="20" customHeight="1">
      <c r="A86" s="3" t="s">
        <v>280</v>
      </c>
      <c r="B86" s="2">
        <v>46268</v>
      </c>
      <c r="C86" s="3">
        <v>6</v>
      </c>
      <c r="D86" s="3" t="s">
        <v>281</v>
      </c>
      <c r="E86" s="3" t="s">
        <v>91</v>
      </c>
      <c r="F86" s="3" t="s">
        <v>139</v>
      </c>
      <c r="G86" s="3" t="s">
        <v>122</v>
      </c>
      <c r="H86" s="3" t="s">
        <v>123</v>
      </c>
      <c r="I86" s="3">
        <v>3</v>
      </c>
      <c r="J86" s="11">
        <v>45</v>
      </c>
      <c r="K86" s="4">
        <v>0.1</v>
      </c>
      <c r="L86" s="3" t="s">
        <v>95</v>
      </c>
      <c r="M86" s="3">
        <v>30</v>
      </c>
      <c r="N86" s="3">
        <v>9</v>
      </c>
      <c r="O86" s="3">
        <v>4</v>
      </c>
      <c r="P86" s="11">
        <f>Clean_Data[[#This Row],[Quantity]]*Clean_Data[[#This Row],[UnitPrice]]</f>
        <v>135</v>
      </c>
      <c r="Q86" s="11">
        <f>ROUND(Clean_Data[[#This Row],[GrossSales]]*Clean_Data[[#This Row],[DiscountPct]],2)</f>
        <v>13.5</v>
      </c>
      <c r="R86" s="11">
        <f>IF(Clean_Data[[#This Row],[Status]]="Delivered",ROUND(Clean_Data[[#This Row],[GrossSales]]-Clean_Data[[#This Row],[DiscountAmount]],2),0)</f>
        <v>121.5</v>
      </c>
      <c r="S86" s="3" t="str">
        <f>IF(Clean_Data[[#This Row],[OrderHour]]&lt;6,"Night",IF(Clean_Data[[#This Row],[OrderHour]]&lt;12,"Morning",IF(Clean_Data[[#This Row],[OrderHour]]&lt;18,"Afternoon","Evening")))</f>
        <v>Morning</v>
      </c>
      <c r="T86" s="3" t="str">
        <f>TEXT(Clean_Data[[#This Row],[OrderDate]],"[$-409]ddd")</f>
        <v>Thu</v>
      </c>
      <c r="U86" s="3">
        <f>WEEKDAY(Clean_Data[[#This Row],[OrderDate]],2)</f>
        <v>4</v>
      </c>
      <c r="V86" s="3">
        <f>INT(Clean_Data[[#This Row],[OrderHour]]/6)+1</f>
        <v>2</v>
      </c>
      <c r="W86" s="3">
        <f>IF(Clean_Data[[#This Row],[Status]]="Delivered",1,0)</f>
        <v>1</v>
      </c>
      <c r="X86" s="3">
        <f>IF(Clean_Data[[#This Row],[Status]]="Delivered",IF(Clean_Data[[#This Row],[DeliveryMinutes]]&lt;=Dashboard!$X$5,1,0),0)</f>
        <v>1</v>
      </c>
      <c r="Y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" s="3">
        <f>IF(AND(Clean_Data[[#This Row],[Include]]=1,Clean_Data[[#This Row],[DeliveredFlag]]=1),1,0)</f>
        <v>1</v>
      </c>
      <c r="AA86" s="1">
        <f>IF(COUNTIF($D$2:D86,D86)=1,ROW()-1,ROWS(Clean_Data[OrderID])+1)</f>
        <v>85</v>
      </c>
      <c r="AB86" s="1">
        <f>IF(COUNTIF($F$2:F86,F86)=1,ROW()-1,ROWS(Clean_Data[OrderID])+1)</f>
        <v>901</v>
      </c>
      <c r="AC86" s="1">
        <f>IF(COUNTIF($G$2:G86,G86)=1,ROW()-1,ROWS(Clean_Data[OrderID])+1)</f>
        <v>901</v>
      </c>
      <c r="AD86" s="1">
        <f>IF(COUNTIF($H$2:H86,H86)=1,ROW()-1,ROWS(Clean_Data[OrderID])+1)</f>
        <v>901</v>
      </c>
      <c r="AE86" s="1">
        <f>IF(COUNTIF($V$2:V86,V86)=1,V86,ROWS(Clean_Data[OrderID])+1)</f>
        <v>901</v>
      </c>
      <c r="AF86" s="1">
        <f>IF(COUNTIF($U$2:U86,U86)=1,U86,ROWS(Clean_Data[OrderID])+1)</f>
        <v>901</v>
      </c>
      <c r="AG86" s="1">
        <f>IF(COUNTIF($E$2:E86,E86)=1,ROW()-1,ROWS(Clean_Data[OrderID])+1)</f>
        <v>901</v>
      </c>
    </row>
    <row r="87" spans="1:33" ht="20" customHeight="1">
      <c r="A87" s="3" t="s">
        <v>282</v>
      </c>
      <c r="B87" s="2">
        <v>46268</v>
      </c>
      <c r="C87" s="3">
        <v>11</v>
      </c>
      <c r="D87" s="3" t="s">
        <v>283</v>
      </c>
      <c r="E87" s="3" t="s">
        <v>91</v>
      </c>
      <c r="F87" s="3" t="s">
        <v>109</v>
      </c>
      <c r="G87" s="3" t="s">
        <v>135</v>
      </c>
      <c r="H87" s="3" t="s">
        <v>217</v>
      </c>
      <c r="I87" s="3">
        <v>1</v>
      </c>
      <c r="J87" s="11">
        <v>65</v>
      </c>
      <c r="K87" s="4">
        <v>0.1</v>
      </c>
      <c r="L87" s="3" t="s">
        <v>95</v>
      </c>
      <c r="M87" s="3">
        <v>14</v>
      </c>
      <c r="N87" s="3">
        <v>11</v>
      </c>
      <c r="O87" s="3">
        <v>5</v>
      </c>
      <c r="P87" s="11">
        <f>Clean_Data[[#This Row],[Quantity]]*Clean_Data[[#This Row],[UnitPrice]]</f>
        <v>65</v>
      </c>
      <c r="Q87" s="11">
        <f>ROUND(Clean_Data[[#This Row],[GrossSales]]*Clean_Data[[#This Row],[DiscountPct]],2)</f>
        <v>6.5</v>
      </c>
      <c r="R87" s="11">
        <f>IF(Clean_Data[[#This Row],[Status]]="Delivered",ROUND(Clean_Data[[#This Row],[GrossSales]]-Clean_Data[[#This Row],[DiscountAmount]],2),0)</f>
        <v>58.5</v>
      </c>
      <c r="S87" s="3" t="str">
        <f>IF(Clean_Data[[#This Row],[OrderHour]]&lt;6,"Night",IF(Clean_Data[[#This Row],[OrderHour]]&lt;12,"Morning",IF(Clean_Data[[#This Row],[OrderHour]]&lt;18,"Afternoon","Evening")))</f>
        <v>Morning</v>
      </c>
      <c r="T87" s="3" t="str">
        <f>TEXT(Clean_Data[[#This Row],[OrderDate]],"[$-409]ddd")</f>
        <v>Thu</v>
      </c>
      <c r="U87" s="3">
        <f>WEEKDAY(Clean_Data[[#This Row],[OrderDate]],2)</f>
        <v>4</v>
      </c>
      <c r="V87" s="3">
        <f>INT(Clean_Data[[#This Row],[OrderHour]]/6)+1</f>
        <v>2</v>
      </c>
      <c r="W87" s="3">
        <f>IF(Clean_Data[[#This Row],[Status]]="Delivered",1,0)</f>
        <v>1</v>
      </c>
      <c r="X87" s="3">
        <f>IF(Clean_Data[[#This Row],[Status]]="Delivered",IF(Clean_Data[[#This Row],[DeliveryMinutes]]&lt;=Dashboard!$X$5,1,0),0)</f>
        <v>1</v>
      </c>
      <c r="Y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" s="3">
        <f>IF(AND(Clean_Data[[#This Row],[Include]]=1,Clean_Data[[#This Row],[DeliveredFlag]]=1),1,0)</f>
        <v>1</v>
      </c>
      <c r="AA87" s="1">
        <f>IF(COUNTIF($D$2:D87,D87)=1,ROW()-1,ROWS(Clean_Data[OrderID])+1)</f>
        <v>86</v>
      </c>
      <c r="AB87" s="1">
        <f>IF(COUNTIF($F$2:F87,F87)=1,ROW()-1,ROWS(Clean_Data[OrderID])+1)</f>
        <v>901</v>
      </c>
      <c r="AC87" s="1">
        <f>IF(COUNTIF($G$2:G87,G87)=1,ROW()-1,ROWS(Clean_Data[OrderID])+1)</f>
        <v>901</v>
      </c>
      <c r="AD87" s="1">
        <f>IF(COUNTIF($H$2:H87,H87)=1,ROW()-1,ROWS(Clean_Data[OrderID])+1)</f>
        <v>901</v>
      </c>
      <c r="AE87" s="1">
        <f>IF(COUNTIF($V$2:V87,V87)=1,V87,ROWS(Clean_Data[OrderID])+1)</f>
        <v>901</v>
      </c>
      <c r="AF87" s="1">
        <f>IF(COUNTIF($U$2:U87,U87)=1,U87,ROWS(Clean_Data[OrderID])+1)</f>
        <v>901</v>
      </c>
      <c r="AG87" s="1">
        <f>IF(COUNTIF($E$2:E87,E87)=1,ROW()-1,ROWS(Clean_Data[OrderID])+1)</f>
        <v>901</v>
      </c>
    </row>
    <row r="88" spans="1:33" ht="20" customHeight="1">
      <c r="A88" s="3" t="s">
        <v>284</v>
      </c>
      <c r="B88" s="2">
        <v>46268</v>
      </c>
      <c r="C88" s="3">
        <v>17</v>
      </c>
      <c r="D88" s="3" t="s">
        <v>285</v>
      </c>
      <c r="E88" s="3" t="s">
        <v>91</v>
      </c>
      <c r="F88" s="3" t="s">
        <v>98</v>
      </c>
      <c r="G88" s="3" t="s">
        <v>99</v>
      </c>
      <c r="H88" s="3" t="s">
        <v>100</v>
      </c>
      <c r="I88" s="3">
        <v>5</v>
      </c>
      <c r="J88" s="11">
        <v>120</v>
      </c>
      <c r="K88" s="4">
        <v>0.05</v>
      </c>
      <c r="L88" s="3" t="s">
        <v>95</v>
      </c>
      <c r="M88" s="3">
        <v>31</v>
      </c>
      <c r="N88" s="3">
        <v>8</v>
      </c>
      <c r="O88" s="3">
        <v>5</v>
      </c>
      <c r="P88" s="11">
        <f>Clean_Data[[#This Row],[Quantity]]*Clean_Data[[#This Row],[UnitPrice]]</f>
        <v>600</v>
      </c>
      <c r="Q88" s="11">
        <f>ROUND(Clean_Data[[#This Row],[GrossSales]]*Clean_Data[[#This Row],[DiscountPct]],2)</f>
        <v>30</v>
      </c>
      <c r="R88" s="11">
        <f>IF(Clean_Data[[#This Row],[Status]]="Delivered",ROUND(Clean_Data[[#This Row],[GrossSales]]-Clean_Data[[#This Row],[DiscountAmount]],2),0)</f>
        <v>570</v>
      </c>
      <c r="S88" s="3" t="str">
        <f>IF(Clean_Data[[#This Row],[OrderHour]]&lt;6,"Night",IF(Clean_Data[[#This Row],[OrderHour]]&lt;12,"Morning",IF(Clean_Data[[#This Row],[OrderHour]]&lt;18,"Afternoon","Evening")))</f>
        <v>Afternoon</v>
      </c>
      <c r="T88" s="3" t="str">
        <f>TEXT(Clean_Data[[#This Row],[OrderDate]],"[$-409]ddd")</f>
        <v>Thu</v>
      </c>
      <c r="U88" s="3">
        <f>WEEKDAY(Clean_Data[[#This Row],[OrderDate]],2)</f>
        <v>4</v>
      </c>
      <c r="V88" s="3">
        <f>INT(Clean_Data[[#This Row],[OrderHour]]/6)+1</f>
        <v>3</v>
      </c>
      <c r="W88" s="3">
        <f>IF(Clean_Data[[#This Row],[Status]]="Delivered",1,0)</f>
        <v>1</v>
      </c>
      <c r="X88" s="3">
        <f>IF(Clean_Data[[#This Row],[Status]]="Delivered",IF(Clean_Data[[#This Row],[DeliveryMinutes]]&lt;=Dashboard!$X$5,1,0),0)</f>
        <v>0</v>
      </c>
      <c r="Y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" s="3">
        <f>IF(AND(Clean_Data[[#This Row],[Include]]=1,Clean_Data[[#This Row],[DeliveredFlag]]=1),1,0)</f>
        <v>1</v>
      </c>
      <c r="AA88" s="1">
        <f>IF(COUNTIF($D$2:D88,D88)=1,ROW()-1,ROWS(Clean_Data[OrderID])+1)</f>
        <v>87</v>
      </c>
      <c r="AB88" s="1">
        <f>IF(COUNTIF($F$2:F88,F88)=1,ROW()-1,ROWS(Clean_Data[OrderID])+1)</f>
        <v>901</v>
      </c>
      <c r="AC88" s="1">
        <f>IF(COUNTIF($G$2:G88,G88)=1,ROW()-1,ROWS(Clean_Data[OrderID])+1)</f>
        <v>901</v>
      </c>
      <c r="AD88" s="1">
        <f>IF(COUNTIF($H$2:H88,H88)=1,ROW()-1,ROWS(Clean_Data[OrderID])+1)</f>
        <v>901</v>
      </c>
      <c r="AE88" s="1">
        <f>IF(COUNTIF($V$2:V88,V88)=1,V88,ROWS(Clean_Data[OrderID])+1)</f>
        <v>901</v>
      </c>
      <c r="AF88" s="1">
        <f>IF(COUNTIF($U$2:U88,U88)=1,U88,ROWS(Clean_Data[OrderID])+1)</f>
        <v>901</v>
      </c>
      <c r="AG88" s="1">
        <f>IF(COUNTIF($E$2:E88,E88)=1,ROW()-1,ROWS(Clean_Data[OrderID])+1)</f>
        <v>901</v>
      </c>
    </row>
    <row r="89" spans="1:33" ht="20" customHeight="1">
      <c r="A89" s="3" t="s">
        <v>286</v>
      </c>
      <c r="B89" s="2">
        <v>46268</v>
      </c>
      <c r="C89" s="3">
        <v>7</v>
      </c>
      <c r="D89" s="3" t="s">
        <v>287</v>
      </c>
      <c r="E89" s="3" t="s">
        <v>91</v>
      </c>
      <c r="F89" s="3" t="s">
        <v>98</v>
      </c>
      <c r="G89" s="3" t="s">
        <v>135</v>
      </c>
      <c r="H89" s="3" t="s">
        <v>217</v>
      </c>
      <c r="I89" s="3">
        <v>6</v>
      </c>
      <c r="J89" s="11">
        <v>65</v>
      </c>
      <c r="K89" s="4">
        <v>0.15</v>
      </c>
      <c r="L89" s="3" t="s">
        <v>95</v>
      </c>
      <c r="M89" s="3">
        <v>15</v>
      </c>
      <c r="N89" s="3">
        <v>6</v>
      </c>
      <c r="O89" s="3">
        <v>5</v>
      </c>
      <c r="P89" s="11">
        <f>Clean_Data[[#This Row],[Quantity]]*Clean_Data[[#This Row],[UnitPrice]]</f>
        <v>390</v>
      </c>
      <c r="Q89" s="11">
        <f>ROUND(Clean_Data[[#This Row],[GrossSales]]*Clean_Data[[#This Row],[DiscountPct]],2)</f>
        <v>58.5</v>
      </c>
      <c r="R89" s="11">
        <f>IF(Clean_Data[[#This Row],[Status]]="Delivered",ROUND(Clean_Data[[#This Row],[GrossSales]]-Clean_Data[[#This Row],[DiscountAmount]],2),0)</f>
        <v>331.5</v>
      </c>
      <c r="S89" s="3" t="str">
        <f>IF(Clean_Data[[#This Row],[OrderHour]]&lt;6,"Night",IF(Clean_Data[[#This Row],[OrderHour]]&lt;12,"Morning",IF(Clean_Data[[#This Row],[OrderHour]]&lt;18,"Afternoon","Evening")))</f>
        <v>Morning</v>
      </c>
      <c r="T89" s="3" t="str">
        <f>TEXT(Clean_Data[[#This Row],[OrderDate]],"[$-409]ddd")</f>
        <v>Thu</v>
      </c>
      <c r="U89" s="3">
        <f>WEEKDAY(Clean_Data[[#This Row],[OrderDate]],2)</f>
        <v>4</v>
      </c>
      <c r="V89" s="3">
        <f>INT(Clean_Data[[#This Row],[OrderHour]]/6)+1</f>
        <v>2</v>
      </c>
      <c r="W89" s="3">
        <f>IF(Clean_Data[[#This Row],[Status]]="Delivered",1,0)</f>
        <v>1</v>
      </c>
      <c r="X89" s="3">
        <f>IF(Clean_Data[[#This Row],[Status]]="Delivered",IF(Clean_Data[[#This Row],[DeliveryMinutes]]&lt;=Dashboard!$X$5,1,0),0)</f>
        <v>1</v>
      </c>
      <c r="Y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" s="3">
        <f>IF(AND(Clean_Data[[#This Row],[Include]]=1,Clean_Data[[#This Row],[DeliveredFlag]]=1),1,0)</f>
        <v>1</v>
      </c>
      <c r="AA89" s="1">
        <f>IF(COUNTIF($D$2:D89,D89)=1,ROW()-1,ROWS(Clean_Data[OrderID])+1)</f>
        <v>88</v>
      </c>
      <c r="AB89" s="1">
        <f>IF(COUNTIF($F$2:F89,F89)=1,ROW()-1,ROWS(Clean_Data[OrderID])+1)</f>
        <v>901</v>
      </c>
      <c r="AC89" s="1">
        <f>IF(COUNTIF($G$2:G89,G89)=1,ROW()-1,ROWS(Clean_Data[OrderID])+1)</f>
        <v>901</v>
      </c>
      <c r="AD89" s="1">
        <f>IF(COUNTIF($H$2:H89,H89)=1,ROW()-1,ROWS(Clean_Data[OrderID])+1)</f>
        <v>901</v>
      </c>
      <c r="AE89" s="1">
        <f>IF(COUNTIF($V$2:V89,V89)=1,V89,ROWS(Clean_Data[OrderID])+1)</f>
        <v>901</v>
      </c>
      <c r="AF89" s="1">
        <f>IF(COUNTIF($U$2:U89,U89)=1,U89,ROWS(Clean_Data[OrderID])+1)</f>
        <v>901</v>
      </c>
      <c r="AG89" s="1">
        <f>IF(COUNTIF($E$2:E89,E89)=1,ROW()-1,ROWS(Clean_Data[OrderID])+1)</f>
        <v>901</v>
      </c>
    </row>
    <row r="90" spans="1:33" ht="20" customHeight="1">
      <c r="A90" s="3" t="s">
        <v>288</v>
      </c>
      <c r="B90" s="2">
        <v>46268</v>
      </c>
      <c r="C90" s="3">
        <v>18</v>
      </c>
      <c r="D90" s="3" t="s">
        <v>289</v>
      </c>
      <c r="E90" s="3" t="s">
        <v>117</v>
      </c>
      <c r="F90" s="3" t="s">
        <v>109</v>
      </c>
      <c r="G90" s="3" t="s">
        <v>135</v>
      </c>
      <c r="H90" s="3" t="s">
        <v>162</v>
      </c>
      <c r="I90" s="3">
        <v>5</v>
      </c>
      <c r="J90" s="11">
        <v>180</v>
      </c>
      <c r="K90" s="4">
        <v>0.05</v>
      </c>
      <c r="L90" s="3" t="s">
        <v>95</v>
      </c>
      <c r="M90" s="3">
        <v>21</v>
      </c>
      <c r="N90" s="3">
        <v>10</v>
      </c>
      <c r="O90" s="3">
        <v>4</v>
      </c>
      <c r="P90" s="11">
        <f>Clean_Data[[#This Row],[Quantity]]*Clean_Data[[#This Row],[UnitPrice]]</f>
        <v>900</v>
      </c>
      <c r="Q90" s="11">
        <f>ROUND(Clean_Data[[#This Row],[GrossSales]]*Clean_Data[[#This Row],[DiscountPct]],2)</f>
        <v>45</v>
      </c>
      <c r="R90" s="11">
        <f>IF(Clean_Data[[#This Row],[Status]]="Delivered",ROUND(Clean_Data[[#This Row],[GrossSales]]-Clean_Data[[#This Row],[DiscountAmount]],2),0)</f>
        <v>855</v>
      </c>
      <c r="S90" s="3" t="str">
        <f>IF(Clean_Data[[#This Row],[OrderHour]]&lt;6,"Night",IF(Clean_Data[[#This Row],[OrderHour]]&lt;12,"Morning",IF(Clean_Data[[#This Row],[OrderHour]]&lt;18,"Afternoon","Evening")))</f>
        <v>Evening</v>
      </c>
      <c r="T90" s="3" t="str">
        <f>TEXT(Clean_Data[[#This Row],[OrderDate]],"[$-409]ddd")</f>
        <v>Thu</v>
      </c>
      <c r="U90" s="3">
        <f>WEEKDAY(Clean_Data[[#This Row],[OrderDate]],2)</f>
        <v>4</v>
      </c>
      <c r="V90" s="3">
        <f>INT(Clean_Data[[#This Row],[OrderHour]]/6)+1</f>
        <v>4</v>
      </c>
      <c r="W90" s="3">
        <f>IF(Clean_Data[[#This Row],[Status]]="Delivered",1,0)</f>
        <v>1</v>
      </c>
      <c r="X90" s="3">
        <f>IF(Clean_Data[[#This Row],[Status]]="Delivered",IF(Clean_Data[[#This Row],[DeliveryMinutes]]&lt;=Dashboard!$X$5,1,0),0)</f>
        <v>1</v>
      </c>
      <c r="Y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0" s="3">
        <f>IF(AND(Clean_Data[[#This Row],[Include]]=1,Clean_Data[[#This Row],[DeliveredFlag]]=1),1,0)</f>
        <v>1</v>
      </c>
      <c r="AA90" s="1">
        <f>IF(COUNTIF($D$2:D90,D90)=1,ROW()-1,ROWS(Clean_Data[OrderID])+1)</f>
        <v>89</v>
      </c>
      <c r="AB90" s="1">
        <f>IF(COUNTIF($F$2:F90,F90)=1,ROW()-1,ROWS(Clean_Data[OrderID])+1)</f>
        <v>901</v>
      </c>
      <c r="AC90" s="1">
        <f>IF(COUNTIF($G$2:G90,G90)=1,ROW()-1,ROWS(Clean_Data[OrderID])+1)</f>
        <v>901</v>
      </c>
      <c r="AD90" s="1">
        <f>IF(COUNTIF($H$2:H90,H90)=1,ROW()-1,ROWS(Clean_Data[OrderID])+1)</f>
        <v>901</v>
      </c>
      <c r="AE90" s="1">
        <f>IF(COUNTIF($V$2:V90,V90)=1,V90,ROWS(Clean_Data[OrderID])+1)</f>
        <v>901</v>
      </c>
      <c r="AF90" s="1">
        <f>IF(COUNTIF($U$2:U90,U90)=1,U90,ROWS(Clean_Data[OrderID])+1)</f>
        <v>901</v>
      </c>
      <c r="AG90" s="1">
        <f>IF(COUNTIF($E$2:E90,E90)=1,ROW()-1,ROWS(Clean_Data[OrderID])+1)</f>
        <v>901</v>
      </c>
    </row>
    <row r="91" spans="1:33" ht="20" customHeight="1">
      <c r="A91" s="3" t="s">
        <v>290</v>
      </c>
      <c r="B91" s="2">
        <v>46268</v>
      </c>
      <c r="C91" s="3">
        <v>20</v>
      </c>
      <c r="D91" s="3" t="s">
        <v>291</v>
      </c>
      <c r="E91" s="3" t="s">
        <v>91</v>
      </c>
      <c r="F91" s="3" t="s">
        <v>92</v>
      </c>
      <c r="G91" s="3" t="s">
        <v>110</v>
      </c>
      <c r="H91" s="3" t="s">
        <v>114</v>
      </c>
      <c r="I91" s="3">
        <v>6</v>
      </c>
      <c r="J91" s="11">
        <v>145</v>
      </c>
      <c r="K91" s="4">
        <v>0</v>
      </c>
      <c r="L91" s="3" t="s">
        <v>95</v>
      </c>
      <c r="M91" s="3">
        <v>23</v>
      </c>
      <c r="N91" s="3">
        <v>14</v>
      </c>
      <c r="O91" s="3">
        <v>4</v>
      </c>
      <c r="P91" s="11">
        <f>Clean_Data[[#This Row],[Quantity]]*Clean_Data[[#This Row],[UnitPrice]]</f>
        <v>870</v>
      </c>
      <c r="Q91" s="11">
        <f>ROUND(Clean_Data[[#This Row],[GrossSales]]*Clean_Data[[#This Row],[DiscountPct]],2)</f>
        <v>0</v>
      </c>
      <c r="R91" s="11">
        <f>IF(Clean_Data[[#This Row],[Status]]="Delivered",ROUND(Clean_Data[[#This Row],[GrossSales]]-Clean_Data[[#This Row],[DiscountAmount]],2),0)</f>
        <v>870</v>
      </c>
      <c r="S91" s="3" t="str">
        <f>IF(Clean_Data[[#This Row],[OrderHour]]&lt;6,"Night",IF(Clean_Data[[#This Row],[OrderHour]]&lt;12,"Morning",IF(Clean_Data[[#This Row],[OrderHour]]&lt;18,"Afternoon","Evening")))</f>
        <v>Evening</v>
      </c>
      <c r="T91" s="3" t="str">
        <f>TEXT(Clean_Data[[#This Row],[OrderDate]],"[$-409]ddd")</f>
        <v>Thu</v>
      </c>
      <c r="U91" s="3">
        <f>WEEKDAY(Clean_Data[[#This Row],[OrderDate]],2)</f>
        <v>4</v>
      </c>
      <c r="V91" s="3">
        <f>INT(Clean_Data[[#This Row],[OrderHour]]/6)+1</f>
        <v>4</v>
      </c>
      <c r="W91" s="3">
        <f>IF(Clean_Data[[#This Row],[Status]]="Delivered",1,0)</f>
        <v>1</v>
      </c>
      <c r="X91" s="3">
        <f>IF(Clean_Data[[#This Row],[Status]]="Delivered",IF(Clean_Data[[#This Row],[DeliveryMinutes]]&lt;=Dashboard!$X$5,1,0),0)</f>
        <v>1</v>
      </c>
      <c r="Y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1" s="3">
        <f>IF(AND(Clean_Data[[#This Row],[Include]]=1,Clean_Data[[#This Row],[DeliveredFlag]]=1),1,0)</f>
        <v>1</v>
      </c>
      <c r="AA91" s="1">
        <f>IF(COUNTIF($D$2:D91,D91)=1,ROW()-1,ROWS(Clean_Data[OrderID])+1)</f>
        <v>90</v>
      </c>
      <c r="AB91" s="1">
        <f>IF(COUNTIF($F$2:F91,F91)=1,ROW()-1,ROWS(Clean_Data[OrderID])+1)</f>
        <v>901</v>
      </c>
      <c r="AC91" s="1">
        <f>IF(COUNTIF($G$2:G91,G91)=1,ROW()-1,ROWS(Clean_Data[OrderID])+1)</f>
        <v>901</v>
      </c>
      <c r="AD91" s="1">
        <f>IF(COUNTIF($H$2:H91,H91)=1,ROW()-1,ROWS(Clean_Data[OrderID])+1)</f>
        <v>901</v>
      </c>
      <c r="AE91" s="1">
        <f>IF(COUNTIF($V$2:V91,V91)=1,V91,ROWS(Clean_Data[OrderID])+1)</f>
        <v>901</v>
      </c>
      <c r="AF91" s="1">
        <f>IF(COUNTIF($U$2:U91,U91)=1,U91,ROWS(Clean_Data[OrderID])+1)</f>
        <v>901</v>
      </c>
      <c r="AG91" s="1">
        <f>IF(COUNTIF($E$2:E91,E91)=1,ROW()-1,ROWS(Clean_Data[OrderID])+1)</f>
        <v>901</v>
      </c>
    </row>
    <row r="92" spans="1:33" ht="20" customHeight="1">
      <c r="A92" s="3" t="s">
        <v>292</v>
      </c>
      <c r="B92" s="2">
        <v>46269</v>
      </c>
      <c r="C92" s="3">
        <v>7</v>
      </c>
      <c r="D92" s="3" t="s">
        <v>293</v>
      </c>
      <c r="E92" s="3" t="s">
        <v>91</v>
      </c>
      <c r="F92" s="3" t="s">
        <v>92</v>
      </c>
      <c r="G92" s="3" t="s">
        <v>99</v>
      </c>
      <c r="H92" s="3" t="s">
        <v>104</v>
      </c>
      <c r="I92" s="3">
        <v>6</v>
      </c>
      <c r="J92" s="11">
        <v>240</v>
      </c>
      <c r="K92" s="4">
        <v>0.05</v>
      </c>
      <c r="L92" s="3" t="s">
        <v>95</v>
      </c>
      <c r="M92" s="3">
        <v>18</v>
      </c>
      <c r="N92" s="3">
        <v>10</v>
      </c>
      <c r="O92" s="3">
        <v>4</v>
      </c>
      <c r="P92" s="11">
        <f>Clean_Data[[#This Row],[Quantity]]*Clean_Data[[#This Row],[UnitPrice]]</f>
        <v>1440</v>
      </c>
      <c r="Q92" s="11">
        <f>ROUND(Clean_Data[[#This Row],[GrossSales]]*Clean_Data[[#This Row],[DiscountPct]],2)</f>
        <v>72</v>
      </c>
      <c r="R92" s="11">
        <f>IF(Clean_Data[[#This Row],[Status]]="Delivered",ROUND(Clean_Data[[#This Row],[GrossSales]]-Clean_Data[[#This Row],[DiscountAmount]],2),0)</f>
        <v>1368</v>
      </c>
      <c r="S92" s="3" t="str">
        <f>IF(Clean_Data[[#This Row],[OrderHour]]&lt;6,"Night",IF(Clean_Data[[#This Row],[OrderHour]]&lt;12,"Morning",IF(Clean_Data[[#This Row],[OrderHour]]&lt;18,"Afternoon","Evening")))</f>
        <v>Morning</v>
      </c>
      <c r="T92" s="3" t="str">
        <f>TEXT(Clean_Data[[#This Row],[OrderDate]],"[$-409]ddd")</f>
        <v>Fri</v>
      </c>
      <c r="U92" s="3">
        <f>WEEKDAY(Clean_Data[[#This Row],[OrderDate]],2)</f>
        <v>5</v>
      </c>
      <c r="V92" s="3">
        <f>INT(Clean_Data[[#This Row],[OrderHour]]/6)+1</f>
        <v>2</v>
      </c>
      <c r="W92" s="3">
        <f>IF(Clean_Data[[#This Row],[Status]]="Delivered",1,0)</f>
        <v>1</v>
      </c>
      <c r="X92" s="3">
        <f>IF(Clean_Data[[#This Row],[Status]]="Delivered",IF(Clean_Data[[#This Row],[DeliveryMinutes]]&lt;=Dashboard!$X$5,1,0),0)</f>
        <v>1</v>
      </c>
      <c r="Y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2" s="3">
        <f>IF(AND(Clean_Data[[#This Row],[Include]]=1,Clean_Data[[#This Row],[DeliveredFlag]]=1),1,0)</f>
        <v>1</v>
      </c>
      <c r="AA92" s="1">
        <f>IF(COUNTIF($D$2:D92,D92)=1,ROW()-1,ROWS(Clean_Data[OrderID])+1)</f>
        <v>91</v>
      </c>
      <c r="AB92" s="1">
        <f>IF(COUNTIF($F$2:F92,F92)=1,ROW()-1,ROWS(Clean_Data[OrderID])+1)</f>
        <v>901</v>
      </c>
      <c r="AC92" s="1">
        <f>IF(COUNTIF($G$2:G92,G92)=1,ROW()-1,ROWS(Clean_Data[OrderID])+1)</f>
        <v>901</v>
      </c>
      <c r="AD92" s="1">
        <f>IF(COUNTIF($H$2:H92,H92)=1,ROW()-1,ROWS(Clean_Data[OrderID])+1)</f>
        <v>901</v>
      </c>
      <c r="AE92" s="1">
        <f>IF(COUNTIF($V$2:V92,V92)=1,V92,ROWS(Clean_Data[OrderID])+1)</f>
        <v>901</v>
      </c>
      <c r="AF92" s="1">
        <f>IF(COUNTIF($U$2:U92,U92)=1,U92,ROWS(Clean_Data[OrderID])+1)</f>
        <v>5</v>
      </c>
      <c r="AG92" s="1">
        <f>IF(COUNTIF($E$2:E92,E92)=1,ROW()-1,ROWS(Clean_Data[OrderID])+1)</f>
        <v>901</v>
      </c>
    </row>
    <row r="93" spans="1:33" ht="20" customHeight="1">
      <c r="A93" s="3" t="s">
        <v>294</v>
      </c>
      <c r="B93" s="2">
        <v>46269</v>
      </c>
      <c r="C93" s="3">
        <v>18</v>
      </c>
      <c r="D93" s="3" t="s">
        <v>295</v>
      </c>
      <c r="E93" s="3" t="s">
        <v>117</v>
      </c>
      <c r="F93" s="3" t="s">
        <v>139</v>
      </c>
      <c r="G93" s="3" t="s">
        <v>122</v>
      </c>
      <c r="H93" s="3" t="s">
        <v>214</v>
      </c>
      <c r="I93" s="3">
        <v>3</v>
      </c>
      <c r="J93" s="11">
        <v>55</v>
      </c>
      <c r="K93" s="4">
        <v>0</v>
      </c>
      <c r="L93" s="3" t="s">
        <v>95</v>
      </c>
      <c r="M93" s="3">
        <v>31</v>
      </c>
      <c r="N93" s="3">
        <v>11</v>
      </c>
      <c r="O93" s="3">
        <v>3</v>
      </c>
      <c r="P93" s="11">
        <f>Clean_Data[[#This Row],[Quantity]]*Clean_Data[[#This Row],[UnitPrice]]</f>
        <v>165</v>
      </c>
      <c r="Q93" s="11">
        <f>ROUND(Clean_Data[[#This Row],[GrossSales]]*Clean_Data[[#This Row],[DiscountPct]],2)</f>
        <v>0</v>
      </c>
      <c r="R93" s="11">
        <f>IF(Clean_Data[[#This Row],[Status]]="Delivered",ROUND(Clean_Data[[#This Row],[GrossSales]]-Clean_Data[[#This Row],[DiscountAmount]],2),0)</f>
        <v>165</v>
      </c>
      <c r="S93" s="3" t="str">
        <f>IF(Clean_Data[[#This Row],[OrderHour]]&lt;6,"Night",IF(Clean_Data[[#This Row],[OrderHour]]&lt;12,"Morning",IF(Clean_Data[[#This Row],[OrderHour]]&lt;18,"Afternoon","Evening")))</f>
        <v>Evening</v>
      </c>
      <c r="T93" s="3" t="str">
        <f>TEXT(Clean_Data[[#This Row],[OrderDate]],"[$-409]ddd")</f>
        <v>Fri</v>
      </c>
      <c r="U93" s="3">
        <f>WEEKDAY(Clean_Data[[#This Row],[OrderDate]],2)</f>
        <v>5</v>
      </c>
      <c r="V93" s="3">
        <f>INT(Clean_Data[[#This Row],[OrderHour]]/6)+1</f>
        <v>4</v>
      </c>
      <c r="W93" s="3">
        <f>IF(Clean_Data[[#This Row],[Status]]="Delivered",1,0)</f>
        <v>1</v>
      </c>
      <c r="X93" s="3">
        <f>IF(Clean_Data[[#This Row],[Status]]="Delivered",IF(Clean_Data[[#This Row],[DeliveryMinutes]]&lt;=Dashboard!$X$5,1,0),0)</f>
        <v>0</v>
      </c>
      <c r="Y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3" s="3">
        <f>IF(AND(Clean_Data[[#This Row],[Include]]=1,Clean_Data[[#This Row],[DeliveredFlag]]=1),1,0)</f>
        <v>1</v>
      </c>
      <c r="AA93" s="1">
        <f>IF(COUNTIF($D$2:D93,D93)=1,ROW()-1,ROWS(Clean_Data[OrderID])+1)</f>
        <v>92</v>
      </c>
      <c r="AB93" s="1">
        <f>IF(COUNTIF($F$2:F93,F93)=1,ROW()-1,ROWS(Clean_Data[OrderID])+1)</f>
        <v>901</v>
      </c>
      <c r="AC93" s="1">
        <f>IF(COUNTIF($G$2:G93,G93)=1,ROW()-1,ROWS(Clean_Data[OrderID])+1)</f>
        <v>901</v>
      </c>
      <c r="AD93" s="1">
        <f>IF(COUNTIF($H$2:H93,H93)=1,ROW()-1,ROWS(Clean_Data[OrderID])+1)</f>
        <v>901</v>
      </c>
      <c r="AE93" s="1">
        <f>IF(COUNTIF($V$2:V93,V93)=1,V93,ROWS(Clean_Data[OrderID])+1)</f>
        <v>901</v>
      </c>
      <c r="AF93" s="1">
        <f>IF(COUNTIF($U$2:U93,U93)=1,U93,ROWS(Clean_Data[OrderID])+1)</f>
        <v>901</v>
      </c>
      <c r="AG93" s="1">
        <f>IF(COUNTIF($E$2:E93,E93)=1,ROW()-1,ROWS(Clean_Data[OrderID])+1)</f>
        <v>901</v>
      </c>
    </row>
    <row r="94" spans="1:33" ht="20" customHeight="1">
      <c r="A94" s="3" t="s">
        <v>296</v>
      </c>
      <c r="B94" s="2">
        <v>46269</v>
      </c>
      <c r="C94" s="3">
        <v>22</v>
      </c>
      <c r="D94" s="3" t="s">
        <v>297</v>
      </c>
      <c r="E94" s="3" t="s">
        <v>91</v>
      </c>
      <c r="F94" s="3" t="s">
        <v>92</v>
      </c>
      <c r="G94" s="3" t="s">
        <v>135</v>
      </c>
      <c r="H94" s="3" t="s">
        <v>162</v>
      </c>
      <c r="I94" s="3">
        <v>2</v>
      </c>
      <c r="J94" s="11">
        <v>180</v>
      </c>
      <c r="K94" s="4">
        <v>0</v>
      </c>
      <c r="L94" s="3" t="s">
        <v>95</v>
      </c>
      <c r="M94" s="3">
        <v>17</v>
      </c>
      <c r="N94" s="3">
        <v>5</v>
      </c>
      <c r="O94" s="3">
        <v>5</v>
      </c>
      <c r="P94" s="11">
        <f>Clean_Data[[#This Row],[Quantity]]*Clean_Data[[#This Row],[UnitPrice]]</f>
        <v>360</v>
      </c>
      <c r="Q94" s="11">
        <f>ROUND(Clean_Data[[#This Row],[GrossSales]]*Clean_Data[[#This Row],[DiscountPct]],2)</f>
        <v>0</v>
      </c>
      <c r="R94" s="11">
        <f>IF(Clean_Data[[#This Row],[Status]]="Delivered",ROUND(Clean_Data[[#This Row],[GrossSales]]-Clean_Data[[#This Row],[DiscountAmount]],2),0)</f>
        <v>360</v>
      </c>
      <c r="S94" s="3" t="str">
        <f>IF(Clean_Data[[#This Row],[OrderHour]]&lt;6,"Night",IF(Clean_Data[[#This Row],[OrderHour]]&lt;12,"Morning",IF(Clean_Data[[#This Row],[OrderHour]]&lt;18,"Afternoon","Evening")))</f>
        <v>Evening</v>
      </c>
      <c r="T94" s="3" t="str">
        <f>TEXT(Clean_Data[[#This Row],[OrderDate]],"[$-409]ddd")</f>
        <v>Fri</v>
      </c>
      <c r="U94" s="3">
        <f>WEEKDAY(Clean_Data[[#This Row],[OrderDate]],2)</f>
        <v>5</v>
      </c>
      <c r="V94" s="3">
        <f>INT(Clean_Data[[#This Row],[OrderHour]]/6)+1</f>
        <v>4</v>
      </c>
      <c r="W94" s="3">
        <f>IF(Clean_Data[[#This Row],[Status]]="Delivered",1,0)</f>
        <v>1</v>
      </c>
      <c r="X94" s="3">
        <f>IF(Clean_Data[[#This Row],[Status]]="Delivered",IF(Clean_Data[[#This Row],[DeliveryMinutes]]&lt;=Dashboard!$X$5,1,0),0)</f>
        <v>1</v>
      </c>
      <c r="Y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4" s="3">
        <f>IF(AND(Clean_Data[[#This Row],[Include]]=1,Clean_Data[[#This Row],[DeliveredFlag]]=1),1,0)</f>
        <v>1</v>
      </c>
      <c r="AA94" s="1">
        <f>IF(COUNTIF($D$2:D94,D94)=1,ROW()-1,ROWS(Clean_Data[OrderID])+1)</f>
        <v>93</v>
      </c>
      <c r="AB94" s="1">
        <f>IF(COUNTIF($F$2:F94,F94)=1,ROW()-1,ROWS(Clean_Data[OrderID])+1)</f>
        <v>901</v>
      </c>
      <c r="AC94" s="1">
        <f>IF(COUNTIF($G$2:G94,G94)=1,ROW()-1,ROWS(Clean_Data[OrderID])+1)</f>
        <v>901</v>
      </c>
      <c r="AD94" s="1">
        <f>IF(COUNTIF($H$2:H94,H94)=1,ROW()-1,ROWS(Clean_Data[OrderID])+1)</f>
        <v>901</v>
      </c>
      <c r="AE94" s="1">
        <f>IF(COUNTIF($V$2:V94,V94)=1,V94,ROWS(Clean_Data[OrderID])+1)</f>
        <v>901</v>
      </c>
      <c r="AF94" s="1">
        <f>IF(COUNTIF($U$2:U94,U94)=1,U94,ROWS(Clean_Data[OrderID])+1)</f>
        <v>901</v>
      </c>
      <c r="AG94" s="1">
        <f>IF(COUNTIF($E$2:E94,E94)=1,ROW()-1,ROWS(Clean_Data[OrderID])+1)</f>
        <v>901</v>
      </c>
    </row>
    <row r="95" spans="1:33" ht="20" customHeight="1">
      <c r="A95" s="3" t="s">
        <v>298</v>
      </c>
      <c r="B95" s="2">
        <v>46269</v>
      </c>
      <c r="C95" s="3">
        <v>6</v>
      </c>
      <c r="D95" s="3" t="s">
        <v>299</v>
      </c>
      <c r="E95" s="3" t="s">
        <v>91</v>
      </c>
      <c r="F95" s="3" t="s">
        <v>121</v>
      </c>
      <c r="G95" s="3" t="s">
        <v>122</v>
      </c>
      <c r="H95" s="3" t="s">
        <v>214</v>
      </c>
      <c r="I95" s="3">
        <v>4</v>
      </c>
      <c r="J95" s="11">
        <v>55</v>
      </c>
      <c r="K95" s="4">
        <v>0</v>
      </c>
      <c r="L95" s="3" t="s">
        <v>95</v>
      </c>
      <c r="M95" s="3">
        <v>23</v>
      </c>
      <c r="N95" s="3">
        <v>11</v>
      </c>
      <c r="O95" s="3">
        <v>5</v>
      </c>
      <c r="P95" s="11">
        <f>Clean_Data[[#This Row],[Quantity]]*Clean_Data[[#This Row],[UnitPrice]]</f>
        <v>220</v>
      </c>
      <c r="Q95" s="11">
        <f>ROUND(Clean_Data[[#This Row],[GrossSales]]*Clean_Data[[#This Row],[DiscountPct]],2)</f>
        <v>0</v>
      </c>
      <c r="R95" s="11">
        <f>IF(Clean_Data[[#This Row],[Status]]="Delivered",ROUND(Clean_Data[[#This Row],[GrossSales]]-Clean_Data[[#This Row],[DiscountAmount]],2),0)</f>
        <v>220</v>
      </c>
      <c r="S95" s="3" t="str">
        <f>IF(Clean_Data[[#This Row],[OrderHour]]&lt;6,"Night",IF(Clean_Data[[#This Row],[OrderHour]]&lt;12,"Morning",IF(Clean_Data[[#This Row],[OrderHour]]&lt;18,"Afternoon","Evening")))</f>
        <v>Morning</v>
      </c>
      <c r="T95" s="3" t="str">
        <f>TEXT(Clean_Data[[#This Row],[OrderDate]],"[$-409]ddd")</f>
        <v>Fri</v>
      </c>
      <c r="U95" s="3">
        <f>WEEKDAY(Clean_Data[[#This Row],[OrderDate]],2)</f>
        <v>5</v>
      </c>
      <c r="V95" s="3">
        <f>INT(Clean_Data[[#This Row],[OrderHour]]/6)+1</f>
        <v>2</v>
      </c>
      <c r="W95" s="3">
        <f>IF(Clean_Data[[#This Row],[Status]]="Delivered",1,0)</f>
        <v>1</v>
      </c>
      <c r="X95" s="3">
        <f>IF(Clean_Data[[#This Row],[Status]]="Delivered",IF(Clean_Data[[#This Row],[DeliveryMinutes]]&lt;=Dashboard!$X$5,1,0),0)</f>
        <v>1</v>
      </c>
      <c r="Y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5" s="3">
        <f>IF(AND(Clean_Data[[#This Row],[Include]]=1,Clean_Data[[#This Row],[DeliveredFlag]]=1),1,0)</f>
        <v>1</v>
      </c>
      <c r="AA95" s="1">
        <f>IF(COUNTIF($D$2:D95,D95)=1,ROW()-1,ROWS(Clean_Data[OrderID])+1)</f>
        <v>94</v>
      </c>
      <c r="AB95" s="1">
        <f>IF(COUNTIF($F$2:F95,F95)=1,ROW()-1,ROWS(Clean_Data[OrderID])+1)</f>
        <v>901</v>
      </c>
      <c r="AC95" s="1">
        <f>IF(COUNTIF($G$2:G95,G95)=1,ROW()-1,ROWS(Clean_Data[OrderID])+1)</f>
        <v>901</v>
      </c>
      <c r="AD95" s="1">
        <f>IF(COUNTIF($H$2:H95,H95)=1,ROW()-1,ROWS(Clean_Data[OrderID])+1)</f>
        <v>901</v>
      </c>
      <c r="AE95" s="1">
        <f>IF(COUNTIF($V$2:V95,V95)=1,V95,ROWS(Clean_Data[OrderID])+1)</f>
        <v>901</v>
      </c>
      <c r="AF95" s="1">
        <f>IF(COUNTIF($U$2:U95,U95)=1,U95,ROWS(Clean_Data[OrderID])+1)</f>
        <v>901</v>
      </c>
      <c r="AG95" s="1">
        <f>IF(COUNTIF($E$2:E95,E95)=1,ROW()-1,ROWS(Clean_Data[OrderID])+1)</f>
        <v>901</v>
      </c>
    </row>
    <row r="96" spans="1:33" ht="20" customHeight="1">
      <c r="A96" s="3" t="s">
        <v>300</v>
      </c>
      <c r="B96" s="2">
        <v>46269</v>
      </c>
      <c r="C96" s="3">
        <v>12</v>
      </c>
      <c r="D96" s="3" t="s">
        <v>301</v>
      </c>
      <c r="E96" s="3" t="s">
        <v>91</v>
      </c>
      <c r="F96" s="3" t="s">
        <v>98</v>
      </c>
      <c r="G96" s="3" t="s">
        <v>174</v>
      </c>
      <c r="H96" s="3" t="s">
        <v>184</v>
      </c>
      <c r="I96" s="3">
        <v>6</v>
      </c>
      <c r="J96" s="11">
        <v>62</v>
      </c>
      <c r="K96" s="4">
        <v>0</v>
      </c>
      <c r="L96" s="3" t="s">
        <v>95</v>
      </c>
      <c r="M96" s="3">
        <v>25</v>
      </c>
      <c r="N96" s="3">
        <v>5</v>
      </c>
      <c r="O96" s="3">
        <v>4</v>
      </c>
      <c r="P96" s="11">
        <f>Clean_Data[[#This Row],[Quantity]]*Clean_Data[[#This Row],[UnitPrice]]</f>
        <v>372</v>
      </c>
      <c r="Q96" s="11">
        <f>ROUND(Clean_Data[[#This Row],[GrossSales]]*Clean_Data[[#This Row],[DiscountPct]],2)</f>
        <v>0</v>
      </c>
      <c r="R96" s="11">
        <f>IF(Clean_Data[[#This Row],[Status]]="Delivered",ROUND(Clean_Data[[#This Row],[GrossSales]]-Clean_Data[[#This Row],[DiscountAmount]],2),0)</f>
        <v>372</v>
      </c>
      <c r="S96" s="3" t="str">
        <f>IF(Clean_Data[[#This Row],[OrderHour]]&lt;6,"Night",IF(Clean_Data[[#This Row],[OrderHour]]&lt;12,"Morning",IF(Clean_Data[[#This Row],[OrderHour]]&lt;18,"Afternoon","Evening")))</f>
        <v>Afternoon</v>
      </c>
      <c r="T96" s="3" t="str">
        <f>TEXT(Clean_Data[[#This Row],[OrderDate]],"[$-409]ddd")</f>
        <v>Fri</v>
      </c>
      <c r="U96" s="3">
        <f>WEEKDAY(Clean_Data[[#This Row],[OrderDate]],2)</f>
        <v>5</v>
      </c>
      <c r="V96" s="3">
        <f>INT(Clean_Data[[#This Row],[OrderHour]]/6)+1</f>
        <v>3</v>
      </c>
      <c r="W96" s="3">
        <f>IF(Clean_Data[[#This Row],[Status]]="Delivered",1,0)</f>
        <v>1</v>
      </c>
      <c r="X96" s="3">
        <f>IF(Clean_Data[[#This Row],[Status]]="Delivered",IF(Clean_Data[[#This Row],[DeliveryMinutes]]&lt;=Dashboard!$X$5,1,0),0)</f>
        <v>1</v>
      </c>
      <c r="Y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6" s="3">
        <f>IF(AND(Clean_Data[[#This Row],[Include]]=1,Clean_Data[[#This Row],[DeliveredFlag]]=1),1,0)</f>
        <v>1</v>
      </c>
      <c r="AA96" s="1">
        <f>IF(COUNTIF($D$2:D96,D96)=1,ROW()-1,ROWS(Clean_Data[OrderID])+1)</f>
        <v>95</v>
      </c>
      <c r="AB96" s="1">
        <f>IF(COUNTIF($F$2:F96,F96)=1,ROW()-1,ROWS(Clean_Data[OrderID])+1)</f>
        <v>901</v>
      </c>
      <c r="AC96" s="1">
        <f>IF(COUNTIF($G$2:G96,G96)=1,ROW()-1,ROWS(Clean_Data[OrderID])+1)</f>
        <v>901</v>
      </c>
      <c r="AD96" s="1">
        <f>IF(COUNTIF($H$2:H96,H96)=1,ROW()-1,ROWS(Clean_Data[OrderID])+1)</f>
        <v>901</v>
      </c>
      <c r="AE96" s="1">
        <f>IF(COUNTIF($V$2:V96,V96)=1,V96,ROWS(Clean_Data[OrderID])+1)</f>
        <v>901</v>
      </c>
      <c r="AF96" s="1">
        <f>IF(COUNTIF($U$2:U96,U96)=1,U96,ROWS(Clean_Data[OrderID])+1)</f>
        <v>901</v>
      </c>
      <c r="AG96" s="1">
        <f>IF(COUNTIF($E$2:E96,E96)=1,ROW()-1,ROWS(Clean_Data[OrderID])+1)</f>
        <v>901</v>
      </c>
    </row>
    <row r="97" spans="1:33" ht="20" customHeight="1">
      <c r="A97" s="3" t="s">
        <v>302</v>
      </c>
      <c r="B97" s="2">
        <v>46269</v>
      </c>
      <c r="C97" s="3">
        <v>17</v>
      </c>
      <c r="D97" s="3" t="s">
        <v>303</v>
      </c>
      <c r="E97" s="3" t="s">
        <v>91</v>
      </c>
      <c r="F97" s="3" t="s">
        <v>121</v>
      </c>
      <c r="G97" s="3" t="s">
        <v>110</v>
      </c>
      <c r="H97" s="3" t="s">
        <v>114</v>
      </c>
      <c r="I97" s="3">
        <v>3</v>
      </c>
      <c r="J97" s="11">
        <v>145</v>
      </c>
      <c r="K97" s="4">
        <v>0</v>
      </c>
      <c r="L97" s="3" t="s">
        <v>95</v>
      </c>
      <c r="M97" s="3">
        <v>29</v>
      </c>
      <c r="N97" s="3">
        <v>10</v>
      </c>
      <c r="O97" s="3">
        <v>5</v>
      </c>
      <c r="P97" s="11">
        <f>Clean_Data[[#This Row],[Quantity]]*Clean_Data[[#This Row],[UnitPrice]]</f>
        <v>435</v>
      </c>
      <c r="Q97" s="11">
        <f>ROUND(Clean_Data[[#This Row],[GrossSales]]*Clean_Data[[#This Row],[DiscountPct]],2)</f>
        <v>0</v>
      </c>
      <c r="R97" s="11">
        <f>IF(Clean_Data[[#This Row],[Status]]="Delivered",ROUND(Clean_Data[[#This Row],[GrossSales]]-Clean_Data[[#This Row],[DiscountAmount]],2),0)</f>
        <v>435</v>
      </c>
      <c r="S97" s="3" t="str">
        <f>IF(Clean_Data[[#This Row],[OrderHour]]&lt;6,"Night",IF(Clean_Data[[#This Row],[OrderHour]]&lt;12,"Morning",IF(Clean_Data[[#This Row],[OrderHour]]&lt;18,"Afternoon","Evening")))</f>
        <v>Afternoon</v>
      </c>
      <c r="T97" s="3" t="str">
        <f>TEXT(Clean_Data[[#This Row],[OrderDate]],"[$-409]ddd")</f>
        <v>Fri</v>
      </c>
      <c r="U97" s="3">
        <f>WEEKDAY(Clean_Data[[#This Row],[OrderDate]],2)</f>
        <v>5</v>
      </c>
      <c r="V97" s="3">
        <f>INT(Clean_Data[[#This Row],[OrderHour]]/6)+1</f>
        <v>3</v>
      </c>
      <c r="W97" s="3">
        <f>IF(Clean_Data[[#This Row],[Status]]="Delivered",1,0)</f>
        <v>1</v>
      </c>
      <c r="X97" s="3">
        <f>IF(Clean_Data[[#This Row],[Status]]="Delivered",IF(Clean_Data[[#This Row],[DeliveryMinutes]]&lt;=Dashboard!$X$5,1,0),0)</f>
        <v>1</v>
      </c>
      <c r="Y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7" s="3">
        <f>IF(AND(Clean_Data[[#This Row],[Include]]=1,Clean_Data[[#This Row],[DeliveredFlag]]=1),1,0)</f>
        <v>1</v>
      </c>
      <c r="AA97" s="1">
        <f>IF(COUNTIF($D$2:D97,D97)=1,ROW()-1,ROWS(Clean_Data[OrderID])+1)</f>
        <v>96</v>
      </c>
      <c r="AB97" s="1">
        <f>IF(COUNTIF($F$2:F97,F97)=1,ROW()-1,ROWS(Clean_Data[OrderID])+1)</f>
        <v>901</v>
      </c>
      <c r="AC97" s="1">
        <f>IF(COUNTIF($G$2:G97,G97)=1,ROW()-1,ROWS(Clean_Data[OrderID])+1)</f>
        <v>901</v>
      </c>
      <c r="AD97" s="1">
        <f>IF(COUNTIF($H$2:H97,H97)=1,ROW()-1,ROWS(Clean_Data[OrderID])+1)</f>
        <v>901</v>
      </c>
      <c r="AE97" s="1">
        <f>IF(COUNTIF($V$2:V97,V97)=1,V97,ROWS(Clean_Data[OrderID])+1)</f>
        <v>901</v>
      </c>
      <c r="AF97" s="1">
        <f>IF(COUNTIF($U$2:U97,U97)=1,U97,ROWS(Clean_Data[OrderID])+1)</f>
        <v>901</v>
      </c>
      <c r="AG97" s="1">
        <f>IF(COUNTIF($E$2:E97,E97)=1,ROW()-1,ROWS(Clean_Data[OrderID])+1)</f>
        <v>901</v>
      </c>
    </row>
    <row r="98" spans="1:33" ht="20" customHeight="1">
      <c r="A98" s="3" t="s">
        <v>304</v>
      </c>
      <c r="B98" s="2">
        <v>46269</v>
      </c>
      <c r="C98" s="3">
        <v>17</v>
      </c>
      <c r="D98" s="3" t="s">
        <v>305</v>
      </c>
      <c r="E98" s="3" t="s">
        <v>91</v>
      </c>
      <c r="F98" s="3" t="s">
        <v>98</v>
      </c>
      <c r="G98" s="3" t="s">
        <v>110</v>
      </c>
      <c r="H98" s="3" t="s">
        <v>206</v>
      </c>
      <c r="I98" s="3">
        <v>5</v>
      </c>
      <c r="J98" s="11">
        <v>220</v>
      </c>
      <c r="K98" s="4">
        <v>0.05</v>
      </c>
      <c r="L98" s="3" t="s">
        <v>95</v>
      </c>
      <c r="M98" s="3">
        <v>13</v>
      </c>
      <c r="N98" s="3">
        <v>9</v>
      </c>
      <c r="O98" s="3">
        <v>3</v>
      </c>
      <c r="P98" s="11">
        <f>Clean_Data[[#This Row],[Quantity]]*Clean_Data[[#This Row],[UnitPrice]]</f>
        <v>1100</v>
      </c>
      <c r="Q98" s="11">
        <f>ROUND(Clean_Data[[#This Row],[GrossSales]]*Clean_Data[[#This Row],[DiscountPct]],2)</f>
        <v>55</v>
      </c>
      <c r="R98" s="11">
        <f>IF(Clean_Data[[#This Row],[Status]]="Delivered",ROUND(Clean_Data[[#This Row],[GrossSales]]-Clean_Data[[#This Row],[DiscountAmount]],2),0)</f>
        <v>1045</v>
      </c>
      <c r="S98" s="3" t="str">
        <f>IF(Clean_Data[[#This Row],[OrderHour]]&lt;6,"Night",IF(Clean_Data[[#This Row],[OrderHour]]&lt;12,"Morning",IF(Clean_Data[[#This Row],[OrderHour]]&lt;18,"Afternoon","Evening")))</f>
        <v>Afternoon</v>
      </c>
      <c r="T98" s="3" t="str">
        <f>TEXT(Clean_Data[[#This Row],[OrderDate]],"[$-409]ddd")</f>
        <v>Fri</v>
      </c>
      <c r="U98" s="3">
        <f>WEEKDAY(Clean_Data[[#This Row],[OrderDate]],2)</f>
        <v>5</v>
      </c>
      <c r="V98" s="3">
        <f>INT(Clean_Data[[#This Row],[OrderHour]]/6)+1</f>
        <v>3</v>
      </c>
      <c r="W98" s="3">
        <f>IF(Clean_Data[[#This Row],[Status]]="Delivered",1,0)</f>
        <v>1</v>
      </c>
      <c r="X98" s="3">
        <f>IF(Clean_Data[[#This Row],[Status]]="Delivered",IF(Clean_Data[[#This Row],[DeliveryMinutes]]&lt;=Dashboard!$X$5,1,0),0)</f>
        <v>1</v>
      </c>
      <c r="Y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8" s="3">
        <f>IF(AND(Clean_Data[[#This Row],[Include]]=1,Clean_Data[[#This Row],[DeliveredFlag]]=1),1,0)</f>
        <v>1</v>
      </c>
      <c r="AA98" s="1">
        <f>IF(COUNTIF($D$2:D98,D98)=1,ROW()-1,ROWS(Clean_Data[OrderID])+1)</f>
        <v>97</v>
      </c>
      <c r="AB98" s="1">
        <f>IF(COUNTIF($F$2:F98,F98)=1,ROW()-1,ROWS(Clean_Data[OrderID])+1)</f>
        <v>901</v>
      </c>
      <c r="AC98" s="1">
        <f>IF(COUNTIF($G$2:G98,G98)=1,ROW()-1,ROWS(Clean_Data[OrderID])+1)</f>
        <v>901</v>
      </c>
      <c r="AD98" s="1">
        <f>IF(COUNTIF($H$2:H98,H98)=1,ROW()-1,ROWS(Clean_Data[OrderID])+1)</f>
        <v>901</v>
      </c>
      <c r="AE98" s="1">
        <f>IF(COUNTIF($V$2:V98,V98)=1,V98,ROWS(Clean_Data[OrderID])+1)</f>
        <v>901</v>
      </c>
      <c r="AF98" s="1">
        <f>IF(COUNTIF($U$2:U98,U98)=1,U98,ROWS(Clean_Data[OrderID])+1)</f>
        <v>901</v>
      </c>
      <c r="AG98" s="1">
        <f>IF(COUNTIF($E$2:E98,E98)=1,ROW()-1,ROWS(Clean_Data[OrderID])+1)</f>
        <v>901</v>
      </c>
    </row>
    <row r="99" spans="1:33" ht="20" customHeight="1">
      <c r="A99" s="3" t="s">
        <v>306</v>
      </c>
      <c r="B99" s="2">
        <v>46269</v>
      </c>
      <c r="C99" s="3">
        <v>17</v>
      </c>
      <c r="D99" s="3" t="s">
        <v>113</v>
      </c>
      <c r="E99" s="3" t="s">
        <v>91</v>
      </c>
      <c r="F99" s="3" t="s">
        <v>98</v>
      </c>
      <c r="G99" s="3" t="s">
        <v>174</v>
      </c>
      <c r="H99" s="3" t="s">
        <v>175</v>
      </c>
      <c r="I99" s="3">
        <v>5</v>
      </c>
      <c r="J99" s="11">
        <v>155</v>
      </c>
      <c r="K99" s="4">
        <v>0.1</v>
      </c>
      <c r="L99" s="3" t="s">
        <v>95</v>
      </c>
      <c r="M99" s="3">
        <v>37</v>
      </c>
      <c r="N99" s="3">
        <v>6</v>
      </c>
      <c r="O99" s="3">
        <v>4</v>
      </c>
      <c r="P99" s="11">
        <f>Clean_Data[[#This Row],[Quantity]]*Clean_Data[[#This Row],[UnitPrice]]</f>
        <v>775</v>
      </c>
      <c r="Q99" s="11">
        <f>ROUND(Clean_Data[[#This Row],[GrossSales]]*Clean_Data[[#This Row],[DiscountPct]],2)</f>
        <v>77.5</v>
      </c>
      <c r="R99" s="11">
        <f>IF(Clean_Data[[#This Row],[Status]]="Delivered",ROUND(Clean_Data[[#This Row],[GrossSales]]-Clean_Data[[#This Row],[DiscountAmount]],2),0)</f>
        <v>697.5</v>
      </c>
      <c r="S99" s="3" t="str">
        <f>IF(Clean_Data[[#This Row],[OrderHour]]&lt;6,"Night",IF(Clean_Data[[#This Row],[OrderHour]]&lt;12,"Morning",IF(Clean_Data[[#This Row],[OrderHour]]&lt;18,"Afternoon","Evening")))</f>
        <v>Afternoon</v>
      </c>
      <c r="T99" s="3" t="str">
        <f>TEXT(Clean_Data[[#This Row],[OrderDate]],"[$-409]ddd")</f>
        <v>Fri</v>
      </c>
      <c r="U99" s="3">
        <f>WEEKDAY(Clean_Data[[#This Row],[OrderDate]],2)</f>
        <v>5</v>
      </c>
      <c r="V99" s="3">
        <f>INT(Clean_Data[[#This Row],[OrderHour]]/6)+1</f>
        <v>3</v>
      </c>
      <c r="W99" s="3">
        <f>IF(Clean_Data[[#This Row],[Status]]="Delivered",1,0)</f>
        <v>1</v>
      </c>
      <c r="X99" s="3">
        <f>IF(Clean_Data[[#This Row],[Status]]="Delivered",IF(Clean_Data[[#This Row],[DeliveryMinutes]]&lt;=Dashboard!$X$5,1,0),0)</f>
        <v>0</v>
      </c>
      <c r="Y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9" s="3">
        <f>IF(AND(Clean_Data[[#This Row],[Include]]=1,Clean_Data[[#This Row],[DeliveredFlag]]=1),1,0)</f>
        <v>1</v>
      </c>
      <c r="AA99" s="1">
        <f>IF(COUNTIF($D$2:D99,D99)=1,ROW()-1,ROWS(Clean_Data[OrderID])+1)</f>
        <v>901</v>
      </c>
      <c r="AB99" s="1">
        <f>IF(COUNTIF($F$2:F99,F99)=1,ROW()-1,ROWS(Clean_Data[OrderID])+1)</f>
        <v>901</v>
      </c>
      <c r="AC99" s="1">
        <f>IF(COUNTIF($G$2:G99,G99)=1,ROW()-1,ROWS(Clean_Data[OrderID])+1)</f>
        <v>901</v>
      </c>
      <c r="AD99" s="1">
        <f>IF(COUNTIF($H$2:H99,H99)=1,ROW()-1,ROWS(Clean_Data[OrderID])+1)</f>
        <v>901</v>
      </c>
      <c r="AE99" s="1">
        <f>IF(COUNTIF($V$2:V99,V99)=1,V99,ROWS(Clean_Data[OrderID])+1)</f>
        <v>901</v>
      </c>
      <c r="AF99" s="1">
        <f>IF(COUNTIF($U$2:U99,U99)=1,U99,ROWS(Clean_Data[OrderID])+1)</f>
        <v>901</v>
      </c>
      <c r="AG99" s="1">
        <f>IF(COUNTIF($E$2:E99,E99)=1,ROW()-1,ROWS(Clean_Data[OrderID])+1)</f>
        <v>901</v>
      </c>
    </row>
    <row r="100" spans="1:33" ht="20" customHeight="1">
      <c r="A100" s="3" t="s">
        <v>307</v>
      </c>
      <c r="B100" s="2">
        <v>46269</v>
      </c>
      <c r="C100" s="3">
        <v>16</v>
      </c>
      <c r="D100" s="3" t="s">
        <v>308</v>
      </c>
      <c r="E100" s="3" t="s">
        <v>91</v>
      </c>
      <c r="F100" s="3" t="s">
        <v>139</v>
      </c>
      <c r="G100" s="3" t="s">
        <v>99</v>
      </c>
      <c r="H100" s="3" t="s">
        <v>100</v>
      </c>
      <c r="I100" s="3">
        <v>2</v>
      </c>
      <c r="J100" s="11">
        <v>120</v>
      </c>
      <c r="K100" s="4">
        <v>0.1</v>
      </c>
      <c r="L100" s="3" t="s">
        <v>95</v>
      </c>
      <c r="M100" s="3">
        <v>12</v>
      </c>
      <c r="N100" s="3">
        <v>8</v>
      </c>
      <c r="O100" s="3">
        <v>5</v>
      </c>
      <c r="P100" s="11">
        <f>Clean_Data[[#This Row],[Quantity]]*Clean_Data[[#This Row],[UnitPrice]]</f>
        <v>240</v>
      </c>
      <c r="Q100" s="11">
        <f>ROUND(Clean_Data[[#This Row],[GrossSales]]*Clean_Data[[#This Row],[DiscountPct]],2)</f>
        <v>24</v>
      </c>
      <c r="R100" s="11">
        <f>IF(Clean_Data[[#This Row],[Status]]="Delivered",ROUND(Clean_Data[[#This Row],[GrossSales]]-Clean_Data[[#This Row],[DiscountAmount]],2),0)</f>
        <v>216</v>
      </c>
      <c r="S100" s="3" t="str">
        <f>IF(Clean_Data[[#This Row],[OrderHour]]&lt;6,"Night",IF(Clean_Data[[#This Row],[OrderHour]]&lt;12,"Morning",IF(Clean_Data[[#This Row],[OrderHour]]&lt;18,"Afternoon","Evening")))</f>
        <v>Afternoon</v>
      </c>
      <c r="T100" s="3" t="str">
        <f>TEXT(Clean_Data[[#This Row],[OrderDate]],"[$-409]ddd")</f>
        <v>Fri</v>
      </c>
      <c r="U100" s="3">
        <f>WEEKDAY(Clean_Data[[#This Row],[OrderDate]],2)</f>
        <v>5</v>
      </c>
      <c r="V100" s="3">
        <f>INT(Clean_Data[[#This Row],[OrderHour]]/6)+1</f>
        <v>3</v>
      </c>
      <c r="W100" s="3">
        <f>IF(Clean_Data[[#This Row],[Status]]="Delivered",1,0)</f>
        <v>1</v>
      </c>
      <c r="X100" s="3">
        <f>IF(Clean_Data[[#This Row],[Status]]="Delivered",IF(Clean_Data[[#This Row],[DeliveryMinutes]]&lt;=Dashboard!$X$5,1,0),0)</f>
        <v>1</v>
      </c>
      <c r="Y1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0" s="3">
        <f>IF(AND(Clean_Data[[#This Row],[Include]]=1,Clean_Data[[#This Row],[DeliveredFlag]]=1),1,0)</f>
        <v>1</v>
      </c>
      <c r="AA100" s="1">
        <f>IF(COUNTIF($D$2:D100,D100)=1,ROW()-1,ROWS(Clean_Data[OrderID])+1)</f>
        <v>99</v>
      </c>
      <c r="AB100" s="1">
        <f>IF(COUNTIF($F$2:F100,F100)=1,ROW()-1,ROWS(Clean_Data[OrderID])+1)</f>
        <v>901</v>
      </c>
      <c r="AC100" s="1">
        <f>IF(COUNTIF($G$2:G100,G100)=1,ROW()-1,ROWS(Clean_Data[OrderID])+1)</f>
        <v>901</v>
      </c>
      <c r="AD100" s="1">
        <f>IF(COUNTIF($H$2:H100,H100)=1,ROW()-1,ROWS(Clean_Data[OrderID])+1)</f>
        <v>901</v>
      </c>
      <c r="AE100" s="1">
        <f>IF(COUNTIF($V$2:V100,V100)=1,V100,ROWS(Clean_Data[OrderID])+1)</f>
        <v>901</v>
      </c>
      <c r="AF100" s="1">
        <f>IF(COUNTIF($U$2:U100,U100)=1,U100,ROWS(Clean_Data[OrderID])+1)</f>
        <v>901</v>
      </c>
      <c r="AG100" s="1">
        <f>IF(COUNTIF($E$2:E100,E100)=1,ROW()-1,ROWS(Clean_Data[OrderID])+1)</f>
        <v>901</v>
      </c>
    </row>
    <row r="101" spans="1:33" ht="20" customHeight="1">
      <c r="A101" s="3" t="s">
        <v>309</v>
      </c>
      <c r="B101" s="2">
        <v>46269</v>
      </c>
      <c r="C101" s="3">
        <v>18</v>
      </c>
      <c r="D101" s="3" t="s">
        <v>310</v>
      </c>
      <c r="E101" s="3" t="s">
        <v>117</v>
      </c>
      <c r="F101" s="3" t="s">
        <v>92</v>
      </c>
      <c r="G101" s="3" t="s">
        <v>99</v>
      </c>
      <c r="H101" s="3" t="s">
        <v>104</v>
      </c>
      <c r="I101" s="3">
        <v>3</v>
      </c>
      <c r="J101" s="11">
        <v>240</v>
      </c>
      <c r="K101" s="4">
        <v>0</v>
      </c>
      <c r="L101" s="3" t="s">
        <v>95</v>
      </c>
      <c r="M101" s="3">
        <v>29</v>
      </c>
      <c r="N101" s="3">
        <v>10</v>
      </c>
      <c r="O101" s="3">
        <v>5</v>
      </c>
      <c r="P101" s="11">
        <f>Clean_Data[[#This Row],[Quantity]]*Clean_Data[[#This Row],[UnitPrice]]</f>
        <v>720</v>
      </c>
      <c r="Q101" s="11">
        <f>ROUND(Clean_Data[[#This Row],[GrossSales]]*Clean_Data[[#This Row],[DiscountPct]],2)</f>
        <v>0</v>
      </c>
      <c r="R101" s="11">
        <f>IF(Clean_Data[[#This Row],[Status]]="Delivered",ROUND(Clean_Data[[#This Row],[GrossSales]]-Clean_Data[[#This Row],[DiscountAmount]],2),0)</f>
        <v>720</v>
      </c>
      <c r="S101" s="3" t="str">
        <f>IF(Clean_Data[[#This Row],[OrderHour]]&lt;6,"Night",IF(Clean_Data[[#This Row],[OrderHour]]&lt;12,"Morning",IF(Clean_Data[[#This Row],[OrderHour]]&lt;18,"Afternoon","Evening")))</f>
        <v>Evening</v>
      </c>
      <c r="T101" s="3" t="str">
        <f>TEXT(Clean_Data[[#This Row],[OrderDate]],"[$-409]ddd")</f>
        <v>Fri</v>
      </c>
      <c r="U101" s="3">
        <f>WEEKDAY(Clean_Data[[#This Row],[OrderDate]],2)</f>
        <v>5</v>
      </c>
      <c r="V101" s="3">
        <f>INT(Clean_Data[[#This Row],[OrderHour]]/6)+1</f>
        <v>4</v>
      </c>
      <c r="W101" s="3">
        <f>IF(Clean_Data[[#This Row],[Status]]="Delivered",1,0)</f>
        <v>1</v>
      </c>
      <c r="X101" s="3">
        <f>IF(Clean_Data[[#This Row],[Status]]="Delivered",IF(Clean_Data[[#This Row],[DeliveryMinutes]]&lt;=Dashboard!$X$5,1,0),0)</f>
        <v>1</v>
      </c>
      <c r="Y1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1" s="3">
        <f>IF(AND(Clean_Data[[#This Row],[Include]]=1,Clean_Data[[#This Row],[DeliveredFlag]]=1),1,0)</f>
        <v>1</v>
      </c>
      <c r="AA101" s="1">
        <f>IF(COUNTIF($D$2:D101,D101)=1,ROW()-1,ROWS(Clean_Data[OrderID])+1)</f>
        <v>100</v>
      </c>
      <c r="AB101" s="1">
        <f>IF(COUNTIF($F$2:F101,F101)=1,ROW()-1,ROWS(Clean_Data[OrderID])+1)</f>
        <v>901</v>
      </c>
      <c r="AC101" s="1">
        <f>IF(COUNTIF($G$2:G101,G101)=1,ROW()-1,ROWS(Clean_Data[OrderID])+1)</f>
        <v>901</v>
      </c>
      <c r="AD101" s="1">
        <f>IF(COUNTIF($H$2:H101,H101)=1,ROW()-1,ROWS(Clean_Data[OrderID])+1)</f>
        <v>901</v>
      </c>
      <c r="AE101" s="1">
        <f>IF(COUNTIF($V$2:V101,V101)=1,V101,ROWS(Clean_Data[OrderID])+1)</f>
        <v>901</v>
      </c>
      <c r="AF101" s="1">
        <f>IF(COUNTIF($U$2:U101,U101)=1,U101,ROWS(Clean_Data[OrderID])+1)</f>
        <v>901</v>
      </c>
      <c r="AG101" s="1">
        <f>IF(COUNTIF($E$2:E101,E101)=1,ROW()-1,ROWS(Clean_Data[OrderID])+1)</f>
        <v>901</v>
      </c>
    </row>
    <row r="102" spans="1:33" ht="20" customHeight="1">
      <c r="A102" s="3" t="s">
        <v>311</v>
      </c>
      <c r="B102" s="2">
        <v>46269</v>
      </c>
      <c r="C102" s="3">
        <v>16</v>
      </c>
      <c r="D102" s="3" t="s">
        <v>312</v>
      </c>
      <c r="E102" s="3" t="s">
        <v>91</v>
      </c>
      <c r="F102" s="3" t="s">
        <v>139</v>
      </c>
      <c r="G102" s="3" t="s">
        <v>93</v>
      </c>
      <c r="H102" s="3" t="s">
        <v>118</v>
      </c>
      <c r="I102" s="3">
        <v>6</v>
      </c>
      <c r="J102" s="11">
        <v>45</v>
      </c>
      <c r="K102" s="4">
        <v>0.1</v>
      </c>
      <c r="L102" s="3" t="s">
        <v>95</v>
      </c>
      <c r="M102" s="3">
        <v>18</v>
      </c>
      <c r="N102" s="3">
        <v>14</v>
      </c>
      <c r="O102" s="3">
        <v>4</v>
      </c>
      <c r="P102" s="11">
        <f>Clean_Data[[#This Row],[Quantity]]*Clean_Data[[#This Row],[UnitPrice]]</f>
        <v>270</v>
      </c>
      <c r="Q102" s="11">
        <f>ROUND(Clean_Data[[#This Row],[GrossSales]]*Clean_Data[[#This Row],[DiscountPct]],2)</f>
        <v>27</v>
      </c>
      <c r="R102" s="11">
        <f>IF(Clean_Data[[#This Row],[Status]]="Delivered",ROUND(Clean_Data[[#This Row],[GrossSales]]-Clean_Data[[#This Row],[DiscountAmount]],2),0)</f>
        <v>243</v>
      </c>
      <c r="S102" s="3" t="str">
        <f>IF(Clean_Data[[#This Row],[OrderHour]]&lt;6,"Night",IF(Clean_Data[[#This Row],[OrderHour]]&lt;12,"Morning",IF(Clean_Data[[#This Row],[OrderHour]]&lt;18,"Afternoon","Evening")))</f>
        <v>Afternoon</v>
      </c>
      <c r="T102" s="3" t="str">
        <f>TEXT(Clean_Data[[#This Row],[OrderDate]],"[$-409]ddd")</f>
        <v>Fri</v>
      </c>
      <c r="U102" s="3">
        <f>WEEKDAY(Clean_Data[[#This Row],[OrderDate]],2)</f>
        <v>5</v>
      </c>
      <c r="V102" s="3">
        <f>INT(Clean_Data[[#This Row],[OrderHour]]/6)+1</f>
        <v>3</v>
      </c>
      <c r="W102" s="3">
        <f>IF(Clean_Data[[#This Row],[Status]]="Delivered",1,0)</f>
        <v>1</v>
      </c>
      <c r="X102" s="3">
        <f>IF(Clean_Data[[#This Row],[Status]]="Delivered",IF(Clean_Data[[#This Row],[DeliveryMinutes]]&lt;=Dashboard!$X$5,1,0),0)</f>
        <v>1</v>
      </c>
      <c r="Y1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2" s="3">
        <f>IF(AND(Clean_Data[[#This Row],[Include]]=1,Clean_Data[[#This Row],[DeliveredFlag]]=1),1,0)</f>
        <v>1</v>
      </c>
      <c r="AA102" s="1">
        <f>IF(COUNTIF($D$2:D102,D102)=1,ROW()-1,ROWS(Clean_Data[OrderID])+1)</f>
        <v>101</v>
      </c>
      <c r="AB102" s="1">
        <f>IF(COUNTIF($F$2:F102,F102)=1,ROW()-1,ROWS(Clean_Data[OrderID])+1)</f>
        <v>901</v>
      </c>
      <c r="AC102" s="1">
        <f>IF(COUNTIF($G$2:G102,G102)=1,ROW()-1,ROWS(Clean_Data[OrderID])+1)</f>
        <v>901</v>
      </c>
      <c r="AD102" s="1">
        <f>IF(COUNTIF($H$2:H102,H102)=1,ROW()-1,ROWS(Clean_Data[OrderID])+1)</f>
        <v>901</v>
      </c>
      <c r="AE102" s="1">
        <f>IF(COUNTIF($V$2:V102,V102)=1,V102,ROWS(Clean_Data[OrderID])+1)</f>
        <v>901</v>
      </c>
      <c r="AF102" s="1">
        <f>IF(COUNTIF($U$2:U102,U102)=1,U102,ROWS(Clean_Data[OrderID])+1)</f>
        <v>901</v>
      </c>
      <c r="AG102" s="1">
        <f>IF(COUNTIF($E$2:E102,E102)=1,ROW()-1,ROWS(Clean_Data[OrderID])+1)</f>
        <v>901</v>
      </c>
    </row>
    <row r="103" spans="1:33" ht="20" customHeight="1">
      <c r="A103" s="3" t="s">
        <v>313</v>
      </c>
      <c r="B103" s="2">
        <v>46269</v>
      </c>
      <c r="C103" s="3">
        <v>8</v>
      </c>
      <c r="D103" s="3" t="s">
        <v>314</v>
      </c>
      <c r="E103" s="3" t="s">
        <v>117</v>
      </c>
      <c r="F103" s="3" t="s">
        <v>121</v>
      </c>
      <c r="G103" s="3" t="s">
        <v>110</v>
      </c>
      <c r="H103" s="3" t="s">
        <v>114</v>
      </c>
      <c r="I103" s="3">
        <v>3</v>
      </c>
      <c r="J103" s="11">
        <v>145</v>
      </c>
      <c r="K103" s="4">
        <v>0</v>
      </c>
      <c r="L103" s="3" t="s">
        <v>95</v>
      </c>
      <c r="M103" s="3">
        <v>37</v>
      </c>
      <c r="N103" s="3">
        <v>8</v>
      </c>
      <c r="O103" s="3">
        <v>5</v>
      </c>
      <c r="P103" s="11">
        <f>Clean_Data[[#This Row],[Quantity]]*Clean_Data[[#This Row],[UnitPrice]]</f>
        <v>435</v>
      </c>
      <c r="Q103" s="11">
        <f>ROUND(Clean_Data[[#This Row],[GrossSales]]*Clean_Data[[#This Row],[DiscountPct]],2)</f>
        <v>0</v>
      </c>
      <c r="R103" s="11">
        <f>IF(Clean_Data[[#This Row],[Status]]="Delivered",ROUND(Clean_Data[[#This Row],[GrossSales]]-Clean_Data[[#This Row],[DiscountAmount]],2),0)</f>
        <v>435</v>
      </c>
      <c r="S103" s="3" t="str">
        <f>IF(Clean_Data[[#This Row],[OrderHour]]&lt;6,"Night",IF(Clean_Data[[#This Row],[OrderHour]]&lt;12,"Morning",IF(Clean_Data[[#This Row],[OrderHour]]&lt;18,"Afternoon","Evening")))</f>
        <v>Morning</v>
      </c>
      <c r="T103" s="3" t="str">
        <f>TEXT(Clean_Data[[#This Row],[OrderDate]],"[$-409]ddd")</f>
        <v>Fri</v>
      </c>
      <c r="U103" s="3">
        <f>WEEKDAY(Clean_Data[[#This Row],[OrderDate]],2)</f>
        <v>5</v>
      </c>
      <c r="V103" s="3">
        <f>INT(Clean_Data[[#This Row],[OrderHour]]/6)+1</f>
        <v>2</v>
      </c>
      <c r="W103" s="3">
        <f>IF(Clean_Data[[#This Row],[Status]]="Delivered",1,0)</f>
        <v>1</v>
      </c>
      <c r="X103" s="3">
        <f>IF(Clean_Data[[#This Row],[Status]]="Delivered",IF(Clean_Data[[#This Row],[DeliveryMinutes]]&lt;=Dashboard!$X$5,1,0),0)</f>
        <v>0</v>
      </c>
      <c r="Y1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3" s="3">
        <f>IF(AND(Clean_Data[[#This Row],[Include]]=1,Clean_Data[[#This Row],[DeliveredFlag]]=1),1,0)</f>
        <v>1</v>
      </c>
      <c r="AA103" s="1">
        <f>IF(COUNTIF($D$2:D103,D103)=1,ROW()-1,ROWS(Clean_Data[OrderID])+1)</f>
        <v>102</v>
      </c>
      <c r="AB103" s="1">
        <f>IF(COUNTIF($F$2:F103,F103)=1,ROW()-1,ROWS(Clean_Data[OrderID])+1)</f>
        <v>901</v>
      </c>
      <c r="AC103" s="1">
        <f>IF(COUNTIF($G$2:G103,G103)=1,ROW()-1,ROWS(Clean_Data[OrderID])+1)</f>
        <v>901</v>
      </c>
      <c r="AD103" s="1">
        <f>IF(COUNTIF($H$2:H103,H103)=1,ROW()-1,ROWS(Clean_Data[OrderID])+1)</f>
        <v>901</v>
      </c>
      <c r="AE103" s="1">
        <f>IF(COUNTIF($V$2:V103,V103)=1,V103,ROWS(Clean_Data[OrderID])+1)</f>
        <v>901</v>
      </c>
      <c r="AF103" s="1">
        <f>IF(COUNTIF($U$2:U103,U103)=1,U103,ROWS(Clean_Data[OrderID])+1)</f>
        <v>901</v>
      </c>
      <c r="AG103" s="1">
        <f>IF(COUNTIF($E$2:E103,E103)=1,ROW()-1,ROWS(Clean_Data[OrderID])+1)</f>
        <v>901</v>
      </c>
    </row>
    <row r="104" spans="1:33" ht="20" customHeight="1">
      <c r="A104" s="3" t="s">
        <v>315</v>
      </c>
      <c r="B104" s="2">
        <v>46269</v>
      </c>
      <c r="C104" s="3">
        <v>10</v>
      </c>
      <c r="D104" s="3" t="s">
        <v>316</v>
      </c>
      <c r="E104" s="3" t="s">
        <v>117</v>
      </c>
      <c r="F104" s="3" t="s">
        <v>98</v>
      </c>
      <c r="G104" s="3" t="s">
        <v>93</v>
      </c>
      <c r="H104" s="3" t="s">
        <v>146</v>
      </c>
      <c r="I104" s="3">
        <v>5</v>
      </c>
      <c r="J104" s="11">
        <v>110</v>
      </c>
      <c r="K104" s="4">
        <v>0.1</v>
      </c>
      <c r="L104" s="3" t="s">
        <v>95</v>
      </c>
      <c r="M104" s="3">
        <v>14</v>
      </c>
      <c r="N104" s="3">
        <v>6</v>
      </c>
      <c r="O104" s="3">
        <v>4</v>
      </c>
      <c r="P104" s="11">
        <f>Clean_Data[[#This Row],[Quantity]]*Clean_Data[[#This Row],[UnitPrice]]</f>
        <v>550</v>
      </c>
      <c r="Q104" s="11">
        <f>ROUND(Clean_Data[[#This Row],[GrossSales]]*Clean_Data[[#This Row],[DiscountPct]],2)</f>
        <v>55</v>
      </c>
      <c r="R104" s="11">
        <f>IF(Clean_Data[[#This Row],[Status]]="Delivered",ROUND(Clean_Data[[#This Row],[GrossSales]]-Clean_Data[[#This Row],[DiscountAmount]],2),0)</f>
        <v>495</v>
      </c>
      <c r="S104" s="3" t="str">
        <f>IF(Clean_Data[[#This Row],[OrderHour]]&lt;6,"Night",IF(Clean_Data[[#This Row],[OrderHour]]&lt;12,"Morning",IF(Clean_Data[[#This Row],[OrderHour]]&lt;18,"Afternoon","Evening")))</f>
        <v>Morning</v>
      </c>
      <c r="T104" s="3" t="str">
        <f>TEXT(Clean_Data[[#This Row],[OrderDate]],"[$-409]ddd")</f>
        <v>Fri</v>
      </c>
      <c r="U104" s="3">
        <f>WEEKDAY(Clean_Data[[#This Row],[OrderDate]],2)</f>
        <v>5</v>
      </c>
      <c r="V104" s="3">
        <f>INT(Clean_Data[[#This Row],[OrderHour]]/6)+1</f>
        <v>2</v>
      </c>
      <c r="W104" s="3">
        <f>IF(Clean_Data[[#This Row],[Status]]="Delivered",1,0)</f>
        <v>1</v>
      </c>
      <c r="X104" s="3">
        <f>IF(Clean_Data[[#This Row],[Status]]="Delivered",IF(Clean_Data[[#This Row],[DeliveryMinutes]]&lt;=Dashboard!$X$5,1,0),0)</f>
        <v>1</v>
      </c>
      <c r="Y1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4" s="3">
        <f>IF(AND(Clean_Data[[#This Row],[Include]]=1,Clean_Data[[#This Row],[DeliveredFlag]]=1),1,0)</f>
        <v>1</v>
      </c>
      <c r="AA104" s="1">
        <f>IF(COUNTIF($D$2:D104,D104)=1,ROW()-1,ROWS(Clean_Data[OrderID])+1)</f>
        <v>103</v>
      </c>
      <c r="AB104" s="1">
        <f>IF(COUNTIF($F$2:F104,F104)=1,ROW()-1,ROWS(Clean_Data[OrderID])+1)</f>
        <v>901</v>
      </c>
      <c r="AC104" s="1">
        <f>IF(COUNTIF($G$2:G104,G104)=1,ROW()-1,ROWS(Clean_Data[OrderID])+1)</f>
        <v>901</v>
      </c>
      <c r="AD104" s="1">
        <f>IF(COUNTIF($H$2:H104,H104)=1,ROW()-1,ROWS(Clean_Data[OrderID])+1)</f>
        <v>901</v>
      </c>
      <c r="AE104" s="1">
        <f>IF(COUNTIF($V$2:V104,V104)=1,V104,ROWS(Clean_Data[OrderID])+1)</f>
        <v>901</v>
      </c>
      <c r="AF104" s="1">
        <f>IF(COUNTIF($U$2:U104,U104)=1,U104,ROWS(Clean_Data[OrderID])+1)</f>
        <v>901</v>
      </c>
      <c r="AG104" s="1">
        <f>IF(COUNTIF($E$2:E104,E104)=1,ROW()-1,ROWS(Clean_Data[OrderID])+1)</f>
        <v>901</v>
      </c>
    </row>
    <row r="105" spans="1:33" ht="20" customHeight="1">
      <c r="A105" s="3" t="s">
        <v>317</v>
      </c>
      <c r="B105" s="2">
        <v>46269</v>
      </c>
      <c r="C105" s="3">
        <v>19</v>
      </c>
      <c r="D105" s="3" t="s">
        <v>318</v>
      </c>
      <c r="E105" s="3" t="s">
        <v>117</v>
      </c>
      <c r="F105" s="3" t="s">
        <v>92</v>
      </c>
      <c r="G105" s="3" t="s">
        <v>110</v>
      </c>
      <c r="H105" s="3" t="s">
        <v>114</v>
      </c>
      <c r="I105" s="3">
        <v>1</v>
      </c>
      <c r="J105" s="11">
        <v>145</v>
      </c>
      <c r="K105" s="4">
        <v>0.1</v>
      </c>
      <c r="L105" s="3" t="s">
        <v>95</v>
      </c>
      <c r="M105" s="3">
        <v>23</v>
      </c>
      <c r="N105" s="3">
        <v>10</v>
      </c>
      <c r="O105" s="3">
        <v>5</v>
      </c>
      <c r="P105" s="11">
        <f>Clean_Data[[#This Row],[Quantity]]*Clean_Data[[#This Row],[UnitPrice]]</f>
        <v>145</v>
      </c>
      <c r="Q105" s="11">
        <f>ROUND(Clean_Data[[#This Row],[GrossSales]]*Clean_Data[[#This Row],[DiscountPct]],2)</f>
        <v>14.5</v>
      </c>
      <c r="R105" s="11">
        <f>IF(Clean_Data[[#This Row],[Status]]="Delivered",ROUND(Clean_Data[[#This Row],[GrossSales]]-Clean_Data[[#This Row],[DiscountAmount]],2),0)</f>
        <v>130.5</v>
      </c>
      <c r="S105" s="3" t="str">
        <f>IF(Clean_Data[[#This Row],[OrderHour]]&lt;6,"Night",IF(Clean_Data[[#This Row],[OrderHour]]&lt;12,"Morning",IF(Clean_Data[[#This Row],[OrderHour]]&lt;18,"Afternoon","Evening")))</f>
        <v>Evening</v>
      </c>
      <c r="T105" s="3" t="str">
        <f>TEXT(Clean_Data[[#This Row],[OrderDate]],"[$-409]ddd")</f>
        <v>Fri</v>
      </c>
      <c r="U105" s="3">
        <f>WEEKDAY(Clean_Data[[#This Row],[OrderDate]],2)</f>
        <v>5</v>
      </c>
      <c r="V105" s="3">
        <f>INT(Clean_Data[[#This Row],[OrderHour]]/6)+1</f>
        <v>4</v>
      </c>
      <c r="W105" s="3">
        <f>IF(Clean_Data[[#This Row],[Status]]="Delivered",1,0)</f>
        <v>1</v>
      </c>
      <c r="X105" s="3">
        <f>IF(Clean_Data[[#This Row],[Status]]="Delivered",IF(Clean_Data[[#This Row],[DeliveryMinutes]]&lt;=Dashboard!$X$5,1,0),0)</f>
        <v>1</v>
      </c>
      <c r="Y1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5" s="3">
        <f>IF(AND(Clean_Data[[#This Row],[Include]]=1,Clean_Data[[#This Row],[DeliveredFlag]]=1),1,0)</f>
        <v>1</v>
      </c>
      <c r="AA105" s="1">
        <f>IF(COUNTIF($D$2:D105,D105)=1,ROW()-1,ROWS(Clean_Data[OrderID])+1)</f>
        <v>104</v>
      </c>
      <c r="AB105" s="1">
        <f>IF(COUNTIF($F$2:F105,F105)=1,ROW()-1,ROWS(Clean_Data[OrderID])+1)</f>
        <v>901</v>
      </c>
      <c r="AC105" s="1">
        <f>IF(COUNTIF($G$2:G105,G105)=1,ROW()-1,ROWS(Clean_Data[OrderID])+1)</f>
        <v>901</v>
      </c>
      <c r="AD105" s="1">
        <f>IF(COUNTIF($H$2:H105,H105)=1,ROW()-1,ROWS(Clean_Data[OrderID])+1)</f>
        <v>901</v>
      </c>
      <c r="AE105" s="1">
        <f>IF(COUNTIF($V$2:V105,V105)=1,V105,ROWS(Clean_Data[OrderID])+1)</f>
        <v>901</v>
      </c>
      <c r="AF105" s="1">
        <f>IF(COUNTIF($U$2:U105,U105)=1,U105,ROWS(Clean_Data[OrderID])+1)</f>
        <v>901</v>
      </c>
      <c r="AG105" s="1">
        <f>IF(COUNTIF($E$2:E105,E105)=1,ROW()-1,ROWS(Clean_Data[OrderID])+1)</f>
        <v>901</v>
      </c>
    </row>
    <row r="106" spans="1:33" ht="20" customHeight="1">
      <c r="A106" s="3" t="s">
        <v>319</v>
      </c>
      <c r="B106" s="2">
        <v>46269</v>
      </c>
      <c r="C106" s="3">
        <v>21</v>
      </c>
      <c r="D106" s="3" t="s">
        <v>320</v>
      </c>
      <c r="E106" s="3" t="s">
        <v>91</v>
      </c>
      <c r="F106" s="3" t="s">
        <v>109</v>
      </c>
      <c r="G106" s="3" t="s">
        <v>110</v>
      </c>
      <c r="H106" s="3" t="s">
        <v>114</v>
      </c>
      <c r="I106" s="3">
        <v>3</v>
      </c>
      <c r="J106" s="11">
        <v>145</v>
      </c>
      <c r="K106" s="4">
        <v>0</v>
      </c>
      <c r="L106" s="3" t="s">
        <v>95</v>
      </c>
      <c r="M106" s="3">
        <v>14</v>
      </c>
      <c r="N106" s="3">
        <v>12</v>
      </c>
      <c r="O106" s="3">
        <v>4</v>
      </c>
      <c r="P106" s="11">
        <f>Clean_Data[[#This Row],[Quantity]]*Clean_Data[[#This Row],[UnitPrice]]</f>
        <v>435</v>
      </c>
      <c r="Q106" s="11">
        <f>ROUND(Clean_Data[[#This Row],[GrossSales]]*Clean_Data[[#This Row],[DiscountPct]],2)</f>
        <v>0</v>
      </c>
      <c r="R106" s="11">
        <f>IF(Clean_Data[[#This Row],[Status]]="Delivered",ROUND(Clean_Data[[#This Row],[GrossSales]]-Clean_Data[[#This Row],[DiscountAmount]],2),0)</f>
        <v>435</v>
      </c>
      <c r="S106" s="3" t="str">
        <f>IF(Clean_Data[[#This Row],[OrderHour]]&lt;6,"Night",IF(Clean_Data[[#This Row],[OrderHour]]&lt;12,"Morning",IF(Clean_Data[[#This Row],[OrderHour]]&lt;18,"Afternoon","Evening")))</f>
        <v>Evening</v>
      </c>
      <c r="T106" s="3" t="str">
        <f>TEXT(Clean_Data[[#This Row],[OrderDate]],"[$-409]ddd")</f>
        <v>Fri</v>
      </c>
      <c r="U106" s="3">
        <f>WEEKDAY(Clean_Data[[#This Row],[OrderDate]],2)</f>
        <v>5</v>
      </c>
      <c r="V106" s="3">
        <f>INT(Clean_Data[[#This Row],[OrderHour]]/6)+1</f>
        <v>4</v>
      </c>
      <c r="W106" s="3">
        <f>IF(Clean_Data[[#This Row],[Status]]="Delivered",1,0)</f>
        <v>1</v>
      </c>
      <c r="X106" s="3">
        <f>IF(Clean_Data[[#This Row],[Status]]="Delivered",IF(Clean_Data[[#This Row],[DeliveryMinutes]]&lt;=Dashboard!$X$5,1,0),0)</f>
        <v>1</v>
      </c>
      <c r="Y1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6" s="3">
        <f>IF(AND(Clean_Data[[#This Row],[Include]]=1,Clean_Data[[#This Row],[DeliveredFlag]]=1),1,0)</f>
        <v>1</v>
      </c>
      <c r="AA106" s="1">
        <f>IF(COUNTIF($D$2:D106,D106)=1,ROW()-1,ROWS(Clean_Data[OrderID])+1)</f>
        <v>105</v>
      </c>
      <c r="AB106" s="1">
        <f>IF(COUNTIF($F$2:F106,F106)=1,ROW()-1,ROWS(Clean_Data[OrderID])+1)</f>
        <v>901</v>
      </c>
      <c r="AC106" s="1">
        <f>IF(COUNTIF($G$2:G106,G106)=1,ROW()-1,ROWS(Clean_Data[OrderID])+1)</f>
        <v>901</v>
      </c>
      <c r="AD106" s="1">
        <f>IF(COUNTIF($H$2:H106,H106)=1,ROW()-1,ROWS(Clean_Data[OrderID])+1)</f>
        <v>901</v>
      </c>
      <c r="AE106" s="1">
        <f>IF(COUNTIF($V$2:V106,V106)=1,V106,ROWS(Clean_Data[OrderID])+1)</f>
        <v>901</v>
      </c>
      <c r="AF106" s="1">
        <f>IF(COUNTIF($U$2:U106,U106)=1,U106,ROWS(Clean_Data[OrderID])+1)</f>
        <v>901</v>
      </c>
      <c r="AG106" s="1">
        <f>IF(COUNTIF($E$2:E106,E106)=1,ROW()-1,ROWS(Clean_Data[OrderID])+1)</f>
        <v>901</v>
      </c>
    </row>
    <row r="107" spans="1:33" ht="20" customHeight="1">
      <c r="A107" s="3" t="s">
        <v>321</v>
      </c>
      <c r="B107" s="2">
        <v>46269</v>
      </c>
      <c r="C107" s="3">
        <v>11</v>
      </c>
      <c r="D107" s="3" t="s">
        <v>322</v>
      </c>
      <c r="E107" s="3" t="s">
        <v>117</v>
      </c>
      <c r="F107" s="3" t="s">
        <v>109</v>
      </c>
      <c r="G107" s="3" t="s">
        <v>174</v>
      </c>
      <c r="H107" s="3" t="s">
        <v>175</v>
      </c>
      <c r="I107" s="3">
        <v>4</v>
      </c>
      <c r="J107" s="11">
        <v>155</v>
      </c>
      <c r="K107" s="4">
        <v>0.05</v>
      </c>
      <c r="L107" s="3" t="s">
        <v>95</v>
      </c>
      <c r="M107" s="3">
        <v>36</v>
      </c>
      <c r="N107" s="3">
        <v>8</v>
      </c>
      <c r="O107" s="3">
        <v>4</v>
      </c>
      <c r="P107" s="11">
        <f>Clean_Data[[#This Row],[Quantity]]*Clean_Data[[#This Row],[UnitPrice]]</f>
        <v>620</v>
      </c>
      <c r="Q107" s="11">
        <f>ROUND(Clean_Data[[#This Row],[GrossSales]]*Clean_Data[[#This Row],[DiscountPct]],2)</f>
        <v>31</v>
      </c>
      <c r="R107" s="11">
        <f>IF(Clean_Data[[#This Row],[Status]]="Delivered",ROUND(Clean_Data[[#This Row],[GrossSales]]-Clean_Data[[#This Row],[DiscountAmount]],2),0)</f>
        <v>589</v>
      </c>
      <c r="S107" s="3" t="str">
        <f>IF(Clean_Data[[#This Row],[OrderHour]]&lt;6,"Night",IF(Clean_Data[[#This Row],[OrderHour]]&lt;12,"Morning",IF(Clean_Data[[#This Row],[OrderHour]]&lt;18,"Afternoon","Evening")))</f>
        <v>Morning</v>
      </c>
      <c r="T107" s="3" t="str">
        <f>TEXT(Clean_Data[[#This Row],[OrderDate]],"[$-409]ddd")</f>
        <v>Fri</v>
      </c>
      <c r="U107" s="3">
        <f>WEEKDAY(Clean_Data[[#This Row],[OrderDate]],2)</f>
        <v>5</v>
      </c>
      <c r="V107" s="3">
        <f>INT(Clean_Data[[#This Row],[OrderHour]]/6)+1</f>
        <v>2</v>
      </c>
      <c r="W107" s="3">
        <f>IF(Clean_Data[[#This Row],[Status]]="Delivered",1,0)</f>
        <v>1</v>
      </c>
      <c r="X107" s="3">
        <f>IF(Clean_Data[[#This Row],[Status]]="Delivered",IF(Clean_Data[[#This Row],[DeliveryMinutes]]&lt;=Dashboard!$X$5,1,0),0)</f>
        <v>0</v>
      </c>
      <c r="Y1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7" s="3">
        <f>IF(AND(Clean_Data[[#This Row],[Include]]=1,Clean_Data[[#This Row],[DeliveredFlag]]=1),1,0)</f>
        <v>1</v>
      </c>
      <c r="AA107" s="1">
        <f>IF(COUNTIF($D$2:D107,D107)=1,ROW()-1,ROWS(Clean_Data[OrderID])+1)</f>
        <v>106</v>
      </c>
      <c r="AB107" s="1">
        <f>IF(COUNTIF($F$2:F107,F107)=1,ROW()-1,ROWS(Clean_Data[OrderID])+1)</f>
        <v>901</v>
      </c>
      <c r="AC107" s="1">
        <f>IF(COUNTIF($G$2:G107,G107)=1,ROW()-1,ROWS(Clean_Data[OrderID])+1)</f>
        <v>901</v>
      </c>
      <c r="AD107" s="1">
        <f>IF(COUNTIF($H$2:H107,H107)=1,ROW()-1,ROWS(Clean_Data[OrderID])+1)</f>
        <v>901</v>
      </c>
      <c r="AE107" s="1">
        <f>IF(COUNTIF($V$2:V107,V107)=1,V107,ROWS(Clean_Data[OrderID])+1)</f>
        <v>901</v>
      </c>
      <c r="AF107" s="1">
        <f>IF(COUNTIF($U$2:U107,U107)=1,U107,ROWS(Clean_Data[OrderID])+1)</f>
        <v>901</v>
      </c>
      <c r="AG107" s="1">
        <f>IF(COUNTIF($E$2:E107,E107)=1,ROW()-1,ROWS(Clean_Data[OrderID])+1)</f>
        <v>901</v>
      </c>
    </row>
    <row r="108" spans="1:33" ht="20" customHeight="1">
      <c r="A108" s="3" t="s">
        <v>323</v>
      </c>
      <c r="B108" s="2">
        <v>46269</v>
      </c>
      <c r="C108" s="3">
        <v>23</v>
      </c>
      <c r="D108" s="3" t="s">
        <v>191</v>
      </c>
      <c r="E108" s="3" t="s">
        <v>91</v>
      </c>
      <c r="F108" s="3" t="s">
        <v>139</v>
      </c>
      <c r="G108" s="3" t="s">
        <v>110</v>
      </c>
      <c r="H108" s="3" t="s">
        <v>206</v>
      </c>
      <c r="I108" s="3">
        <v>5</v>
      </c>
      <c r="J108" s="11">
        <v>220</v>
      </c>
      <c r="K108" s="4">
        <v>0</v>
      </c>
      <c r="L108" s="3" t="s">
        <v>95</v>
      </c>
      <c r="M108" s="3">
        <v>28</v>
      </c>
      <c r="N108" s="3">
        <v>5</v>
      </c>
      <c r="O108" s="3">
        <v>4</v>
      </c>
      <c r="P108" s="11">
        <f>Clean_Data[[#This Row],[Quantity]]*Clean_Data[[#This Row],[UnitPrice]]</f>
        <v>1100</v>
      </c>
      <c r="Q108" s="11">
        <f>ROUND(Clean_Data[[#This Row],[GrossSales]]*Clean_Data[[#This Row],[DiscountPct]],2)</f>
        <v>0</v>
      </c>
      <c r="R108" s="11">
        <f>IF(Clean_Data[[#This Row],[Status]]="Delivered",ROUND(Clean_Data[[#This Row],[GrossSales]]-Clean_Data[[#This Row],[DiscountAmount]],2),0)</f>
        <v>1100</v>
      </c>
      <c r="S108" s="3" t="str">
        <f>IF(Clean_Data[[#This Row],[OrderHour]]&lt;6,"Night",IF(Clean_Data[[#This Row],[OrderHour]]&lt;12,"Morning",IF(Clean_Data[[#This Row],[OrderHour]]&lt;18,"Afternoon","Evening")))</f>
        <v>Evening</v>
      </c>
      <c r="T108" s="3" t="str">
        <f>TEXT(Clean_Data[[#This Row],[OrderDate]],"[$-409]ddd")</f>
        <v>Fri</v>
      </c>
      <c r="U108" s="3">
        <f>WEEKDAY(Clean_Data[[#This Row],[OrderDate]],2)</f>
        <v>5</v>
      </c>
      <c r="V108" s="3">
        <f>INT(Clean_Data[[#This Row],[OrderHour]]/6)+1</f>
        <v>4</v>
      </c>
      <c r="W108" s="3">
        <f>IF(Clean_Data[[#This Row],[Status]]="Delivered",1,0)</f>
        <v>1</v>
      </c>
      <c r="X108" s="3">
        <f>IF(Clean_Data[[#This Row],[Status]]="Delivered",IF(Clean_Data[[#This Row],[DeliveryMinutes]]&lt;=Dashboard!$X$5,1,0),0)</f>
        <v>1</v>
      </c>
      <c r="Y1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8" s="3">
        <f>IF(AND(Clean_Data[[#This Row],[Include]]=1,Clean_Data[[#This Row],[DeliveredFlag]]=1),1,0)</f>
        <v>1</v>
      </c>
      <c r="AA108" s="1">
        <f>IF(COUNTIF($D$2:D108,D108)=1,ROW()-1,ROWS(Clean_Data[OrderID])+1)</f>
        <v>901</v>
      </c>
      <c r="AB108" s="1">
        <f>IF(COUNTIF($F$2:F108,F108)=1,ROW()-1,ROWS(Clean_Data[OrderID])+1)</f>
        <v>901</v>
      </c>
      <c r="AC108" s="1">
        <f>IF(COUNTIF($G$2:G108,G108)=1,ROW()-1,ROWS(Clean_Data[OrderID])+1)</f>
        <v>901</v>
      </c>
      <c r="AD108" s="1">
        <f>IF(COUNTIF($H$2:H108,H108)=1,ROW()-1,ROWS(Clean_Data[OrderID])+1)</f>
        <v>901</v>
      </c>
      <c r="AE108" s="1">
        <f>IF(COUNTIF($V$2:V108,V108)=1,V108,ROWS(Clean_Data[OrderID])+1)</f>
        <v>901</v>
      </c>
      <c r="AF108" s="1">
        <f>IF(COUNTIF($U$2:U108,U108)=1,U108,ROWS(Clean_Data[OrderID])+1)</f>
        <v>901</v>
      </c>
      <c r="AG108" s="1">
        <f>IF(COUNTIF($E$2:E108,E108)=1,ROW()-1,ROWS(Clean_Data[OrderID])+1)</f>
        <v>901</v>
      </c>
    </row>
    <row r="109" spans="1:33" ht="20" customHeight="1">
      <c r="A109" s="3" t="s">
        <v>324</v>
      </c>
      <c r="B109" s="2">
        <v>46269</v>
      </c>
      <c r="C109" s="3">
        <v>11</v>
      </c>
      <c r="D109" s="3" t="s">
        <v>325</v>
      </c>
      <c r="E109" s="3" t="s">
        <v>117</v>
      </c>
      <c r="F109" s="3" t="s">
        <v>139</v>
      </c>
      <c r="G109" s="3" t="s">
        <v>135</v>
      </c>
      <c r="H109" s="3" t="s">
        <v>162</v>
      </c>
      <c r="I109" s="3">
        <v>3</v>
      </c>
      <c r="J109" s="11">
        <v>180</v>
      </c>
      <c r="K109" s="4">
        <v>0</v>
      </c>
      <c r="L109" s="3" t="s">
        <v>95</v>
      </c>
      <c r="M109" s="3">
        <v>18</v>
      </c>
      <c r="N109" s="3">
        <v>10</v>
      </c>
      <c r="O109" s="3">
        <v>3</v>
      </c>
      <c r="P109" s="11">
        <f>Clean_Data[[#This Row],[Quantity]]*Clean_Data[[#This Row],[UnitPrice]]</f>
        <v>540</v>
      </c>
      <c r="Q109" s="11">
        <f>ROUND(Clean_Data[[#This Row],[GrossSales]]*Clean_Data[[#This Row],[DiscountPct]],2)</f>
        <v>0</v>
      </c>
      <c r="R109" s="11">
        <f>IF(Clean_Data[[#This Row],[Status]]="Delivered",ROUND(Clean_Data[[#This Row],[GrossSales]]-Clean_Data[[#This Row],[DiscountAmount]],2),0)</f>
        <v>540</v>
      </c>
      <c r="S109" s="3" t="str">
        <f>IF(Clean_Data[[#This Row],[OrderHour]]&lt;6,"Night",IF(Clean_Data[[#This Row],[OrderHour]]&lt;12,"Morning",IF(Clean_Data[[#This Row],[OrderHour]]&lt;18,"Afternoon","Evening")))</f>
        <v>Morning</v>
      </c>
      <c r="T109" s="3" t="str">
        <f>TEXT(Clean_Data[[#This Row],[OrderDate]],"[$-409]ddd")</f>
        <v>Fri</v>
      </c>
      <c r="U109" s="3">
        <f>WEEKDAY(Clean_Data[[#This Row],[OrderDate]],2)</f>
        <v>5</v>
      </c>
      <c r="V109" s="3">
        <f>INT(Clean_Data[[#This Row],[OrderHour]]/6)+1</f>
        <v>2</v>
      </c>
      <c r="W109" s="3">
        <f>IF(Clean_Data[[#This Row],[Status]]="Delivered",1,0)</f>
        <v>1</v>
      </c>
      <c r="X109" s="3">
        <f>IF(Clean_Data[[#This Row],[Status]]="Delivered",IF(Clean_Data[[#This Row],[DeliveryMinutes]]&lt;=Dashboard!$X$5,1,0),0)</f>
        <v>1</v>
      </c>
      <c r="Y1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09" s="3">
        <f>IF(AND(Clean_Data[[#This Row],[Include]]=1,Clean_Data[[#This Row],[DeliveredFlag]]=1),1,0)</f>
        <v>1</v>
      </c>
      <c r="AA109" s="1">
        <f>IF(COUNTIF($D$2:D109,D109)=1,ROW()-1,ROWS(Clean_Data[OrderID])+1)</f>
        <v>108</v>
      </c>
      <c r="AB109" s="1">
        <f>IF(COUNTIF($F$2:F109,F109)=1,ROW()-1,ROWS(Clean_Data[OrderID])+1)</f>
        <v>901</v>
      </c>
      <c r="AC109" s="1">
        <f>IF(COUNTIF($G$2:G109,G109)=1,ROW()-1,ROWS(Clean_Data[OrderID])+1)</f>
        <v>901</v>
      </c>
      <c r="AD109" s="1">
        <f>IF(COUNTIF($H$2:H109,H109)=1,ROW()-1,ROWS(Clean_Data[OrderID])+1)</f>
        <v>901</v>
      </c>
      <c r="AE109" s="1">
        <f>IF(COUNTIF($V$2:V109,V109)=1,V109,ROWS(Clean_Data[OrderID])+1)</f>
        <v>901</v>
      </c>
      <c r="AF109" s="1">
        <f>IF(COUNTIF($U$2:U109,U109)=1,U109,ROWS(Clean_Data[OrderID])+1)</f>
        <v>901</v>
      </c>
      <c r="AG109" s="1">
        <f>IF(COUNTIF($E$2:E109,E109)=1,ROW()-1,ROWS(Clean_Data[OrderID])+1)</f>
        <v>901</v>
      </c>
    </row>
    <row r="110" spans="1:33" ht="20" customHeight="1">
      <c r="A110" s="3" t="s">
        <v>326</v>
      </c>
      <c r="B110" s="2">
        <v>46269</v>
      </c>
      <c r="C110" s="3">
        <v>13</v>
      </c>
      <c r="D110" s="3" t="s">
        <v>90</v>
      </c>
      <c r="E110" s="3" t="s">
        <v>91</v>
      </c>
      <c r="F110" s="3" t="s">
        <v>121</v>
      </c>
      <c r="G110" s="3" t="s">
        <v>122</v>
      </c>
      <c r="H110" s="3" t="s">
        <v>153</v>
      </c>
      <c r="I110" s="3">
        <v>2</v>
      </c>
      <c r="J110" s="11">
        <v>130</v>
      </c>
      <c r="K110" s="4">
        <v>0.1</v>
      </c>
      <c r="L110" s="3" t="s">
        <v>95</v>
      </c>
      <c r="M110" s="3">
        <v>33</v>
      </c>
      <c r="N110" s="3">
        <v>4</v>
      </c>
      <c r="O110" s="3">
        <v>3</v>
      </c>
      <c r="P110" s="11">
        <f>Clean_Data[[#This Row],[Quantity]]*Clean_Data[[#This Row],[UnitPrice]]</f>
        <v>260</v>
      </c>
      <c r="Q110" s="11">
        <f>ROUND(Clean_Data[[#This Row],[GrossSales]]*Clean_Data[[#This Row],[DiscountPct]],2)</f>
        <v>26</v>
      </c>
      <c r="R110" s="11">
        <f>IF(Clean_Data[[#This Row],[Status]]="Delivered",ROUND(Clean_Data[[#This Row],[GrossSales]]-Clean_Data[[#This Row],[DiscountAmount]],2),0)</f>
        <v>234</v>
      </c>
      <c r="S110" s="3" t="str">
        <f>IF(Clean_Data[[#This Row],[OrderHour]]&lt;6,"Night",IF(Clean_Data[[#This Row],[OrderHour]]&lt;12,"Morning",IF(Clean_Data[[#This Row],[OrderHour]]&lt;18,"Afternoon","Evening")))</f>
        <v>Afternoon</v>
      </c>
      <c r="T110" s="3" t="str">
        <f>TEXT(Clean_Data[[#This Row],[OrderDate]],"[$-409]ddd")</f>
        <v>Fri</v>
      </c>
      <c r="U110" s="3">
        <f>WEEKDAY(Clean_Data[[#This Row],[OrderDate]],2)</f>
        <v>5</v>
      </c>
      <c r="V110" s="3">
        <f>INT(Clean_Data[[#This Row],[OrderHour]]/6)+1</f>
        <v>3</v>
      </c>
      <c r="W110" s="3">
        <f>IF(Clean_Data[[#This Row],[Status]]="Delivered",1,0)</f>
        <v>1</v>
      </c>
      <c r="X110" s="3">
        <f>IF(Clean_Data[[#This Row],[Status]]="Delivered",IF(Clean_Data[[#This Row],[DeliveryMinutes]]&lt;=Dashboard!$X$5,1,0),0)</f>
        <v>0</v>
      </c>
      <c r="Y1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0" s="3">
        <f>IF(AND(Clean_Data[[#This Row],[Include]]=1,Clean_Data[[#This Row],[DeliveredFlag]]=1),1,0)</f>
        <v>1</v>
      </c>
      <c r="AA110" s="1">
        <f>IF(COUNTIF($D$2:D110,D110)=1,ROW()-1,ROWS(Clean_Data[OrderID])+1)</f>
        <v>901</v>
      </c>
      <c r="AB110" s="1">
        <f>IF(COUNTIF($F$2:F110,F110)=1,ROW()-1,ROWS(Clean_Data[OrderID])+1)</f>
        <v>901</v>
      </c>
      <c r="AC110" s="1">
        <f>IF(COUNTIF($G$2:G110,G110)=1,ROW()-1,ROWS(Clean_Data[OrderID])+1)</f>
        <v>901</v>
      </c>
      <c r="AD110" s="1">
        <f>IF(COUNTIF($H$2:H110,H110)=1,ROW()-1,ROWS(Clean_Data[OrderID])+1)</f>
        <v>901</v>
      </c>
      <c r="AE110" s="1">
        <f>IF(COUNTIF($V$2:V110,V110)=1,V110,ROWS(Clean_Data[OrderID])+1)</f>
        <v>901</v>
      </c>
      <c r="AF110" s="1">
        <f>IF(COUNTIF($U$2:U110,U110)=1,U110,ROWS(Clean_Data[OrderID])+1)</f>
        <v>901</v>
      </c>
      <c r="AG110" s="1">
        <f>IF(COUNTIF($E$2:E110,E110)=1,ROW()-1,ROWS(Clean_Data[OrderID])+1)</f>
        <v>901</v>
      </c>
    </row>
    <row r="111" spans="1:33" ht="20" customHeight="1">
      <c r="A111" s="3" t="s">
        <v>327</v>
      </c>
      <c r="B111" s="2">
        <v>46269</v>
      </c>
      <c r="C111" s="3">
        <v>8</v>
      </c>
      <c r="D111" s="3" t="s">
        <v>216</v>
      </c>
      <c r="E111" s="3" t="s">
        <v>91</v>
      </c>
      <c r="F111" s="3" t="s">
        <v>109</v>
      </c>
      <c r="G111" s="3" t="s">
        <v>110</v>
      </c>
      <c r="H111" s="3" t="s">
        <v>111</v>
      </c>
      <c r="I111" s="3">
        <v>5</v>
      </c>
      <c r="J111" s="11">
        <v>115</v>
      </c>
      <c r="K111" s="4">
        <v>0.15</v>
      </c>
      <c r="L111" s="3" t="s">
        <v>95</v>
      </c>
      <c r="M111" s="3">
        <v>30</v>
      </c>
      <c r="N111" s="3">
        <v>9</v>
      </c>
      <c r="O111" s="3">
        <v>5</v>
      </c>
      <c r="P111" s="11">
        <f>Clean_Data[[#This Row],[Quantity]]*Clean_Data[[#This Row],[UnitPrice]]</f>
        <v>575</v>
      </c>
      <c r="Q111" s="11">
        <f>ROUND(Clean_Data[[#This Row],[GrossSales]]*Clean_Data[[#This Row],[DiscountPct]],2)</f>
        <v>86.25</v>
      </c>
      <c r="R111" s="11">
        <f>IF(Clean_Data[[#This Row],[Status]]="Delivered",ROUND(Clean_Data[[#This Row],[GrossSales]]-Clean_Data[[#This Row],[DiscountAmount]],2),0)</f>
        <v>488.75</v>
      </c>
      <c r="S111" s="3" t="str">
        <f>IF(Clean_Data[[#This Row],[OrderHour]]&lt;6,"Night",IF(Clean_Data[[#This Row],[OrderHour]]&lt;12,"Morning",IF(Clean_Data[[#This Row],[OrderHour]]&lt;18,"Afternoon","Evening")))</f>
        <v>Morning</v>
      </c>
      <c r="T111" s="3" t="str">
        <f>TEXT(Clean_Data[[#This Row],[OrderDate]],"[$-409]ddd")</f>
        <v>Fri</v>
      </c>
      <c r="U111" s="3">
        <f>WEEKDAY(Clean_Data[[#This Row],[OrderDate]],2)</f>
        <v>5</v>
      </c>
      <c r="V111" s="3">
        <f>INT(Clean_Data[[#This Row],[OrderHour]]/6)+1</f>
        <v>2</v>
      </c>
      <c r="W111" s="3">
        <f>IF(Clean_Data[[#This Row],[Status]]="Delivered",1,0)</f>
        <v>1</v>
      </c>
      <c r="X111" s="3">
        <f>IF(Clean_Data[[#This Row],[Status]]="Delivered",IF(Clean_Data[[#This Row],[DeliveryMinutes]]&lt;=Dashboard!$X$5,1,0),0)</f>
        <v>1</v>
      </c>
      <c r="Y1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1" s="3">
        <f>IF(AND(Clean_Data[[#This Row],[Include]]=1,Clean_Data[[#This Row],[DeliveredFlag]]=1),1,0)</f>
        <v>1</v>
      </c>
      <c r="AA111" s="1">
        <f>IF(COUNTIF($D$2:D111,D111)=1,ROW()-1,ROWS(Clean_Data[OrderID])+1)</f>
        <v>901</v>
      </c>
      <c r="AB111" s="1">
        <f>IF(COUNTIF($F$2:F111,F111)=1,ROW()-1,ROWS(Clean_Data[OrderID])+1)</f>
        <v>901</v>
      </c>
      <c r="AC111" s="1">
        <f>IF(COUNTIF($G$2:G111,G111)=1,ROW()-1,ROWS(Clean_Data[OrderID])+1)</f>
        <v>901</v>
      </c>
      <c r="AD111" s="1">
        <f>IF(COUNTIF($H$2:H111,H111)=1,ROW()-1,ROWS(Clean_Data[OrderID])+1)</f>
        <v>901</v>
      </c>
      <c r="AE111" s="1">
        <f>IF(COUNTIF($V$2:V111,V111)=1,V111,ROWS(Clean_Data[OrderID])+1)</f>
        <v>901</v>
      </c>
      <c r="AF111" s="1">
        <f>IF(COUNTIF($U$2:U111,U111)=1,U111,ROWS(Clean_Data[OrderID])+1)</f>
        <v>901</v>
      </c>
      <c r="AG111" s="1">
        <f>IF(COUNTIF($E$2:E111,E111)=1,ROW()-1,ROWS(Clean_Data[OrderID])+1)</f>
        <v>901</v>
      </c>
    </row>
    <row r="112" spans="1:33" ht="20" customHeight="1">
      <c r="A112" s="3" t="s">
        <v>328</v>
      </c>
      <c r="B112" s="2">
        <v>46269</v>
      </c>
      <c r="C112" s="3">
        <v>20</v>
      </c>
      <c r="D112" s="3" t="s">
        <v>97</v>
      </c>
      <c r="E112" s="3" t="s">
        <v>91</v>
      </c>
      <c r="F112" s="3" t="s">
        <v>92</v>
      </c>
      <c r="G112" s="3" t="s">
        <v>99</v>
      </c>
      <c r="H112" s="3" t="s">
        <v>100</v>
      </c>
      <c r="I112" s="3">
        <v>2</v>
      </c>
      <c r="J112" s="11">
        <v>120</v>
      </c>
      <c r="K112" s="4">
        <v>0</v>
      </c>
      <c r="L112" s="3" t="s">
        <v>95</v>
      </c>
      <c r="M112" s="3">
        <v>22</v>
      </c>
      <c r="N112" s="3">
        <v>14</v>
      </c>
      <c r="O112" s="3">
        <v>4</v>
      </c>
      <c r="P112" s="11">
        <f>Clean_Data[[#This Row],[Quantity]]*Clean_Data[[#This Row],[UnitPrice]]</f>
        <v>240</v>
      </c>
      <c r="Q112" s="11">
        <f>ROUND(Clean_Data[[#This Row],[GrossSales]]*Clean_Data[[#This Row],[DiscountPct]],2)</f>
        <v>0</v>
      </c>
      <c r="R112" s="11">
        <f>IF(Clean_Data[[#This Row],[Status]]="Delivered",ROUND(Clean_Data[[#This Row],[GrossSales]]-Clean_Data[[#This Row],[DiscountAmount]],2),0)</f>
        <v>240</v>
      </c>
      <c r="S112" s="3" t="str">
        <f>IF(Clean_Data[[#This Row],[OrderHour]]&lt;6,"Night",IF(Clean_Data[[#This Row],[OrderHour]]&lt;12,"Morning",IF(Clean_Data[[#This Row],[OrderHour]]&lt;18,"Afternoon","Evening")))</f>
        <v>Evening</v>
      </c>
      <c r="T112" s="3" t="str">
        <f>TEXT(Clean_Data[[#This Row],[OrderDate]],"[$-409]ddd")</f>
        <v>Fri</v>
      </c>
      <c r="U112" s="3">
        <f>WEEKDAY(Clean_Data[[#This Row],[OrderDate]],2)</f>
        <v>5</v>
      </c>
      <c r="V112" s="3">
        <f>INT(Clean_Data[[#This Row],[OrderHour]]/6)+1</f>
        <v>4</v>
      </c>
      <c r="W112" s="3">
        <f>IF(Clean_Data[[#This Row],[Status]]="Delivered",1,0)</f>
        <v>1</v>
      </c>
      <c r="X112" s="3">
        <f>IF(Clean_Data[[#This Row],[Status]]="Delivered",IF(Clean_Data[[#This Row],[DeliveryMinutes]]&lt;=Dashboard!$X$5,1,0),0)</f>
        <v>1</v>
      </c>
      <c r="Y1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2" s="3">
        <f>IF(AND(Clean_Data[[#This Row],[Include]]=1,Clean_Data[[#This Row],[DeliveredFlag]]=1),1,0)</f>
        <v>1</v>
      </c>
      <c r="AA112" s="1">
        <f>IF(COUNTIF($D$2:D112,D112)=1,ROW()-1,ROWS(Clean_Data[OrderID])+1)</f>
        <v>901</v>
      </c>
      <c r="AB112" s="1">
        <f>IF(COUNTIF($F$2:F112,F112)=1,ROW()-1,ROWS(Clean_Data[OrderID])+1)</f>
        <v>901</v>
      </c>
      <c r="AC112" s="1">
        <f>IF(COUNTIF($G$2:G112,G112)=1,ROW()-1,ROWS(Clean_Data[OrderID])+1)</f>
        <v>901</v>
      </c>
      <c r="AD112" s="1">
        <f>IF(COUNTIF($H$2:H112,H112)=1,ROW()-1,ROWS(Clean_Data[OrderID])+1)</f>
        <v>901</v>
      </c>
      <c r="AE112" s="1">
        <f>IF(COUNTIF($V$2:V112,V112)=1,V112,ROWS(Clean_Data[OrderID])+1)</f>
        <v>901</v>
      </c>
      <c r="AF112" s="1">
        <f>IF(COUNTIF($U$2:U112,U112)=1,U112,ROWS(Clean_Data[OrderID])+1)</f>
        <v>901</v>
      </c>
      <c r="AG112" s="1">
        <f>IF(COUNTIF($E$2:E112,E112)=1,ROW()-1,ROWS(Clean_Data[OrderID])+1)</f>
        <v>901</v>
      </c>
    </row>
    <row r="113" spans="1:33" ht="20" customHeight="1">
      <c r="A113" s="3" t="s">
        <v>329</v>
      </c>
      <c r="B113" s="2">
        <v>46269</v>
      </c>
      <c r="C113" s="3">
        <v>7</v>
      </c>
      <c r="D113" s="3" t="s">
        <v>90</v>
      </c>
      <c r="E113" s="3" t="s">
        <v>91</v>
      </c>
      <c r="F113" s="3" t="s">
        <v>92</v>
      </c>
      <c r="G113" s="3" t="s">
        <v>174</v>
      </c>
      <c r="H113" s="3" t="s">
        <v>274</v>
      </c>
      <c r="I113" s="3">
        <v>1</v>
      </c>
      <c r="J113" s="11">
        <v>90</v>
      </c>
      <c r="K113" s="4">
        <v>0.15</v>
      </c>
      <c r="L113" s="3" t="s">
        <v>95</v>
      </c>
      <c r="M113" s="3">
        <v>16</v>
      </c>
      <c r="N113" s="3">
        <v>8</v>
      </c>
      <c r="O113" s="3">
        <v>4</v>
      </c>
      <c r="P113" s="11">
        <f>Clean_Data[[#This Row],[Quantity]]*Clean_Data[[#This Row],[UnitPrice]]</f>
        <v>90</v>
      </c>
      <c r="Q113" s="11">
        <f>ROUND(Clean_Data[[#This Row],[GrossSales]]*Clean_Data[[#This Row],[DiscountPct]],2)</f>
        <v>13.5</v>
      </c>
      <c r="R113" s="11">
        <f>IF(Clean_Data[[#This Row],[Status]]="Delivered",ROUND(Clean_Data[[#This Row],[GrossSales]]-Clean_Data[[#This Row],[DiscountAmount]],2),0)</f>
        <v>76.5</v>
      </c>
      <c r="S113" s="3" t="str">
        <f>IF(Clean_Data[[#This Row],[OrderHour]]&lt;6,"Night",IF(Clean_Data[[#This Row],[OrderHour]]&lt;12,"Morning",IF(Clean_Data[[#This Row],[OrderHour]]&lt;18,"Afternoon","Evening")))</f>
        <v>Morning</v>
      </c>
      <c r="T113" s="3" t="str">
        <f>TEXT(Clean_Data[[#This Row],[OrderDate]],"[$-409]ddd")</f>
        <v>Fri</v>
      </c>
      <c r="U113" s="3">
        <f>WEEKDAY(Clean_Data[[#This Row],[OrderDate]],2)</f>
        <v>5</v>
      </c>
      <c r="V113" s="3">
        <f>INT(Clean_Data[[#This Row],[OrderHour]]/6)+1</f>
        <v>2</v>
      </c>
      <c r="W113" s="3">
        <f>IF(Clean_Data[[#This Row],[Status]]="Delivered",1,0)</f>
        <v>1</v>
      </c>
      <c r="X113" s="3">
        <f>IF(Clean_Data[[#This Row],[Status]]="Delivered",IF(Clean_Data[[#This Row],[DeliveryMinutes]]&lt;=Dashboard!$X$5,1,0),0)</f>
        <v>1</v>
      </c>
      <c r="Y1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3" s="3">
        <f>IF(AND(Clean_Data[[#This Row],[Include]]=1,Clean_Data[[#This Row],[DeliveredFlag]]=1),1,0)</f>
        <v>1</v>
      </c>
      <c r="AA113" s="1">
        <f>IF(COUNTIF($D$2:D113,D113)=1,ROW()-1,ROWS(Clean_Data[OrderID])+1)</f>
        <v>901</v>
      </c>
      <c r="AB113" s="1">
        <f>IF(COUNTIF($F$2:F113,F113)=1,ROW()-1,ROWS(Clean_Data[OrderID])+1)</f>
        <v>901</v>
      </c>
      <c r="AC113" s="1">
        <f>IF(COUNTIF($G$2:G113,G113)=1,ROW()-1,ROWS(Clean_Data[OrderID])+1)</f>
        <v>901</v>
      </c>
      <c r="AD113" s="1">
        <f>IF(COUNTIF($H$2:H113,H113)=1,ROW()-1,ROWS(Clean_Data[OrderID])+1)</f>
        <v>901</v>
      </c>
      <c r="AE113" s="1">
        <f>IF(COUNTIF($V$2:V113,V113)=1,V113,ROWS(Clean_Data[OrderID])+1)</f>
        <v>901</v>
      </c>
      <c r="AF113" s="1">
        <f>IF(COUNTIF($U$2:U113,U113)=1,U113,ROWS(Clean_Data[OrderID])+1)</f>
        <v>901</v>
      </c>
      <c r="AG113" s="1">
        <f>IF(COUNTIF($E$2:E113,E113)=1,ROW()-1,ROWS(Clean_Data[OrderID])+1)</f>
        <v>901</v>
      </c>
    </row>
    <row r="114" spans="1:33" ht="20" customHeight="1">
      <c r="A114" s="3" t="s">
        <v>330</v>
      </c>
      <c r="B114" s="2">
        <v>46269</v>
      </c>
      <c r="C114" s="3">
        <v>6</v>
      </c>
      <c r="D114" s="3" t="s">
        <v>181</v>
      </c>
      <c r="E114" s="3" t="s">
        <v>117</v>
      </c>
      <c r="F114" s="3" t="s">
        <v>109</v>
      </c>
      <c r="G114" s="3" t="s">
        <v>93</v>
      </c>
      <c r="H114" s="3" t="s">
        <v>94</v>
      </c>
      <c r="I114" s="3">
        <v>2</v>
      </c>
      <c r="J114" s="11">
        <v>95</v>
      </c>
      <c r="K114" s="4">
        <v>0.1</v>
      </c>
      <c r="L114" s="3" t="s">
        <v>95</v>
      </c>
      <c r="M114" s="3">
        <v>13</v>
      </c>
      <c r="N114" s="3">
        <v>10</v>
      </c>
      <c r="O114" s="3">
        <v>4</v>
      </c>
      <c r="P114" s="11">
        <f>Clean_Data[[#This Row],[Quantity]]*Clean_Data[[#This Row],[UnitPrice]]</f>
        <v>190</v>
      </c>
      <c r="Q114" s="11">
        <f>ROUND(Clean_Data[[#This Row],[GrossSales]]*Clean_Data[[#This Row],[DiscountPct]],2)</f>
        <v>19</v>
      </c>
      <c r="R114" s="11">
        <f>IF(Clean_Data[[#This Row],[Status]]="Delivered",ROUND(Clean_Data[[#This Row],[GrossSales]]-Clean_Data[[#This Row],[DiscountAmount]],2),0)</f>
        <v>171</v>
      </c>
      <c r="S114" s="3" t="str">
        <f>IF(Clean_Data[[#This Row],[OrderHour]]&lt;6,"Night",IF(Clean_Data[[#This Row],[OrderHour]]&lt;12,"Morning",IF(Clean_Data[[#This Row],[OrderHour]]&lt;18,"Afternoon","Evening")))</f>
        <v>Morning</v>
      </c>
      <c r="T114" s="3" t="str">
        <f>TEXT(Clean_Data[[#This Row],[OrderDate]],"[$-409]ddd")</f>
        <v>Fri</v>
      </c>
      <c r="U114" s="3">
        <f>WEEKDAY(Clean_Data[[#This Row],[OrderDate]],2)</f>
        <v>5</v>
      </c>
      <c r="V114" s="3">
        <f>INT(Clean_Data[[#This Row],[OrderHour]]/6)+1</f>
        <v>2</v>
      </c>
      <c r="W114" s="3">
        <f>IF(Clean_Data[[#This Row],[Status]]="Delivered",1,0)</f>
        <v>1</v>
      </c>
      <c r="X114" s="3">
        <f>IF(Clean_Data[[#This Row],[Status]]="Delivered",IF(Clean_Data[[#This Row],[DeliveryMinutes]]&lt;=Dashboard!$X$5,1,0),0)</f>
        <v>1</v>
      </c>
      <c r="Y1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4" s="3">
        <f>IF(AND(Clean_Data[[#This Row],[Include]]=1,Clean_Data[[#This Row],[DeliveredFlag]]=1),1,0)</f>
        <v>1</v>
      </c>
      <c r="AA114" s="1">
        <f>IF(COUNTIF($D$2:D114,D114)=1,ROW()-1,ROWS(Clean_Data[OrderID])+1)</f>
        <v>901</v>
      </c>
      <c r="AB114" s="1">
        <f>IF(COUNTIF($F$2:F114,F114)=1,ROW()-1,ROWS(Clean_Data[OrderID])+1)</f>
        <v>901</v>
      </c>
      <c r="AC114" s="1">
        <f>IF(COUNTIF($G$2:G114,G114)=1,ROW()-1,ROWS(Clean_Data[OrderID])+1)</f>
        <v>901</v>
      </c>
      <c r="AD114" s="1">
        <f>IF(COUNTIF($H$2:H114,H114)=1,ROW()-1,ROWS(Clean_Data[OrderID])+1)</f>
        <v>901</v>
      </c>
      <c r="AE114" s="1">
        <f>IF(COUNTIF($V$2:V114,V114)=1,V114,ROWS(Clean_Data[OrderID])+1)</f>
        <v>901</v>
      </c>
      <c r="AF114" s="1">
        <f>IF(COUNTIF($U$2:U114,U114)=1,U114,ROWS(Clean_Data[OrderID])+1)</f>
        <v>901</v>
      </c>
      <c r="AG114" s="1">
        <f>IF(COUNTIF($E$2:E114,E114)=1,ROW()-1,ROWS(Clean_Data[OrderID])+1)</f>
        <v>901</v>
      </c>
    </row>
    <row r="115" spans="1:33" ht="20" customHeight="1">
      <c r="A115" s="3" t="s">
        <v>331</v>
      </c>
      <c r="B115" s="2">
        <v>46269</v>
      </c>
      <c r="C115" s="3">
        <v>12</v>
      </c>
      <c r="D115" s="3" t="s">
        <v>332</v>
      </c>
      <c r="E115" s="3" t="s">
        <v>91</v>
      </c>
      <c r="F115" s="3" t="s">
        <v>139</v>
      </c>
      <c r="G115" s="3" t="s">
        <v>110</v>
      </c>
      <c r="H115" s="3" t="s">
        <v>206</v>
      </c>
      <c r="I115" s="3">
        <v>5</v>
      </c>
      <c r="J115" s="11">
        <v>220</v>
      </c>
      <c r="K115" s="4">
        <v>0.15</v>
      </c>
      <c r="L115" s="3" t="s">
        <v>95</v>
      </c>
      <c r="M115" s="3">
        <v>22</v>
      </c>
      <c r="N115" s="3">
        <v>6</v>
      </c>
      <c r="O115" s="3">
        <v>5</v>
      </c>
      <c r="P115" s="11">
        <f>Clean_Data[[#This Row],[Quantity]]*Clean_Data[[#This Row],[UnitPrice]]</f>
        <v>1100</v>
      </c>
      <c r="Q115" s="11">
        <f>ROUND(Clean_Data[[#This Row],[GrossSales]]*Clean_Data[[#This Row],[DiscountPct]],2)</f>
        <v>165</v>
      </c>
      <c r="R115" s="11">
        <f>IF(Clean_Data[[#This Row],[Status]]="Delivered",ROUND(Clean_Data[[#This Row],[GrossSales]]-Clean_Data[[#This Row],[DiscountAmount]],2),0)</f>
        <v>935</v>
      </c>
      <c r="S115" s="3" t="str">
        <f>IF(Clean_Data[[#This Row],[OrderHour]]&lt;6,"Night",IF(Clean_Data[[#This Row],[OrderHour]]&lt;12,"Morning",IF(Clean_Data[[#This Row],[OrderHour]]&lt;18,"Afternoon","Evening")))</f>
        <v>Afternoon</v>
      </c>
      <c r="T115" s="3" t="str">
        <f>TEXT(Clean_Data[[#This Row],[OrderDate]],"[$-409]ddd")</f>
        <v>Fri</v>
      </c>
      <c r="U115" s="3">
        <f>WEEKDAY(Clean_Data[[#This Row],[OrderDate]],2)</f>
        <v>5</v>
      </c>
      <c r="V115" s="3">
        <f>INT(Clean_Data[[#This Row],[OrderHour]]/6)+1</f>
        <v>3</v>
      </c>
      <c r="W115" s="3">
        <f>IF(Clean_Data[[#This Row],[Status]]="Delivered",1,0)</f>
        <v>1</v>
      </c>
      <c r="X115" s="3">
        <f>IF(Clean_Data[[#This Row],[Status]]="Delivered",IF(Clean_Data[[#This Row],[DeliveryMinutes]]&lt;=Dashboard!$X$5,1,0),0)</f>
        <v>1</v>
      </c>
      <c r="Y1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5" s="3">
        <f>IF(AND(Clean_Data[[#This Row],[Include]]=1,Clean_Data[[#This Row],[DeliveredFlag]]=1),1,0)</f>
        <v>1</v>
      </c>
      <c r="AA115" s="1">
        <f>IF(COUNTIF($D$2:D115,D115)=1,ROW()-1,ROWS(Clean_Data[OrderID])+1)</f>
        <v>114</v>
      </c>
      <c r="AB115" s="1">
        <f>IF(COUNTIF($F$2:F115,F115)=1,ROW()-1,ROWS(Clean_Data[OrderID])+1)</f>
        <v>901</v>
      </c>
      <c r="AC115" s="1">
        <f>IF(COUNTIF($G$2:G115,G115)=1,ROW()-1,ROWS(Clean_Data[OrderID])+1)</f>
        <v>901</v>
      </c>
      <c r="AD115" s="1">
        <f>IF(COUNTIF($H$2:H115,H115)=1,ROW()-1,ROWS(Clean_Data[OrderID])+1)</f>
        <v>901</v>
      </c>
      <c r="AE115" s="1">
        <f>IF(COUNTIF($V$2:V115,V115)=1,V115,ROWS(Clean_Data[OrderID])+1)</f>
        <v>901</v>
      </c>
      <c r="AF115" s="1">
        <f>IF(COUNTIF($U$2:U115,U115)=1,U115,ROWS(Clean_Data[OrderID])+1)</f>
        <v>901</v>
      </c>
      <c r="AG115" s="1">
        <f>IF(COUNTIF($E$2:E115,E115)=1,ROW()-1,ROWS(Clean_Data[OrderID])+1)</f>
        <v>901</v>
      </c>
    </row>
    <row r="116" spans="1:33" ht="20" customHeight="1">
      <c r="A116" s="3" t="s">
        <v>333</v>
      </c>
      <c r="B116" s="2">
        <v>46269</v>
      </c>
      <c r="C116" s="3">
        <v>12</v>
      </c>
      <c r="D116" s="3" t="s">
        <v>334</v>
      </c>
      <c r="E116" s="3" t="s">
        <v>91</v>
      </c>
      <c r="F116" s="3" t="s">
        <v>92</v>
      </c>
      <c r="G116" s="3" t="s">
        <v>99</v>
      </c>
      <c r="H116" s="3" t="s">
        <v>130</v>
      </c>
      <c r="I116" s="3">
        <v>5</v>
      </c>
      <c r="J116" s="11">
        <v>85</v>
      </c>
      <c r="K116" s="4">
        <v>0.1</v>
      </c>
      <c r="L116" s="3" t="s">
        <v>95</v>
      </c>
      <c r="M116" s="3">
        <v>18</v>
      </c>
      <c r="N116" s="3">
        <v>6</v>
      </c>
      <c r="O116" s="3">
        <v>5</v>
      </c>
      <c r="P116" s="11">
        <f>Clean_Data[[#This Row],[Quantity]]*Clean_Data[[#This Row],[UnitPrice]]</f>
        <v>425</v>
      </c>
      <c r="Q116" s="11">
        <f>ROUND(Clean_Data[[#This Row],[GrossSales]]*Clean_Data[[#This Row],[DiscountPct]],2)</f>
        <v>42.5</v>
      </c>
      <c r="R116" s="11">
        <f>IF(Clean_Data[[#This Row],[Status]]="Delivered",ROUND(Clean_Data[[#This Row],[GrossSales]]-Clean_Data[[#This Row],[DiscountAmount]],2),0)</f>
        <v>382.5</v>
      </c>
      <c r="S116" s="3" t="str">
        <f>IF(Clean_Data[[#This Row],[OrderHour]]&lt;6,"Night",IF(Clean_Data[[#This Row],[OrderHour]]&lt;12,"Morning",IF(Clean_Data[[#This Row],[OrderHour]]&lt;18,"Afternoon","Evening")))</f>
        <v>Afternoon</v>
      </c>
      <c r="T116" s="3" t="str">
        <f>TEXT(Clean_Data[[#This Row],[OrderDate]],"[$-409]ddd")</f>
        <v>Fri</v>
      </c>
      <c r="U116" s="3">
        <f>WEEKDAY(Clean_Data[[#This Row],[OrderDate]],2)</f>
        <v>5</v>
      </c>
      <c r="V116" s="3">
        <f>INT(Clean_Data[[#This Row],[OrderHour]]/6)+1</f>
        <v>3</v>
      </c>
      <c r="W116" s="3">
        <f>IF(Clean_Data[[#This Row],[Status]]="Delivered",1,0)</f>
        <v>1</v>
      </c>
      <c r="X116" s="3">
        <f>IF(Clean_Data[[#This Row],[Status]]="Delivered",IF(Clean_Data[[#This Row],[DeliveryMinutes]]&lt;=Dashboard!$X$5,1,0),0)</f>
        <v>1</v>
      </c>
      <c r="Y1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6" s="3">
        <f>IF(AND(Clean_Data[[#This Row],[Include]]=1,Clean_Data[[#This Row],[DeliveredFlag]]=1),1,0)</f>
        <v>1</v>
      </c>
      <c r="AA116" s="1">
        <f>IF(COUNTIF($D$2:D116,D116)=1,ROW()-1,ROWS(Clean_Data[OrderID])+1)</f>
        <v>115</v>
      </c>
      <c r="AB116" s="1">
        <f>IF(COUNTIF($F$2:F116,F116)=1,ROW()-1,ROWS(Clean_Data[OrderID])+1)</f>
        <v>901</v>
      </c>
      <c r="AC116" s="1">
        <f>IF(COUNTIF($G$2:G116,G116)=1,ROW()-1,ROWS(Clean_Data[OrderID])+1)</f>
        <v>901</v>
      </c>
      <c r="AD116" s="1">
        <f>IF(COUNTIF($H$2:H116,H116)=1,ROW()-1,ROWS(Clean_Data[OrderID])+1)</f>
        <v>901</v>
      </c>
      <c r="AE116" s="1">
        <f>IF(COUNTIF($V$2:V116,V116)=1,V116,ROWS(Clean_Data[OrderID])+1)</f>
        <v>901</v>
      </c>
      <c r="AF116" s="1">
        <f>IF(COUNTIF($U$2:U116,U116)=1,U116,ROWS(Clean_Data[OrderID])+1)</f>
        <v>901</v>
      </c>
      <c r="AG116" s="1">
        <f>IF(COUNTIF($E$2:E116,E116)=1,ROW()-1,ROWS(Clean_Data[OrderID])+1)</f>
        <v>901</v>
      </c>
    </row>
    <row r="117" spans="1:33" ht="20" customHeight="1">
      <c r="A117" s="3" t="s">
        <v>335</v>
      </c>
      <c r="B117" s="2">
        <v>46269</v>
      </c>
      <c r="C117" s="3">
        <v>19</v>
      </c>
      <c r="D117" s="3" t="s">
        <v>138</v>
      </c>
      <c r="E117" s="3" t="s">
        <v>91</v>
      </c>
      <c r="F117" s="3" t="s">
        <v>98</v>
      </c>
      <c r="G117" s="3" t="s">
        <v>122</v>
      </c>
      <c r="H117" s="3" t="s">
        <v>123</v>
      </c>
      <c r="I117" s="3">
        <v>5</v>
      </c>
      <c r="J117" s="11">
        <v>45</v>
      </c>
      <c r="K117" s="4">
        <v>0.1</v>
      </c>
      <c r="L117" s="3" t="s">
        <v>95</v>
      </c>
      <c r="M117" s="3">
        <v>23</v>
      </c>
      <c r="N117" s="3">
        <v>13</v>
      </c>
      <c r="O117" s="3">
        <v>3</v>
      </c>
      <c r="P117" s="11">
        <f>Clean_Data[[#This Row],[Quantity]]*Clean_Data[[#This Row],[UnitPrice]]</f>
        <v>225</v>
      </c>
      <c r="Q117" s="11">
        <f>ROUND(Clean_Data[[#This Row],[GrossSales]]*Clean_Data[[#This Row],[DiscountPct]],2)</f>
        <v>22.5</v>
      </c>
      <c r="R117" s="11">
        <f>IF(Clean_Data[[#This Row],[Status]]="Delivered",ROUND(Clean_Data[[#This Row],[GrossSales]]-Clean_Data[[#This Row],[DiscountAmount]],2),0)</f>
        <v>202.5</v>
      </c>
      <c r="S117" s="3" t="str">
        <f>IF(Clean_Data[[#This Row],[OrderHour]]&lt;6,"Night",IF(Clean_Data[[#This Row],[OrderHour]]&lt;12,"Morning",IF(Clean_Data[[#This Row],[OrderHour]]&lt;18,"Afternoon","Evening")))</f>
        <v>Evening</v>
      </c>
      <c r="T117" s="3" t="str">
        <f>TEXT(Clean_Data[[#This Row],[OrderDate]],"[$-409]ddd")</f>
        <v>Fri</v>
      </c>
      <c r="U117" s="3">
        <f>WEEKDAY(Clean_Data[[#This Row],[OrderDate]],2)</f>
        <v>5</v>
      </c>
      <c r="V117" s="3">
        <f>INT(Clean_Data[[#This Row],[OrderHour]]/6)+1</f>
        <v>4</v>
      </c>
      <c r="W117" s="3">
        <f>IF(Clean_Data[[#This Row],[Status]]="Delivered",1,0)</f>
        <v>1</v>
      </c>
      <c r="X117" s="3">
        <f>IF(Clean_Data[[#This Row],[Status]]="Delivered",IF(Clean_Data[[#This Row],[DeliveryMinutes]]&lt;=Dashboard!$X$5,1,0),0)</f>
        <v>1</v>
      </c>
      <c r="Y1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7" s="3">
        <f>IF(AND(Clean_Data[[#This Row],[Include]]=1,Clean_Data[[#This Row],[DeliveredFlag]]=1),1,0)</f>
        <v>1</v>
      </c>
      <c r="AA117" s="1">
        <f>IF(COUNTIF($D$2:D117,D117)=1,ROW()-1,ROWS(Clean_Data[OrderID])+1)</f>
        <v>901</v>
      </c>
      <c r="AB117" s="1">
        <f>IF(COUNTIF($F$2:F117,F117)=1,ROW()-1,ROWS(Clean_Data[OrderID])+1)</f>
        <v>901</v>
      </c>
      <c r="AC117" s="1">
        <f>IF(COUNTIF($G$2:G117,G117)=1,ROW()-1,ROWS(Clean_Data[OrderID])+1)</f>
        <v>901</v>
      </c>
      <c r="AD117" s="1">
        <f>IF(COUNTIF($H$2:H117,H117)=1,ROW()-1,ROWS(Clean_Data[OrderID])+1)</f>
        <v>901</v>
      </c>
      <c r="AE117" s="1">
        <f>IF(COUNTIF($V$2:V117,V117)=1,V117,ROWS(Clean_Data[OrderID])+1)</f>
        <v>901</v>
      </c>
      <c r="AF117" s="1">
        <f>IF(COUNTIF($U$2:U117,U117)=1,U117,ROWS(Clean_Data[OrderID])+1)</f>
        <v>901</v>
      </c>
      <c r="AG117" s="1">
        <f>IF(COUNTIF($E$2:E117,E117)=1,ROW()-1,ROWS(Clean_Data[OrderID])+1)</f>
        <v>901</v>
      </c>
    </row>
    <row r="118" spans="1:33" ht="20" customHeight="1">
      <c r="A118" s="3" t="s">
        <v>336</v>
      </c>
      <c r="B118" s="2">
        <v>46269</v>
      </c>
      <c r="C118" s="3">
        <v>11</v>
      </c>
      <c r="D118" s="3" t="s">
        <v>337</v>
      </c>
      <c r="E118" s="3" t="s">
        <v>117</v>
      </c>
      <c r="F118" s="3" t="s">
        <v>121</v>
      </c>
      <c r="G118" s="3" t="s">
        <v>174</v>
      </c>
      <c r="H118" s="3" t="s">
        <v>184</v>
      </c>
      <c r="I118" s="3">
        <v>2</v>
      </c>
      <c r="J118" s="11">
        <v>62</v>
      </c>
      <c r="K118" s="4">
        <v>0.1</v>
      </c>
      <c r="L118" s="3" t="s">
        <v>95</v>
      </c>
      <c r="M118" s="3">
        <v>12</v>
      </c>
      <c r="N118" s="3">
        <v>4</v>
      </c>
      <c r="O118" s="3">
        <v>5</v>
      </c>
      <c r="P118" s="11">
        <f>Clean_Data[[#This Row],[Quantity]]*Clean_Data[[#This Row],[UnitPrice]]</f>
        <v>124</v>
      </c>
      <c r="Q118" s="11">
        <f>ROUND(Clean_Data[[#This Row],[GrossSales]]*Clean_Data[[#This Row],[DiscountPct]],2)</f>
        <v>12.4</v>
      </c>
      <c r="R118" s="11">
        <f>IF(Clean_Data[[#This Row],[Status]]="Delivered",ROUND(Clean_Data[[#This Row],[GrossSales]]-Clean_Data[[#This Row],[DiscountAmount]],2),0)</f>
        <v>111.6</v>
      </c>
      <c r="S118" s="3" t="str">
        <f>IF(Clean_Data[[#This Row],[OrderHour]]&lt;6,"Night",IF(Clean_Data[[#This Row],[OrderHour]]&lt;12,"Morning",IF(Clean_Data[[#This Row],[OrderHour]]&lt;18,"Afternoon","Evening")))</f>
        <v>Morning</v>
      </c>
      <c r="T118" s="3" t="str">
        <f>TEXT(Clean_Data[[#This Row],[OrderDate]],"[$-409]ddd")</f>
        <v>Fri</v>
      </c>
      <c r="U118" s="3">
        <f>WEEKDAY(Clean_Data[[#This Row],[OrderDate]],2)</f>
        <v>5</v>
      </c>
      <c r="V118" s="3">
        <f>INT(Clean_Data[[#This Row],[OrderHour]]/6)+1</f>
        <v>2</v>
      </c>
      <c r="W118" s="3">
        <f>IF(Clean_Data[[#This Row],[Status]]="Delivered",1,0)</f>
        <v>1</v>
      </c>
      <c r="X118" s="3">
        <f>IF(Clean_Data[[#This Row],[Status]]="Delivered",IF(Clean_Data[[#This Row],[DeliveryMinutes]]&lt;=Dashboard!$X$5,1,0),0)</f>
        <v>1</v>
      </c>
      <c r="Y1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8" s="3">
        <f>IF(AND(Clean_Data[[#This Row],[Include]]=1,Clean_Data[[#This Row],[DeliveredFlag]]=1),1,0)</f>
        <v>1</v>
      </c>
      <c r="AA118" s="1">
        <f>IF(COUNTIF($D$2:D118,D118)=1,ROW()-1,ROWS(Clean_Data[OrderID])+1)</f>
        <v>117</v>
      </c>
      <c r="AB118" s="1">
        <f>IF(COUNTIF($F$2:F118,F118)=1,ROW()-1,ROWS(Clean_Data[OrderID])+1)</f>
        <v>901</v>
      </c>
      <c r="AC118" s="1">
        <f>IF(COUNTIF($G$2:G118,G118)=1,ROW()-1,ROWS(Clean_Data[OrderID])+1)</f>
        <v>901</v>
      </c>
      <c r="AD118" s="1">
        <f>IF(COUNTIF($H$2:H118,H118)=1,ROW()-1,ROWS(Clean_Data[OrderID])+1)</f>
        <v>901</v>
      </c>
      <c r="AE118" s="1">
        <f>IF(COUNTIF($V$2:V118,V118)=1,V118,ROWS(Clean_Data[OrderID])+1)</f>
        <v>901</v>
      </c>
      <c r="AF118" s="1">
        <f>IF(COUNTIF($U$2:U118,U118)=1,U118,ROWS(Clean_Data[OrderID])+1)</f>
        <v>901</v>
      </c>
      <c r="AG118" s="1">
        <f>IF(COUNTIF($E$2:E118,E118)=1,ROW()-1,ROWS(Clean_Data[OrderID])+1)</f>
        <v>901</v>
      </c>
    </row>
    <row r="119" spans="1:33" ht="20" customHeight="1">
      <c r="A119" s="3" t="s">
        <v>338</v>
      </c>
      <c r="B119" s="2">
        <v>46269</v>
      </c>
      <c r="C119" s="3">
        <v>12</v>
      </c>
      <c r="D119" s="3" t="s">
        <v>186</v>
      </c>
      <c r="E119" s="3" t="s">
        <v>117</v>
      </c>
      <c r="F119" s="3" t="s">
        <v>139</v>
      </c>
      <c r="G119" s="3" t="s">
        <v>174</v>
      </c>
      <c r="H119" s="3" t="s">
        <v>175</v>
      </c>
      <c r="I119" s="3">
        <v>3</v>
      </c>
      <c r="J119" s="11">
        <v>155</v>
      </c>
      <c r="K119" s="4">
        <v>0.1</v>
      </c>
      <c r="L119" s="3" t="s">
        <v>95</v>
      </c>
      <c r="M119" s="3">
        <v>33</v>
      </c>
      <c r="N119" s="3">
        <v>6</v>
      </c>
      <c r="O119" s="3">
        <v>5</v>
      </c>
      <c r="P119" s="11">
        <f>Clean_Data[[#This Row],[Quantity]]*Clean_Data[[#This Row],[UnitPrice]]</f>
        <v>465</v>
      </c>
      <c r="Q119" s="11">
        <f>ROUND(Clean_Data[[#This Row],[GrossSales]]*Clean_Data[[#This Row],[DiscountPct]],2)</f>
        <v>46.5</v>
      </c>
      <c r="R119" s="11">
        <f>IF(Clean_Data[[#This Row],[Status]]="Delivered",ROUND(Clean_Data[[#This Row],[GrossSales]]-Clean_Data[[#This Row],[DiscountAmount]],2),0)</f>
        <v>418.5</v>
      </c>
      <c r="S119" s="3" t="str">
        <f>IF(Clean_Data[[#This Row],[OrderHour]]&lt;6,"Night",IF(Clean_Data[[#This Row],[OrderHour]]&lt;12,"Morning",IF(Clean_Data[[#This Row],[OrderHour]]&lt;18,"Afternoon","Evening")))</f>
        <v>Afternoon</v>
      </c>
      <c r="T119" s="3" t="str">
        <f>TEXT(Clean_Data[[#This Row],[OrderDate]],"[$-409]ddd")</f>
        <v>Fri</v>
      </c>
      <c r="U119" s="3">
        <f>WEEKDAY(Clean_Data[[#This Row],[OrderDate]],2)</f>
        <v>5</v>
      </c>
      <c r="V119" s="3">
        <f>INT(Clean_Data[[#This Row],[OrderHour]]/6)+1</f>
        <v>3</v>
      </c>
      <c r="W119" s="3">
        <f>IF(Clean_Data[[#This Row],[Status]]="Delivered",1,0)</f>
        <v>1</v>
      </c>
      <c r="X119" s="3">
        <f>IF(Clean_Data[[#This Row],[Status]]="Delivered",IF(Clean_Data[[#This Row],[DeliveryMinutes]]&lt;=Dashboard!$X$5,1,0),0)</f>
        <v>0</v>
      </c>
      <c r="Y1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19" s="3">
        <f>IF(AND(Clean_Data[[#This Row],[Include]]=1,Clean_Data[[#This Row],[DeliveredFlag]]=1),1,0)</f>
        <v>1</v>
      </c>
      <c r="AA119" s="1">
        <f>IF(COUNTIF($D$2:D119,D119)=1,ROW()-1,ROWS(Clean_Data[OrderID])+1)</f>
        <v>901</v>
      </c>
      <c r="AB119" s="1">
        <f>IF(COUNTIF($F$2:F119,F119)=1,ROW()-1,ROWS(Clean_Data[OrderID])+1)</f>
        <v>901</v>
      </c>
      <c r="AC119" s="1">
        <f>IF(COUNTIF($G$2:G119,G119)=1,ROW()-1,ROWS(Clean_Data[OrderID])+1)</f>
        <v>901</v>
      </c>
      <c r="AD119" s="1">
        <f>IF(COUNTIF($H$2:H119,H119)=1,ROW()-1,ROWS(Clean_Data[OrderID])+1)</f>
        <v>901</v>
      </c>
      <c r="AE119" s="1">
        <f>IF(COUNTIF($V$2:V119,V119)=1,V119,ROWS(Clean_Data[OrderID])+1)</f>
        <v>901</v>
      </c>
      <c r="AF119" s="1">
        <f>IF(COUNTIF($U$2:U119,U119)=1,U119,ROWS(Clean_Data[OrderID])+1)</f>
        <v>901</v>
      </c>
      <c r="AG119" s="1">
        <f>IF(COUNTIF($E$2:E119,E119)=1,ROW()-1,ROWS(Clean_Data[OrderID])+1)</f>
        <v>901</v>
      </c>
    </row>
    <row r="120" spans="1:33" ht="20" customHeight="1">
      <c r="A120" s="3" t="s">
        <v>339</v>
      </c>
      <c r="B120" s="2">
        <v>46269</v>
      </c>
      <c r="C120" s="3">
        <v>11</v>
      </c>
      <c r="D120" s="3" t="s">
        <v>340</v>
      </c>
      <c r="E120" s="3" t="s">
        <v>91</v>
      </c>
      <c r="F120" s="3" t="s">
        <v>109</v>
      </c>
      <c r="G120" s="3" t="s">
        <v>110</v>
      </c>
      <c r="H120" s="3" t="s">
        <v>111</v>
      </c>
      <c r="I120" s="3">
        <v>4</v>
      </c>
      <c r="J120" s="11">
        <v>115</v>
      </c>
      <c r="K120" s="4">
        <v>0.05</v>
      </c>
      <c r="L120" s="3" t="s">
        <v>95</v>
      </c>
      <c r="M120" s="3">
        <v>35</v>
      </c>
      <c r="N120" s="3">
        <v>12</v>
      </c>
      <c r="O120" s="3">
        <v>3</v>
      </c>
      <c r="P120" s="11">
        <f>Clean_Data[[#This Row],[Quantity]]*Clean_Data[[#This Row],[UnitPrice]]</f>
        <v>460</v>
      </c>
      <c r="Q120" s="11">
        <f>ROUND(Clean_Data[[#This Row],[GrossSales]]*Clean_Data[[#This Row],[DiscountPct]],2)</f>
        <v>23</v>
      </c>
      <c r="R120" s="11">
        <f>IF(Clean_Data[[#This Row],[Status]]="Delivered",ROUND(Clean_Data[[#This Row],[GrossSales]]-Clean_Data[[#This Row],[DiscountAmount]],2),0)</f>
        <v>437</v>
      </c>
      <c r="S120" s="3" t="str">
        <f>IF(Clean_Data[[#This Row],[OrderHour]]&lt;6,"Night",IF(Clean_Data[[#This Row],[OrderHour]]&lt;12,"Morning",IF(Clean_Data[[#This Row],[OrderHour]]&lt;18,"Afternoon","Evening")))</f>
        <v>Morning</v>
      </c>
      <c r="T120" s="3" t="str">
        <f>TEXT(Clean_Data[[#This Row],[OrderDate]],"[$-409]ddd")</f>
        <v>Fri</v>
      </c>
      <c r="U120" s="3">
        <f>WEEKDAY(Clean_Data[[#This Row],[OrderDate]],2)</f>
        <v>5</v>
      </c>
      <c r="V120" s="3">
        <f>INT(Clean_Data[[#This Row],[OrderHour]]/6)+1</f>
        <v>2</v>
      </c>
      <c r="W120" s="3">
        <f>IF(Clean_Data[[#This Row],[Status]]="Delivered",1,0)</f>
        <v>1</v>
      </c>
      <c r="X120" s="3">
        <f>IF(Clean_Data[[#This Row],[Status]]="Delivered",IF(Clean_Data[[#This Row],[DeliveryMinutes]]&lt;=Dashboard!$X$5,1,0),0)</f>
        <v>0</v>
      </c>
      <c r="Y1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0" s="3">
        <f>IF(AND(Clean_Data[[#This Row],[Include]]=1,Clean_Data[[#This Row],[DeliveredFlag]]=1),1,0)</f>
        <v>1</v>
      </c>
      <c r="AA120" s="1">
        <f>IF(COUNTIF($D$2:D120,D120)=1,ROW()-1,ROWS(Clean_Data[OrderID])+1)</f>
        <v>119</v>
      </c>
      <c r="AB120" s="1">
        <f>IF(COUNTIF($F$2:F120,F120)=1,ROW()-1,ROWS(Clean_Data[OrderID])+1)</f>
        <v>901</v>
      </c>
      <c r="AC120" s="1">
        <f>IF(COUNTIF($G$2:G120,G120)=1,ROW()-1,ROWS(Clean_Data[OrderID])+1)</f>
        <v>901</v>
      </c>
      <c r="AD120" s="1">
        <f>IF(COUNTIF($H$2:H120,H120)=1,ROW()-1,ROWS(Clean_Data[OrderID])+1)</f>
        <v>901</v>
      </c>
      <c r="AE120" s="1">
        <f>IF(COUNTIF($V$2:V120,V120)=1,V120,ROWS(Clean_Data[OrderID])+1)</f>
        <v>901</v>
      </c>
      <c r="AF120" s="1">
        <f>IF(COUNTIF($U$2:U120,U120)=1,U120,ROWS(Clean_Data[OrderID])+1)</f>
        <v>901</v>
      </c>
      <c r="AG120" s="1">
        <f>IF(COUNTIF($E$2:E120,E120)=1,ROW()-1,ROWS(Clean_Data[OrderID])+1)</f>
        <v>901</v>
      </c>
    </row>
    <row r="121" spans="1:33" ht="20" customHeight="1">
      <c r="A121" s="3" t="s">
        <v>341</v>
      </c>
      <c r="B121" s="2">
        <v>46269</v>
      </c>
      <c r="C121" s="3">
        <v>23</v>
      </c>
      <c r="D121" s="3" t="s">
        <v>342</v>
      </c>
      <c r="E121" s="3" t="s">
        <v>91</v>
      </c>
      <c r="F121" s="3" t="s">
        <v>92</v>
      </c>
      <c r="G121" s="3" t="s">
        <v>93</v>
      </c>
      <c r="H121" s="3" t="s">
        <v>94</v>
      </c>
      <c r="I121" s="3">
        <v>4</v>
      </c>
      <c r="J121" s="11">
        <v>95</v>
      </c>
      <c r="K121" s="4">
        <v>0.1</v>
      </c>
      <c r="L121" s="3" t="s">
        <v>95</v>
      </c>
      <c r="M121" s="3">
        <v>19</v>
      </c>
      <c r="N121" s="3">
        <v>7</v>
      </c>
      <c r="O121" s="3">
        <v>4</v>
      </c>
      <c r="P121" s="11">
        <f>Clean_Data[[#This Row],[Quantity]]*Clean_Data[[#This Row],[UnitPrice]]</f>
        <v>380</v>
      </c>
      <c r="Q121" s="11">
        <f>ROUND(Clean_Data[[#This Row],[GrossSales]]*Clean_Data[[#This Row],[DiscountPct]],2)</f>
        <v>38</v>
      </c>
      <c r="R121" s="11">
        <f>IF(Clean_Data[[#This Row],[Status]]="Delivered",ROUND(Clean_Data[[#This Row],[GrossSales]]-Clean_Data[[#This Row],[DiscountAmount]],2),0)</f>
        <v>342</v>
      </c>
      <c r="S121" s="3" t="str">
        <f>IF(Clean_Data[[#This Row],[OrderHour]]&lt;6,"Night",IF(Clean_Data[[#This Row],[OrderHour]]&lt;12,"Morning",IF(Clean_Data[[#This Row],[OrderHour]]&lt;18,"Afternoon","Evening")))</f>
        <v>Evening</v>
      </c>
      <c r="T121" s="3" t="str">
        <f>TEXT(Clean_Data[[#This Row],[OrderDate]],"[$-409]ddd")</f>
        <v>Fri</v>
      </c>
      <c r="U121" s="3">
        <f>WEEKDAY(Clean_Data[[#This Row],[OrderDate]],2)</f>
        <v>5</v>
      </c>
      <c r="V121" s="3">
        <f>INT(Clean_Data[[#This Row],[OrderHour]]/6)+1</f>
        <v>4</v>
      </c>
      <c r="W121" s="3">
        <f>IF(Clean_Data[[#This Row],[Status]]="Delivered",1,0)</f>
        <v>1</v>
      </c>
      <c r="X121" s="3">
        <f>IF(Clean_Data[[#This Row],[Status]]="Delivered",IF(Clean_Data[[#This Row],[DeliveryMinutes]]&lt;=Dashboard!$X$5,1,0),0)</f>
        <v>1</v>
      </c>
      <c r="Y1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1" s="3">
        <f>IF(AND(Clean_Data[[#This Row],[Include]]=1,Clean_Data[[#This Row],[DeliveredFlag]]=1),1,0)</f>
        <v>1</v>
      </c>
      <c r="AA121" s="1">
        <f>IF(COUNTIF($D$2:D121,D121)=1,ROW()-1,ROWS(Clean_Data[OrderID])+1)</f>
        <v>120</v>
      </c>
      <c r="AB121" s="1">
        <f>IF(COUNTIF($F$2:F121,F121)=1,ROW()-1,ROWS(Clean_Data[OrderID])+1)</f>
        <v>901</v>
      </c>
      <c r="AC121" s="1">
        <f>IF(COUNTIF($G$2:G121,G121)=1,ROW()-1,ROWS(Clean_Data[OrderID])+1)</f>
        <v>901</v>
      </c>
      <c r="AD121" s="1">
        <f>IF(COUNTIF($H$2:H121,H121)=1,ROW()-1,ROWS(Clean_Data[OrderID])+1)</f>
        <v>901</v>
      </c>
      <c r="AE121" s="1">
        <f>IF(COUNTIF($V$2:V121,V121)=1,V121,ROWS(Clean_Data[OrderID])+1)</f>
        <v>901</v>
      </c>
      <c r="AF121" s="1">
        <f>IF(COUNTIF($U$2:U121,U121)=1,U121,ROWS(Clean_Data[OrderID])+1)</f>
        <v>901</v>
      </c>
      <c r="AG121" s="1">
        <f>IF(COUNTIF($E$2:E121,E121)=1,ROW()-1,ROWS(Clean_Data[OrderID])+1)</f>
        <v>901</v>
      </c>
    </row>
    <row r="122" spans="1:33" ht="20" customHeight="1">
      <c r="A122" s="3" t="s">
        <v>343</v>
      </c>
      <c r="B122" s="2">
        <v>46270</v>
      </c>
      <c r="C122" s="3">
        <v>8</v>
      </c>
      <c r="D122" s="3" t="s">
        <v>271</v>
      </c>
      <c r="E122" s="3" t="s">
        <v>91</v>
      </c>
      <c r="F122" s="3" t="s">
        <v>121</v>
      </c>
      <c r="G122" s="3" t="s">
        <v>93</v>
      </c>
      <c r="H122" s="3" t="s">
        <v>146</v>
      </c>
      <c r="I122" s="3">
        <v>3</v>
      </c>
      <c r="J122" s="11">
        <v>110</v>
      </c>
      <c r="K122" s="4">
        <v>0</v>
      </c>
      <c r="L122" s="3" t="s">
        <v>95</v>
      </c>
      <c r="M122" s="3">
        <v>31</v>
      </c>
      <c r="N122" s="3">
        <v>4</v>
      </c>
      <c r="O122" s="3">
        <v>5</v>
      </c>
      <c r="P122" s="11">
        <f>Clean_Data[[#This Row],[Quantity]]*Clean_Data[[#This Row],[UnitPrice]]</f>
        <v>330</v>
      </c>
      <c r="Q122" s="11">
        <f>ROUND(Clean_Data[[#This Row],[GrossSales]]*Clean_Data[[#This Row],[DiscountPct]],2)</f>
        <v>0</v>
      </c>
      <c r="R122" s="11">
        <f>IF(Clean_Data[[#This Row],[Status]]="Delivered",ROUND(Clean_Data[[#This Row],[GrossSales]]-Clean_Data[[#This Row],[DiscountAmount]],2),0)</f>
        <v>330</v>
      </c>
      <c r="S122" s="3" t="str">
        <f>IF(Clean_Data[[#This Row],[OrderHour]]&lt;6,"Night",IF(Clean_Data[[#This Row],[OrderHour]]&lt;12,"Morning",IF(Clean_Data[[#This Row],[OrderHour]]&lt;18,"Afternoon","Evening")))</f>
        <v>Morning</v>
      </c>
      <c r="T122" s="3" t="str">
        <f>TEXT(Clean_Data[[#This Row],[OrderDate]],"[$-409]ddd")</f>
        <v>Sat</v>
      </c>
      <c r="U122" s="3">
        <f>WEEKDAY(Clean_Data[[#This Row],[OrderDate]],2)</f>
        <v>6</v>
      </c>
      <c r="V122" s="3">
        <f>INT(Clean_Data[[#This Row],[OrderHour]]/6)+1</f>
        <v>2</v>
      </c>
      <c r="W122" s="3">
        <f>IF(Clean_Data[[#This Row],[Status]]="Delivered",1,0)</f>
        <v>1</v>
      </c>
      <c r="X122" s="3">
        <f>IF(Clean_Data[[#This Row],[Status]]="Delivered",IF(Clean_Data[[#This Row],[DeliveryMinutes]]&lt;=Dashboard!$X$5,1,0),0)</f>
        <v>0</v>
      </c>
      <c r="Y1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2" s="3">
        <f>IF(AND(Clean_Data[[#This Row],[Include]]=1,Clean_Data[[#This Row],[DeliveredFlag]]=1),1,0)</f>
        <v>1</v>
      </c>
      <c r="AA122" s="1">
        <f>IF(COUNTIF($D$2:D122,D122)=1,ROW()-1,ROWS(Clean_Data[OrderID])+1)</f>
        <v>901</v>
      </c>
      <c r="AB122" s="1">
        <f>IF(COUNTIF($F$2:F122,F122)=1,ROW()-1,ROWS(Clean_Data[OrderID])+1)</f>
        <v>901</v>
      </c>
      <c r="AC122" s="1">
        <f>IF(COUNTIF($G$2:G122,G122)=1,ROW()-1,ROWS(Clean_Data[OrderID])+1)</f>
        <v>901</v>
      </c>
      <c r="AD122" s="1">
        <f>IF(COUNTIF($H$2:H122,H122)=1,ROW()-1,ROWS(Clean_Data[OrderID])+1)</f>
        <v>901</v>
      </c>
      <c r="AE122" s="1">
        <f>IF(COUNTIF($V$2:V122,V122)=1,V122,ROWS(Clean_Data[OrderID])+1)</f>
        <v>901</v>
      </c>
      <c r="AF122" s="1">
        <f>IF(COUNTIF($U$2:U122,U122)=1,U122,ROWS(Clean_Data[OrderID])+1)</f>
        <v>6</v>
      </c>
      <c r="AG122" s="1">
        <f>IF(COUNTIF($E$2:E122,E122)=1,ROW()-1,ROWS(Clean_Data[OrderID])+1)</f>
        <v>901</v>
      </c>
    </row>
    <row r="123" spans="1:33" ht="20" customHeight="1">
      <c r="A123" s="3" t="s">
        <v>344</v>
      </c>
      <c r="B123" s="2">
        <v>46270</v>
      </c>
      <c r="C123" s="3">
        <v>19</v>
      </c>
      <c r="D123" s="3" t="s">
        <v>345</v>
      </c>
      <c r="E123" s="3" t="s">
        <v>117</v>
      </c>
      <c r="F123" s="3" t="s">
        <v>109</v>
      </c>
      <c r="G123" s="3" t="s">
        <v>99</v>
      </c>
      <c r="H123" s="3" t="s">
        <v>130</v>
      </c>
      <c r="I123" s="3">
        <v>1</v>
      </c>
      <c r="J123" s="11">
        <v>85</v>
      </c>
      <c r="K123" s="4">
        <v>0</v>
      </c>
      <c r="L123" s="3" t="s">
        <v>95</v>
      </c>
      <c r="M123" s="3">
        <v>14</v>
      </c>
      <c r="N123" s="3">
        <v>6</v>
      </c>
      <c r="O123" s="3">
        <v>3</v>
      </c>
      <c r="P123" s="11">
        <f>Clean_Data[[#This Row],[Quantity]]*Clean_Data[[#This Row],[UnitPrice]]</f>
        <v>85</v>
      </c>
      <c r="Q123" s="11">
        <f>ROUND(Clean_Data[[#This Row],[GrossSales]]*Clean_Data[[#This Row],[DiscountPct]],2)</f>
        <v>0</v>
      </c>
      <c r="R123" s="11">
        <f>IF(Clean_Data[[#This Row],[Status]]="Delivered",ROUND(Clean_Data[[#This Row],[GrossSales]]-Clean_Data[[#This Row],[DiscountAmount]],2),0)</f>
        <v>85</v>
      </c>
      <c r="S123" s="3" t="str">
        <f>IF(Clean_Data[[#This Row],[OrderHour]]&lt;6,"Night",IF(Clean_Data[[#This Row],[OrderHour]]&lt;12,"Morning",IF(Clean_Data[[#This Row],[OrderHour]]&lt;18,"Afternoon","Evening")))</f>
        <v>Evening</v>
      </c>
      <c r="T123" s="3" t="str">
        <f>TEXT(Clean_Data[[#This Row],[OrderDate]],"[$-409]ddd")</f>
        <v>Sat</v>
      </c>
      <c r="U123" s="3">
        <f>WEEKDAY(Clean_Data[[#This Row],[OrderDate]],2)</f>
        <v>6</v>
      </c>
      <c r="V123" s="3">
        <f>INT(Clean_Data[[#This Row],[OrderHour]]/6)+1</f>
        <v>4</v>
      </c>
      <c r="W123" s="3">
        <f>IF(Clean_Data[[#This Row],[Status]]="Delivered",1,0)</f>
        <v>1</v>
      </c>
      <c r="X123" s="3">
        <f>IF(Clean_Data[[#This Row],[Status]]="Delivered",IF(Clean_Data[[#This Row],[DeliveryMinutes]]&lt;=Dashboard!$X$5,1,0),0)</f>
        <v>1</v>
      </c>
      <c r="Y1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3" s="3">
        <f>IF(AND(Clean_Data[[#This Row],[Include]]=1,Clean_Data[[#This Row],[DeliveredFlag]]=1),1,0)</f>
        <v>1</v>
      </c>
      <c r="AA123" s="1">
        <f>IF(COUNTIF($D$2:D123,D123)=1,ROW()-1,ROWS(Clean_Data[OrderID])+1)</f>
        <v>122</v>
      </c>
      <c r="AB123" s="1">
        <f>IF(COUNTIF($F$2:F123,F123)=1,ROW()-1,ROWS(Clean_Data[OrderID])+1)</f>
        <v>901</v>
      </c>
      <c r="AC123" s="1">
        <f>IF(COUNTIF($G$2:G123,G123)=1,ROW()-1,ROWS(Clean_Data[OrderID])+1)</f>
        <v>901</v>
      </c>
      <c r="AD123" s="1">
        <f>IF(COUNTIF($H$2:H123,H123)=1,ROW()-1,ROWS(Clean_Data[OrderID])+1)</f>
        <v>901</v>
      </c>
      <c r="AE123" s="1">
        <f>IF(COUNTIF($V$2:V123,V123)=1,V123,ROWS(Clean_Data[OrderID])+1)</f>
        <v>901</v>
      </c>
      <c r="AF123" s="1">
        <f>IF(COUNTIF($U$2:U123,U123)=1,U123,ROWS(Clean_Data[OrderID])+1)</f>
        <v>901</v>
      </c>
      <c r="AG123" s="1">
        <f>IF(COUNTIF($E$2:E123,E123)=1,ROW()-1,ROWS(Clean_Data[OrderID])+1)</f>
        <v>901</v>
      </c>
    </row>
    <row r="124" spans="1:33" ht="20" customHeight="1">
      <c r="A124" s="3" t="s">
        <v>346</v>
      </c>
      <c r="B124" s="2">
        <v>46270</v>
      </c>
      <c r="C124" s="3">
        <v>22</v>
      </c>
      <c r="D124" s="3" t="s">
        <v>347</v>
      </c>
      <c r="E124" s="3" t="s">
        <v>91</v>
      </c>
      <c r="F124" s="3" t="s">
        <v>98</v>
      </c>
      <c r="G124" s="3" t="s">
        <v>110</v>
      </c>
      <c r="H124" s="3" t="s">
        <v>206</v>
      </c>
      <c r="I124" s="3">
        <v>6</v>
      </c>
      <c r="J124" s="11">
        <v>220</v>
      </c>
      <c r="K124" s="4">
        <v>0</v>
      </c>
      <c r="L124" s="3" t="s">
        <v>95</v>
      </c>
      <c r="M124" s="3">
        <v>17</v>
      </c>
      <c r="N124" s="3">
        <v>7</v>
      </c>
      <c r="O124" s="3">
        <v>3</v>
      </c>
      <c r="P124" s="11">
        <f>Clean_Data[[#This Row],[Quantity]]*Clean_Data[[#This Row],[UnitPrice]]</f>
        <v>1320</v>
      </c>
      <c r="Q124" s="11">
        <f>ROUND(Clean_Data[[#This Row],[GrossSales]]*Clean_Data[[#This Row],[DiscountPct]],2)</f>
        <v>0</v>
      </c>
      <c r="R124" s="11">
        <f>IF(Clean_Data[[#This Row],[Status]]="Delivered",ROUND(Clean_Data[[#This Row],[GrossSales]]-Clean_Data[[#This Row],[DiscountAmount]],2),0)</f>
        <v>1320</v>
      </c>
      <c r="S124" s="3" t="str">
        <f>IF(Clean_Data[[#This Row],[OrderHour]]&lt;6,"Night",IF(Clean_Data[[#This Row],[OrderHour]]&lt;12,"Morning",IF(Clean_Data[[#This Row],[OrderHour]]&lt;18,"Afternoon","Evening")))</f>
        <v>Evening</v>
      </c>
      <c r="T124" s="3" t="str">
        <f>TEXT(Clean_Data[[#This Row],[OrderDate]],"[$-409]ddd")</f>
        <v>Sat</v>
      </c>
      <c r="U124" s="3">
        <f>WEEKDAY(Clean_Data[[#This Row],[OrderDate]],2)</f>
        <v>6</v>
      </c>
      <c r="V124" s="3">
        <f>INT(Clean_Data[[#This Row],[OrderHour]]/6)+1</f>
        <v>4</v>
      </c>
      <c r="W124" s="3">
        <f>IF(Clean_Data[[#This Row],[Status]]="Delivered",1,0)</f>
        <v>1</v>
      </c>
      <c r="X124" s="3">
        <f>IF(Clean_Data[[#This Row],[Status]]="Delivered",IF(Clean_Data[[#This Row],[DeliveryMinutes]]&lt;=Dashboard!$X$5,1,0),0)</f>
        <v>1</v>
      </c>
      <c r="Y1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4" s="3">
        <f>IF(AND(Clean_Data[[#This Row],[Include]]=1,Clean_Data[[#This Row],[DeliveredFlag]]=1),1,0)</f>
        <v>1</v>
      </c>
      <c r="AA124" s="1">
        <f>IF(COUNTIF($D$2:D124,D124)=1,ROW()-1,ROWS(Clean_Data[OrderID])+1)</f>
        <v>123</v>
      </c>
      <c r="AB124" s="1">
        <f>IF(COUNTIF($F$2:F124,F124)=1,ROW()-1,ROWS(Clean_Data[OrderID])+1)</f>
        <v>901</v>
      </c>
      <c r="AC124" s="1">
        <f>IF(COUNTIF($G$2:G124,G124)=1,ROW()-1,ROWS(Clean_Data[OrderID])+1)</f>
        <v>901</v>
      </c>
      <c r="AD124" s="1">
        <f>IF(COUNTIF($H$2:H124,H124)=1,ROW()-1,ROWS(Clean_Data[OrderID])+1)</f>
        <v>901</v>
      </c>
      <c r="AE124" s="1">
        <f>IF(COUNTIF($V$2:V124,V124)=1,V124,ROWS(Clean_Data[OrderID])+1)</f>
        <v>901</v>
      </c>
      <c r="AF124" s="1">
        <f>IF(COUNTIF($U$2:U124,U124)=1,U124,ROWS(Clean_Data[OrderID])+1)</f>
        <v>901</v>
      </c>
      <c r="AG124" s="1">
        <f>IF(COUNTIF($E$2:E124,E124)=1,ROW()-1,ROWS(Clean_Data[OrderID])+1)</f>
        <v>901</v>
      </c>
    </row>
    <row r="125" spans="1:33" ht="20" customHeight="1">
      <c r="A125" s="3" t="s">
        <v>348</v>
      </c>
      <c r="B125" s="2">
        <v>46270</v>
      </c>
      <c r="C125" s="3">
        <v>9</v>
      </c>
      <c r="D125" s="3" t="s">
        <v>349</v>
      </c>
      <c r="E125" s="3" t="s">
        <v>117</v>
      </c>
      <c r="F125" s="3" t="s">
        <v>109</v>
      </c>
      <c r="G125" s="3" t="s">
        <v>135</v>
      </c>
      <c r="H125" s="3" t="s">
        <v>136</v>
      </c>
      <c r="I125" s="3">
        <v>1</v>
      </c>
      <c r="J125" s="11">
        <v>40</v>
      </c>
      <c r="K125" s="4">
        <v>0</v>
      </c>
      <c r="L125" s="3" t="s">
        <v>95</v>
      </c>
      <c r="M125" s="3">
        <v>35</v>
      </c>
      <c r="N125" s="3">
        <v>12</v>
      </c>
      <c r="O125" s="3">
        <v>5</v>
      </c>
      <c r="P125" s="11">
        <f>Clean_Data[[#This Row],[Quantity]]*Clean_Data[[#This Row],[UnitPrice]]</f>
        <v>40</v>
      </c>
      <c r="Q125" s="11">
        <f>ROUND(Clean_Data[[#This Row],[GrossSales]]*Clean_Data[[#This Row],[DiscountPct]],2)</f>
        <v>0</v>
      </c>
      <c r="R125" s="11">
        <f>IF(Clean_Data[[#This Row],[Status]]="Delivered",ROUND(Clean_Data[[#This Row],[GrossSales]]-Clean_Data[[#This Row],[DiscountAmount]],2),0)</f>
        <v>40</v>
      </c>
      <c r="S125" s="3" t="str">
        <f>IF(Clean_Data[[#This Row],[OrderHour]]&lt;6,"Night",IF(Clean_Data[[#This Row],[OrderHour]]&lt;12,"Morning",IF(Clean_Data[[#This Row],[OrderHour]]&lt;18,"Afternoon","Evening")))</f>
        <v>Morning</v>
      </c>
      <c r="T125" s="3" t="str">
        <f>TEXT(Clean_Data[[#This Row],[OrderDate]],"[$-409]ddd")</f>
        <v>Sat</v>
      </c>
      <c r="U125" s="3">
        <f>WEEKDAY(Clean_Data[[#This Row],[OrderDate]],2)</f>
        <v>6</v>
      </c>
      <c r="V125" s="3">
        <f>INT(Clean_Data[[#This Row],[OrderHour]]/6)+1</f>
        <v>2</v>
      </c>
      <c r="W125" s="3">
        <f>IF(Clean_Data[[#This Row],[Status]]="Delivered",1,0)</f>
        <v>1</v>
      </c>
      <c r="X125" s="3">
        <f>IF(Clean_Data[[#This Row],[Status]]="Delivered",IF(Clean_Data[[#This Row],[DeliveryMinutes]]&lt;=Dashboard!$X$5,1,0),0)</f>
        <v>0</v>
      </c>
      <c r="Y1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5" s="3">
        <f>IF(AND(Clean_Data[[#This Row],[Include]]=1,Clean_Data[[#This Row],[DeliveredFlag]]=1),1,0)</f>
        <v>1</v>
      </c>
      <c r="AA125" s="1">
        <f>IF(COUNTIF($D$2:D125,D125)=1,ROW()-1,ROWS(Clean_Data[OrderID])+1)</f>
        <v>124</v>
      </c>
      <c r="AB125" s="1">
        <f>IF(COUNTIF($F$2:F125,F125)=1,ROW()-1,ROWS(Clean_Data[OrderID])+1)</f>
        <v>901</v>
      </c>
      <c r="AC125" s="1">
        <f>IF(COUNTIF($G$2:G125,G125)=1,ROW()-1,ROWS(Clean_Data[OrderID])+1)</f>
        <v>901</v>
      </c>
      <c r="AD125" s="1">
        <f>IF(COUNTIF($H$2:H125,H125)=1,ROW()-1,ROWS(Clean_Data[OrderID])+1)</f>
        <v>901</v>
      </c>
      <c r="AE125" s="1">
        <f>IF(COUNTIF($V$2:V125,V125)=1,V125,ROWS(Clean_Data[OrderID])+1)</f>
        <v>901</v>
      </c>
      <c r="AF125" s="1">
        <f>IF(COUNTIF($U$2:U125,U125)=1,U125,ROWS(Clean_Data[OrderID])+1)</f>
        <v>901</v>
      </c>
      <c r="AG125" s="1">
        <f>IF(COUNTIF($E$2:E125,E125)=1,ROW()-1,ROWS(Clean_Data[OrderID])+1)</f>
        <v>901</v>
      </c>
    </row>
    <row r="126" spans="1:33" ht="20" customHeight="1">
      <c r="A126" s="3" t="s">
        <v>350</v>
      </c>
      <c r="B126" s="2">
        <v>46270</v>
      </c>
      <c r="C126" s="3">
        <v>12</v>
      </c>
      <c r="D126" s="3" t="s">
        <v>351</v>
      </c>
      <c r="E126" s="3" t="s">
        <v>91</v>
      </c>
      <c r="F126" s="3" t="s">
        <v>121</v>
      </c>
      <c r="G126" s="3" t="s">
        <v>174</v>
      </c>
      <c r="H126" s="3" t="s">
        <v>274</v>
      </c>
      <c r="I126" s="3">
        <v>5</v>
      </c>
      <c r="J126" s="11">
        <v>90</v>
      </c>
      <c r="K126" s="4">
        <v>0</v>
      </c>
      <c r="L126" s="3" t="s">
        <v>95</v>
      </c>
      <c r="M126" s="3">
        <v>19</v>
      </c>
      <c r="N126" s="3">
        <v>5</v>
      </c>
      <c r="O126" s="3">
        <v>5</v>
      </c>
      <c r="P126" s="11">
        <f>Clean_Data[[#This Row],[Quantity]]*Clean_Data[[#This Row],[UnitPrice]]</f>
        <v>450</v>
      </c>
      <c r="Q126" s="11">
        <f>ROUND(Clean_Data[[#This Row],[GrossSales]]*Clean_Data[[#This Row],[DiscountPct]],2)</f>
        <v>0</v>
      </c>
      <c r="R126" s="11">
        <f>IF(Clean_Data[[#This Row],[Status]]="Delivered",ROUND(Clean_Data[[#This Row],[GrossSales]]-Clean_Data[[#This Row],[DiscountAmount]],2),0)</f>
        <v>450</v>
      </c>
      <c r="S126" s="3" t="str">
        <f>IF(Clean_Data[[#This Row],[OrderHour]]&lt;6,"Night",IF(Clean_Data[[#This Row],[OrderHour]]&lt;12,"Morning",IF(Clean_Data[[#This Row],[OrderHour]]&lt;18,"Afternoon","Evening")))</f>
        <v>Afternoon</v>
      </c>
      <c r="T126" s="3" t="str">
        <f>TEXT(Clean_Data[[#This Row],[OrderDate]],"[$-409]ddd")</f>
        <v>Sat</v>
      </c>
      <c r="U126" s="3">
        <f>WEEKDAY(Clean_Data[[#This Row],[OrderDate]],2)</f>
        <v>6</v>
      </c>
      <c r="V126" s="3">
        <f>INT(Clean_Data[[#This Row],[OrderHour]]/6)+1</f>
        <v>3</v>
      </c>
      <c r="W126" s="3">
        <f>IF(Clean_Data[[#This Row],[Status]]="Delivered",1,0)</f>
        <v>1</v>
      </c>
      <c r="X126" s="3">
        <f>IF(Clean_Data[[#This Row],[Status]]="Delivered",IF(Clean_Data[[#This Row],[DeliveryMinutes]]&lt;=Dashboard!$X$5,1,0),0)</f>
        <v>1</v>
      </c>
      <c r="Y1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6" s="3">
        <f>IF(AND(Clean_Data[[#This Row],[Include]]=1,Clean_Data[[#This Row],[DeliveredFlag]]=1),1,0)</f>
        <v>1</v>
      </c>
      <c r="AA126" s="1">
        <f>IF(COUNTIF($D$2:D126,D126)=1,ROW()-1,ROWS(Clean_Data[OrderID])+1)</f>
        <v>125</v>
      </c>
      <c r="AB126" s="1">
        <f>IF(COUNTIF($F$2:F126,F126)=1,ROW()-1,ROWS(Clean_Data[OrderID])+1)</f>
        <v>901</v>
      </c>
      <c r="AC126" s="1">
        <f>IF(COUNTIF($G$2:G126,G126)=1,ROW()-1,ROWS(Clean_Data[OrderID])+1)</f>
        <v>901</v>
      </c>
      <c r="AD126" s="1">
        <f>IF(COUNTIF($H$2:H126,H126)=1,ROW()-1,ROWS(Clean_Data[OrderID])+1)</f>
        <v>901</v>
      </c>
      <c r="AE126" s="1">
        <f>IF(COUNTIF($V$2:V126,V126)=1,V126,ROWS(Clean_Data[OrderID])+1)</f>
        <v>901</v>
      </c>
      <c r="AF126" s="1">
        <f>IF(COUNTIF($U$2:U126,U126)=1,U126,ROWS(Clean_Data[OrderID])+1)</f>
        <v>901</v>
      </c>
      <c r="AG126" s="1">
        <f>IF(COUNTIF($E$2:E126,E126)=1,ROW()-1,ROWS(Clean_Data[OrderID])+1)</f>
        <v>901</v>
      </c>
    </row>
    <row r="127" spans="1:33" ht="20" customHeight="1">
      <c r="A127" s="3" t="s">
        <v>352</v>
      </c>
      <c r="B127" s="2">
        <v>46270</v>
      </c>
      <c r="C127" s="3">
        <v>14</v>
      </c>
      <c r="D127" s="3" t="s">
        <v>353</v>
      </c>
      <c r="E127" s="3" t="s">
        <v>91</v>
      </c>
      <c r="F127" s="3" t="s">
        <v>139</v>
      </c>
      <c r="G127" s="3" t="s">
        <v>99</v>
      </c>
      <c r="H127" s="3" t="s">
        <v>104</v>
      </c>
      <c r="I127" s="3">
        <v>2</v>
      </c>
      <c r="J127" s="11">
        <v>240</v>
      </c>
      <c r="K127" s="4">
        <v>0.1</v>
      </c>
      <c r="L127" s="3" t="s">
        <v>95</v>
      </c>
      <c r="M127" s="3">
        <v>27</v>
      </c>
      <c r="N127" s="3">
        <v>8</v>
      </c>
      <c r="O127" s="3">
        <v>3</v>
      </c>
      <c r="P127" s="11">
        <f>Clean_Data[[#This Row],[Quantity]]*Clean_Data[[#This Row],[UnitPrice]]</f>
        <v>480</v>
      </c>
      <c r="Q127" s="11">
        <f>ROUND(Clean_Data[[#This Row],[GrossSales]]*Clean_Data[[#This Row],[DiscountPct]],2)</f>
        <v>48</v>
      </c>
      <c r="R127" s="11">
        <f>IF(Clean_Data[[#This Row],[Status]]="Delivered",ROUND(Clean_Data[[#This Row],[GrossSales]]-Clean_Data[[#This Row],[DiscountAmount]],2),0)</f>
        <v>432</v>
      </c>
      <c r="S127" s="3" t="str">
        <f>IF(Clean_Data[[#This Row],[OrderHour]]&lt;6,"Night",IF(Clean_Data[[#This Row],[OrderHour]]&lt;12,"Morning",IF(Clean_Data[[#This Row],[OrderHour]]&lt;18,"Afternoon","Evening")))</f>
        <v>Afternoon</v>
      </c>
      <c r="T127" s="3" t="str">
        <f>TEXT(Clean_Data[[#This Row],[OrderDate]],"[$-409]ddd")</f>
        <v>Sat</v>
      </c>
      <c r="U127" s="3">
        <f>WEEKDAY(Clean_Data[[#This Row],[OrderDate]],2)</f>
        <v>6</v>
      </c>
      <c r="V127" s="3">
        <f>INT(Clean_Data[[#This Row],[OrderHour]]/6)+1</f>
        <v>3</v>
      </c>
      <c r="W127" s="3">
        <f>IF(Clean_Data[[#This Row],[Status]]="Delivered",1,0)</f>
        <v>1</v>
      </c>
      <c r="X127" s="3">
        <f>IF(Clean_Data[[#This Row],[Status]]="Delivered",IF(Clean_Data[[#This Row],[DeliveryMinutes]]&lt;=Dashboard!$X$5,1,0),0)</f>
        <v>1</v>
      </c>
      <c r="Y1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7" s="3">
        <f>IF(AND(Clean_Data[[#This Row],[Include]]=1,Clean_Data[[#This Row],[DeliveredFlag]]=1),1,0)</f>
        <v>1</v>
      </c>
      <c r="AA127" s="1">
        <f>IF(COUNTIF($D$2:D127,D127)=1,ROW()-1,ROWS(Clean_Data[OrderID])+1)</f>
        <v>126</v>
      </c>
      <c r="AB127" s="1">
        <f>IF(COUNTIF($F$2:F127,F127)=1,ROW()-1,ROWS(Clean_Data[OrderID])+1)</f>
        <v>901</v>
      </c>
      <c r="AC127" s="1">
        <f>IF(COUNTIF($G$2:G127,G127)=1,ROW()-1,ROWS(Clean_Data[OrderID])+1)</f>
        <v>901</v>
      </c>
      <c r="AD127" s="1">
        <f>IF(COUNTIF($H$2:H127,H127)=1,ROW()-1,ROWS(Clean_Data[OrderID])+1)</f>
        <v>901</v>
      </c>
      <c r="AE127" s="1">
        <f>IF(COUNTIF($V$2:V127,V127)=1,V127,ROWS(Clean_Data[OrderID])+1)</f>
        <v>901</v>
      </c>
      <c r="AF127" s="1">
        <f>IF(COUNTIF($U$2:U127,U127)=1,U127,ROWS(Clean_Data[OrderID])+1)</f>
        <v>901</v>
      </c>
      <c r="AG127" s="1">
        <f>IF(COUNTIF($E$2:E127,E127)=1,ROW()-1,ROWS(Clean_Data[OrderID])+1)</f>
        <v>901</v>
      </c>
    </row>
    <row r="128" spans="1:33" ht="20" customHeight="1">
      <c r="A128" s="3" t="s">
        <v>354</v>
      </c>
      <c r="B128" s="2">
        <v>46270</v>
      </c>
      <c r="C128" s="3">
        <v>12</v>
      </c>
      <c r="D128" s="3" t="s">
        <v>113</v>
      </c>
      <c r="E128" s="3" t="s">
        <v>91</v>
      </c>
      <c r="F128" s="3" t="s">
        <v>109</v>
      </c>
      <c r="G128" s="3" t="s">
        <v>174</v>
      </c>
      <c r="H128" s="3" t="s">
        <v>274</v>
      </c>
      <c r="I128" s="3">
        <v>5</v>
      </c>
      <c r="J128" s="11">
        <v>90</v>
      </c>
      <c r="K128" s="4">
        <v>0.15</v>
      </c>
      <c r="L128" s="3" t="s">
        <v>95</v>
      </c>
      <c r="M128" s="3">
        <v>17</v>
      </c>
      <c r="N128" s="3">
        <v>8</v>
      </c>
      <c r="O128" s="3">
        <v>4</v>
      </c>
      <c r="P128" s="11">
        <f>Clean_Data[[#This Row],[Quantity]]*Clean_Data[[#This Row],[UnitPrice]]</f>
        <v>450</v>
      </c>
      <c r="Q128" s="11">
        <f>ROUND(Clean_Data[[#This Row],[GrossSales]]*Clean_Data[[#This Row],[DiscountPct]],2)</f>
        <v>67.5</v>
      </c>
      <c r="R128" s="11">
        <f>IF(Clean_Data[[#This Row],[Status]]="Delivered",ROUND(Clean_Data[[#This Row],[GrossSales]]-Clean_Data[[#This Row],[DiscountAmount]],2),0)</f>
        <v>382.5</v>
      </c>
      <c r="S128" s="3" t="str">
        <f>IF(Clean_Data[[#This Row],[OrderHour]]&lt;6,"Night",IF(Clean_Data[[#This Row],[OrderHour]]&lt;12,"Morning",IF(Clean_Data[[#This Row],[OrderHour]]&lt;18,"Afternoon","Evening")))</f>
        <v>Afternoon</v>
      </c>
      <c r="T128" s="3" t="str">
        <f>TEXT(Clean_Data[[#This Row],[OrderDate]],"[$-409]ddd")</f>
        <v>Sat</v>
      </c>
      <c r="U128" s="3">
        <f>WEEKDAY(Clean_Data[[#This Row],[OrderDate]],2)</f>
        <v>6</v>
      </c>
      <c r="V128" s="3">
        <f>INT(Clean_Data[[#This Row],[OrderHour]]/6)+1</f>
        <v>3</v>
      </c>
      <c r="W128" s="3">
        <f>IF(Clean_Data[[#This Row],[Status]]="Delivered",1,0)</f>
        <v>1</v>
      </c>
      <c r="X128" s="3">
        <f>IF(Clean_Data[[#This Row],[Status]]="Delivered",IF(Clean_Data[[#This Row],[DeliveryMinutes]]&lt;=Dashboard!$X$5,1,0),0)</f>
        <v>1</v>
      </c>
      <c r="Y1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8" s="3">
        <f>IF(AND(Clean_Data[[#This Row],[Include]]=1,Clean_Data[[#This Row],[DeliveredFlag]]=1),1,0)</f>
        <v>1</v>
      </c>
      <c r="AA128" s="1">
        <f>IF(COUNTIF($D$2:D128,D128)=1,ROW()-1,ROWS(Clean_Data[OrderID])+1)</f>
        <v>901</v>
      </c>
      <c r="AB128" s="1">
        <f>IF(COUNTIF($F$2:F128,F128)=1,ROW()-1,ROWS(Clean_Data[OrderID])+1)</f>
        <v>901</v>
      </c>
      <c r="AC128" s="1">
        <f>IF(COUNTIF($G$2:G128,G128)=1,ROW()-1,ROWS(Clean_Data[OrderID])+1)</f>
        <v>901</v>
      </c>
      <c r="AD128" s="1">
        <f>IF(COUNTIF($H$2:H128,H128)=1,ROW()-1,ROWS(Clean_Data[OrderID])+1)</f>
        <v>901</v>
      </c>
      <c r="AE128" s="1">
        <f>IF(COUNTIF($V$2:V128,V128)=1,V128,ROWS(Clean_Data[OrderID])+1)</f>
        <v>901</v>
      </c>
      <c r="AF128" s="1">
        <f>IF(COUNTIF($U$2:U128,U128)=1,U128,ROWS(Clean_Data[OrderID])+1)</f>
        <v>901</v>
      </c>
      <c r="AG128" s="1">
        <f>IF(COUNTIF($E$2:E128,E128)=1,ROW()-1,ROWS(Clean_Data[OrderID])+1)</f>
        <v>901</v>
      </c>
    </row>
    <row r="129" spans="1:33" ht="20" customHeight="1">
      <c r="A129" s="3" t="s">
        <v>355</v>
      </c>
      <c r="B129" s="2">
        <v>46270</v>
      </c>
      <c r="C129" s="3">
        <v>21</v>
      </c>
      <c r="D129" s="3" t="s">
        <v>356</v>
      </c>
      <c r="E129" s="3" t="s">
        <v>91</v>
      </c>
      <c r="F129" s="3" t="s">
        <v>92</v>
      </c>
      <c r="G129" s="3" t="s">
        <v>99</v>
      </c>
      <c r="H129" s="3" t="s">
        <v>100</v>
      </c>
      <c r="I129" s="3">
        <v>3</v>
      </c>
      <c r="J129" s="11">
        <v>120</v>
      </c>
      <c r="K129" s="4">
        <v>0.15</v>
      </c>
      <c r="L129" s="3" t="s">
        <v>95</v>
      </c>
      <c r="M129" s="3">
        <v>13</v>
      </c>
      <c r="N129" s="3">
        <v>7</v>
      </c>
      <c r="O129" s="3">
        <v>5</v>
      </c>
      <c r="P129" s="11">
        <f>Clean_Data[[#This Row],[Quantity]]*Clean_Data[[#This Row],[UnitPrice]]</f>
        <v>360</v>
      </c>
      <c r="Q129" s="11">
        <f>ROUND(Clean_Data[[#This Row],[GrossSales]]*Clean_Data[[#This Row],[DiscountPct]],2)</f>
        <v>54</v>
      </c>
      <c r="R129" s="11">
        <f>IF(Clean_Data[[#This Row],[Status]]="Delivered",ROUND(Clean_Data[[#This Row],[GrossSales]]-Clean_Data[[#This Row],[DiscountAmount]],2),0)</f>
        <v>306</v>
      </c>
      <c r="S129" s="3" t="str">
        <f>IF(Clean_Data[[#This Row],[OrderHour]]&lt;6,"Night",IF(Clean_Data[[#This Row],[OrderHour]]&lt;12,"Morning",IF(Clean_Data[[#This Row],[OrderHour]]&lt;18,"Afternoon","Evening")))</f>
        <v>Evening</v>
      </c>
      <c r="T129" s="3" t="str">
        <f>TEXT(Clean_Data[[#This Row],[OrderDate]],"[$-409]ddd")</f>
        <v>Sat</v>
      </c>
      <c r="U129" s="3">
        <f>WEEKDAY(Clean_Data[[#This Row],[OrderDate]],2)</f>
        <v>6</v>
      </c>
      <c r="V129" s="3">
        <f>INT(Clean_Data[[#This Row],[OrderHour]]/6)+1</f>
        <v>4</v>
      </c>
      <c r="W129" s="3">
        <f>IF(Clean_Data[[#This Row],[Status]]="Delivered",1,0)</f>
        <v>1</v>
      </c>
      <c r="X129" s="3">
        <f>IF(Clean_Data[[#This Row],[Status]]="Delivered",IF(Clean_Data[[#This Row],[DeliveryMinutes]]&lt;=Dashboard!$X$5,1,0),0)</f>
        <v>1</v>
      </c>
      <c r="Y1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29" s="3">
        <f>IF(AND(Clean_Data[[#This Row],[Include]]=1,Clean_Data[[#This Row],[DeliveredFlag]]=1),1,0)</f>
        <v>1</v>
      </c>
      <c r="AA129" s="1">
        <f>IF(COUNTIF($D$2:D129,D129)=1,ROW()-1,ROWS(Clean_Data[OrderID])+1)</f>
        <v>128</v>
      </c>
      <c r="AB129" s="1">
        <f>IF(COUNTIF($F$2:F129,F129)=1,ROW()-1,ROWS(Clean_Data[OrderID])+1)</f>
        <v>901</v>
      </c>
      <c r="AC129" s="1">
        <f>IF(COUNTIF($G$2:G129,G129)=1,ROW()-1,ROWS(Clean_Data[OrderID])+1)</f>
        <v>901</v>
      </c>
      <c r="AD129" s="1">
        <f>IF(COUNTIF($H$2:H129,H129)=1,ROW()-1,ROWS(Clean_Data[OrderID])+1)</f>
        <v>901</v>
      </c>
      <c r="AE129" s="1">
        <f>IF(COUNTIF($V$2:V129,V129)=1,V129,ROWS(Clean_Data[OrderID])+1)</f>
        <v>901</v>
      </c>
      <c r="AF129" s="1">
        <f>IF(COUNTIF($U$2:U129,U129)=1,U129,ROWS(Clean_Data[OrderID])+1)</f>
        <v>901</v>
      </c>
      <c r="AG129" s="1">
        <f>IF(COUNTIF($E$2:E129,E129)=1,ROW()-1,ROWS(Clean_Data[OrderID])+1)</f>
        <v>901</v>
      </c>
    </row>
    <row r="130" spans="1:33" ht="20" customHeight="1">
      <c r="A130" s="3" t="s">
        <v>357</v>
      </c>
      <c r="B130" s="2">
        <v>46270</v>
      </c>
      <c r="C130" s="3">
        <v>18</v>
      </c>
      <c r="D130" s="3" t="s">
        <v>165</v>
      </c>
      <c r="E130" s="3" t="s">
        <v>91</v>
      </c>
      <c r="F130" s="3" t="s">
        <v>121</v>
      </c>
      <c r="G130" s="3" t="s">
        <v>110</v>
      </c>
      <c r="H130" s="3" t="s">
        <v>114</v>
      </c>
      <c r="I130" s="3">
        <v>3</v>
      </c>
      <c r="J130" s="11">
        <v>145</v>
      </c>
      <c r="K130" s="4">
        <v>0</v>
      </c>
      <c r="L130" s="3" t="s">
        <v>95</v>
      </c>
      <c r="M130" s="3">
        <v>34</v>
      </c>
      <c r="N130" s="3">
        <v>9</v>
      </c>
      <c r="O130" s="3">
        <v>3</v>
      </c>
      <c r="P130" s="11">
        <f>Clean_Data[[#This Row],[Quantity]]*Clean_Data[[#This Row],[UnitPrice]]</f>
        <v>435</v>
      </c>
      <c r="Q130" s="11">
        <f>ROUND(Clean_Data[[#This Row],[GrossSales]]*Clean_Data[[#This Row],[DiscountPct]],2)</f>
        <v>0</v>
      </c>
      <c r="R130" s="11">
        <f>IF(Clean_Data[[#This Row],[Status]]="Delivered",ROUND(Clean_Data[[#This Row],[GrossSales]]-Clean_Data[[#This Row],[DiscountAmount]],2),0)</f>
        <v>435</v>
      </c>
      <c r="S130" s="3" t="str">
        <f>IF(Clean_Data[[#This Row],[OrderHour]]&lt;6,"Night",IF(Clean_Data[[#This Row],[OrderHour]]&lt;12,"Morning",IF(Clean_Data[[#This Row],[OrderHour]]&lt;18,"Afternoon","Evening")))</f>
        <v>Evening</v>
      </c>
      <c r="T130" s="3" t="str">
        <f>TEXT(Clean_Data[[#This Row],[OrderDate]],"[$-409]ddd")</f>
        <v>Sat</v>
      </c>
      <c r="U130" s="3">
        <f>WEEKDAY(Clean_Data[[#This Row],[OrderDate]],2)</f>
        <v>6</v>
      </c>
      <c r="V130" s="3">
        <f>INT(Clean_Data[[#This Row],[OrderHour]]/6)+1</f>
        <v>4</v>
      </c>
      <c r="W130" s="3">
        <f>IF(Clean_Data[[#This Row],[Status]]="Delivered",1,0)</f>
        <v>1</v>
      </c>
      <c r="X130" s="3">
        <f>IF(Clean_Data[[#This Row],[Status]]="Delivered",IF(Clean_Data[[#This Row],[DeliveryMinutes]]&lt;=Dashboard!$X$5,1,0),0)</f>
        <v>0</v>
      </c>
      <c r="Y1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0" s="3">
        <f>IF(AND(Clean_Data[[#This Row],[Include]]=1,Clean_Data[[#This Row],[DeliveredFlag]]=1),1,0)</f>
        <v>1</v>
      </c>
      <c r="AA130" s="1">
        <f>IF(COUNTIF($D$2:D130,D130)=1,ROW()-1,ROWS(Clean_Data[OrderID])+1)</f>
        <v>901</v>
      </c>
      <c r="AB130" s="1">
        <f>IF(COUNTIF($F$2:F130,F130)=1,ROW()-1,ROWS(Clean_Data[OrderID])+1)</f>
        <v>901</v>
      </c>
      <c r="AC130" s="1">
        <f>IF(COUNTIF($G$2:G130,G130)=1,ROW()-1,ROWS(Clean_Data[OrderID])+1)</f>
        <v>901</v>
      </c>
      <c r="AD130" s="1">
        <f>IF(COUNTIF($H$2:H130,H130)=1,ROW()-1,ROWS(Clean_Data[OrderID])+1)</f>
        <v>901</v>
      </c>
      <c r="AE130" s="1">
        <f>IF(COUNTIF($V$2:V130,V130)=1,V130,ROWS(Clean_Data[OrderID])+1)</f>
        <v>901</v>
      </c>
      <c r="AF130" s="1">
        <f>IF(COUNTIF($U$2:U130,U130)=1,U130,ROWS(Clean_Data[OrderID])+1)</f>
        <v>901</v>
      </c>
      <c r="AG130" s="1">
        <f>IF(COUNTIF($E$2:E130,E130)=1,ROW()-1,ROWS(Clean_Data[OrderID])+1)</f>
        <v>901</v>
      </c>
    </row>
    <row r="131" spans="1:33" ht="20" customHeight="1">
      <c r="A131" s="3" t="s">
        <v>358</v>
      </c>
      <c r="B131" s="2">
        <v>46270</v>
      </c>
      <c r="C131" s="3">
        <v>17</v>
      </c>
      <c r="D131" s="3" t="s">
        <v>359</v>
      </c>
      <c r="E131" s="3" t="s">
        <v>91</v>
      </c>
      <c r="F131" s="3" t="s">
        <v>121</v>
      </c>
      <c r="G131" s="3" t="s">
        <v>174</v>
      </c>
      <c r="H131" s="3" t="s">
        <v>274</v>
      </c>
      <c r="I131" s="3">
        <v>3</v>
      </c>
      <c r="J131" s="11">
        <v>90</v>
      </c>
      <c r="K131" s="4">
        <v>0</v>
      </c>
      <c r="L131" s="3" t="s">
        <v>95</v>
      </c>
      <c r="M131" s="3">
        <v>21</v>
      </c>
      <c r="N131" s="3">
        <v>6</v>
      </c>
      <c r="O131" s="3">
        <v>4</v>
      </c>
      <c r="P131" s="11">
        <f>Clean_Data[[#This Row],[Quantity]]*Clean_Data[[#This Row],[UnitPrice]]</f>
        <v>270</v>
      </c>
      <c r="Q131" s="11">
        <f>ROUND(Clean_Data[[#This Row],[GrossSales]]*Clean_Data[[#This Row],[DiscountPct]],2)</f>
        <v>0</v>
      </c>
      <c r="R131" s="11">
        <f>IF(Clean_Data[[#This Row],[Status]]="Delivered",ROUND(Clean_Data[[#This Row],[GrossSales]]-Clean_Data[[#This Row],[DiscountAmount]],2),0)</f>
        <v>270</v>
      </c>
      <c r="S131" s="3" t="str">
        <f>IF(Clean_Data[[#This Row],[OrderHour]]&lt;6,"Night",IF(Clean_Data[[#This Row],[OrderHour]]&lt;12,"Morning",IF(Clean_Data[[#This Row],[OrderHour]]&lt;18,"Afternoon","Evening")))</f>
        <v>Afternoon</v>
      </c>
      <c r="T131" s="3" t="str">
        <f>TEXT(Clean_Data[[#This Row],[OrderDate]],"[$-409]ddd")</f>
        <v>Sat</v>
      </c>
      <c r="U131" s="3">
        <f>WEEKDAY(Clean_Data[[#This Row],[OrderDate]],2)</f>
        <v>6</v>
      </c>
      <c r="V131" s="3">
        <f>INT(Clean_Data[[#This Row],[OrderHour]]/6)+1</f>
        <v>3</v>
      </c>
      <c r="W131" s="3">
        <f>IF(Clean_Data[[#This Row],[Status]]="Delivered",1,0)</f>
        <v>1</v>
      </c>
      <c r="X131" s="3">
        <f>IF(Clean_Data[[#This Row],[Status]]="Delivered",IF(Clean_Data[[#This Row],[DeliveryMinutes]]&lt;=Dashboard!$X$5,1,0),0)</f>
        <v>1</v>
      </c>
      <c r="Y1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1" s="3">
        <f>IF(AND(Clean_Data[[#This Row],[Include]]=1,Clean_Data[[#This Row],[DeliveredFlag]]=1),1,0)</f>
        <v>1</v>
      </c>
      <c r="AA131" s="1">
        <f>IF(COUNTIF($D$2:D131,D131)=1,ROW()-1,ROWS(Clean_Data[OrderID])+1)</f>
        <v>130</v>
      </c>
      <c r="AB131" s="1">
        <f>IF(COUNTIF($F$2:F131,F131)=1,ROW()-1,ROWS(Clean_Data[OrderID])+1)</f>
        <v>901</v>
      </c>
      <c r="AC131" s="1">
        <f>IF(COUNTIF($G$2:G131,G131)=1,ROW()-1,ROWS(Clean_Data[OrderID])+1)</f>
        <v>901</v>
      </c>
      <c r="AD131" s="1">
        <f>IF(COUNTIF($H$2:H131,H131)=1,ROW()-1,ROWS(Clean_Data[OrderID])+1)</f>
        <v>901</v>
      </c>
      <c r="AE131" s="1">
        <f>IF(COUNTIF($V$2:V131,V131)=1,V131,ROWS(Clean_Data[OrderID])+1)</f>
        <v>901</v>
      </c>
      <c r="AF131" s="1">
        <f>IF(COUNTIF($U$2:U131,U131)=1,U131,ROWS(Clean_Data[OrderID])+1)</f>
        <v>901</v>
      </c>
      <c r="AG131" s="1">
        <f>IF(COUNTIF($E$2:E131,E131)=1,ROW()-1,ROWS(Clean_Data[OrderID])+1)</f>
        <v>901</v>
      </c>
    </row>
    <row r="132" spans="1:33" ht="20" customHeight="1">
      <c r="A132" s="3" t="s">
        <v>360</v>
      </c>
      <c r="B132" s="2">
        <v>46270</v>
      </c>
      <c r="C132" s="3">
        <v>15</v>
      </c>
      <c r="D132" s="3" t="s">
        <v>361</v>
      </c>
      <c r="E132" s="3" t="s">
        <v>91</v>
      </c>
      <c r="F132" s="3" t="s">
        <v>92</v>
      </c>
      <c r="G132" s="3" t="s">
        <v>110</v>
      </c>
      <c r="H132" s="3" t="s">
        <v>206</v>
      </c>
      <c r="I132" s="3">
        <v>5</v>
      </c>
      <c r="J132" s="11">
        <v>220</v>
      </c>
      <c r="K132" s="4">
        <v>0.15</v>
      </c>
      <c r="L132" s="3" t="s">
        <v>95</v>
      </c>
      <c r="M132" s="3">
        <v>34</v>
      </c>
      <c r="N132" s="3">
        <v>12</v>
      </c>
      <c r="O132" s="3">
        <v>4</v>
      </c>
      <c r="P132" s="11">
        <f>Clean_Data[[#This Row],[Quantity]]*Clean_Data[[#This Row],[UnitPrice]]</f>
        <v>1100</v>
      </c>
      <c r="Q132" s="11">
        <f>ROUND(Clean_Data[[#This Row],[GrossSales]]*Clean_Data[[#This Row],[DiscountPct]],2)</f>
        <v>165</v>
      </c>
      <c r="R132" s="11">
        <f>IF(Clean_Data[[#This Row],[Status]]="Delivered",ROUND(Clean_Data[[#This Row],[GrossSales]]-Clean_Data[[#This Row],[DiscountAmount]],2),0)</f>
        <v>935</v>
      </c>
      <c r="S132" s="3" t="str">
        <f>IF(Clean_Data[[#This Row],[OrderHour]]&lt;6,"Night",IF(Clean_Data[[#This Row],[OrderHour]]&lt;12,"Morning",IF(Clean_Data[[#This Row],[OrderHour]]&lt;18,"Afternoon","Evening")))</f>
        <v>Afternoon</v>
      </c>
      <c r="T132" s="3" t="str">
        <f>TEXT(Clean_Data[[#This Row],[OrderDate]],"[$-409]ddd")</f>
        <v>Sat</v>
      </c>
      <c r="U132" s="3">
        <f>WEEKDAY(Clean_Data[[#This Row],[OrderDate]],2)</f>
        <v>6</v>
      </c>
      <c r="V132" s="3">
        <f>INT(Clean_Data[[#This Row],[OrderHour]]/6)+1</f>
        <v>3</v>
      </c>
      <c r="W132" s="3">
        <f>IF(Clean_Data[[#This Row],[Status]]="Delivered",1,0)</f>
        <v>1</v>
      </c>
      <c r="X132" s="3">
        <f>IF(Clean_Data[[#This Row],[Status]]="Delivered",IF(Clean_Data[[#This Row],[DeliveryMinutes]]&lt;=Dashboard!$X$5,1,0),0)</f>
        <v>0</v>
      </c>
      <c r="Y1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2" s="3">
        <f>IF(AND(Clean_Data[[#This Row],[Include]]=1,Clean_Data[[#This Row],[DeliveredFlag]]=1),1,0)</f>
        <v>1</v>
      </c>
      <c r="AA132" s="1">
        <f>IF(COUNTIF($D$2:D132,D132)=1,ROW()-1,ROWS(Clean_Data[OrderID])+1)</f>
        <v>131</v>
      </c>
      <c r="AB132" s="1">
        <f>IF(COUNTIF($F$2:F132,F132)=1,ROW()-1,ROWS(Clean_Data[OrderID])+1)</f>
        <v>901</v>
      </c>
      <c r="AC132" s="1">
        <f>IF(COUNTIF($G$2:G132,G132)=1,ROW()-1,ROWS(Clean_Data[OrderID])+1)</f>
        <v>901</v>
      </c>
      <c r="AD132" s="1">
        <f>IF(COUNTIF($H$2:H132,H132)=1,ROW()-1,ROWS(Clean_Data[OrderID])+1)</f>
        <v>901</v>
      </c>
      <c r="AE132" s="1">
        <f>IF(COUNTIF($V$2:V132,V132)=1,V132,ROWS(Clean_Data[OrderID])+1)</f>
        <v>901</v>
      </c>
      <c r="AF132" s="1">
        <f>IF(COUNTIF($U$2:U132,U132)=1,U132,ROWS(Clean_Data[OrderID])+1)</f>
        <v>901</v>
      </c>
      <c r="AG132" s="1">
        <f>IF(COUNTIF($E$2:E132,E132)=1,ROW()-1,ROWS(Clean_Data[OrderID])+1)</f>
        <v>901</v>
      </c>
    </row>
    <row r="133" spans="1:33" ht="20" customHeight="1">
      <c r="A133" s="3" t="s">
        <v>362</v>
      </c>
      <c r="B133" s="2">
        <v>46270</v>
      </c>
      <c r="C133" s="3">
        <v>22</v>
      </c>
      <c r="D133" s="3" t="s">
        <v>363</v>
      </c>
      <c r="E133" s="3" t="s">
        <v>91</v>
      </c>
      <c r="F133" s="3" t="s">
        <v>98</v>
      </c>
      <c r="G133" s="3" t="s">
        <v>110</v>
      </c>
      <c r="H133" s="3" t="s">
        <v>111</v>
      </c>
      <c r="I133" s="3">
        <v>6</v>
      </c>
      <c r="J133" s="11">
        <v>115</v>
      </c>
      <c r="K133" s="4">
        <v>0</v>
      </c>
      <c r="L133" s="3" t="s">
        <v>95</v>
      </c>
      <c r="M133" s="3">
        <v>20</v>
      </c>
      <c r="N133" s="3">
        <v>14</v>
      </c>
      <c r="O133" s="3">
        <v>3</v>
      </c>
      <c r="P133" s="11">
        <f>Clean_Data[[#This Row],[Quantity]]*Clean_Data[[#This Row],[UnitPrice]]</f>
        <v>690</v>
      </c>
      <c r="Q133" s="11">
        <f>ROUND(Clean_Data[[#This Row],[GrossSales]]*Clean_Data[[#This Row],[DiscountPct]],2)</f>
        <v>0</v>
      </c>
      <c r="R133" s="11">
        <f>IF(Clean_Data[[#This Row],[Status]]="Delivered",ROUND(Clean_Data[[#This Row],[GrossSales]]-Clean_Data[[#This Row],[DiscountAmount]],2),0)</f>
        <v>690</v>
      </c>
      <c r="S133" s="3" t="str">
        <f>IF(Clean_Data[[#This Row],[OrderHour]]&lt;6,"Night",IF(Clean_Data[[#This Row],[OrderHour]]&lt;12,"Morning",IF(Clean_Data[[#This Row],[OrderHour]]&lt;18,"Afternoon","Evening")))</f>
        <v>Evening</v>
      </c>
      <c r="T133" s="3" t="str">
        <f>TEXT(Clean_Data[[#This Row],[OrderDate]],"[$-409]ddd")</f>
        <v>Sat</v>
      </c>
      <c r="U133" s="3">
        <f>WEEKDAY(Clean_Data[[#This Row],[OrderDate]],2)</f>
        <v>6</v>
      </c>
      <c r="V133" s="3">
        <f>INT(Clean_Data[[#This Row],[OrderHour]]/6)+1</f>
        <v>4</v>
      </c>
      <c r="W133" s="3">
        <f>IF(Clean_Data[[#This Row],[Status]]="Delivered",1,0)</f>
        <v>1</v>
      </c>
      <c r="X133" s="3">
        <f>IF(Clean_Data[[#This Row],[Status]]="Delivered",IF(Clean_Data[[#This Row],[DeliveryMinutes]]&lt;=Dashboard!$X$5,1,0),0)</f>
        <v>1</v>
      </c>
      <c r="Y1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3" s="3">
        <f>IF(AND(Clean_Data[[#This Row],[Include]]=1,Clean_Data[[#This Row],[DeliveredFlag]]=1),1,0)</f>
        <v>1</v>
      </c>
      <c r="AA133" s="1">
        <f>IF(COUNTIF($D$2:D133,D133)=1,ROW()-1,ROWS(Clean_Data[OrderID])+1)</f>
        <v>132</v>
      </c>
      <c r="AB133" s="1">
        <f>IF(COUNTIF($F$2:F133,F133)=1,ROW()-1,ROWS(Clean_Data[OrderID])+1)</f>
        <v>901</v>
      </c>
      <c r="AC133" s="1">
        <f>IF(COUNTIF($G$2:G133,G133)=1,ROW()-1,ROWS(Clean_Data[OrderID])+1)</f>
        <v>901</v>
      </c>
      <c r="AD133" s="1">
        <f>IF(COUNTIF($H$2:H133,H133)=1,ROW()-1,ROWS(Clean_Data[OrderID])+1)</f>
        <v>901</v>
      </c>
      <c r="AE133" s="1">
        <f>IF(COUNTIF($V$2:V133,V133)=1,V133,ROWS(Clean_Data[OrderID])+1)</f>
        <v>901</v>
      </c>
      <c r="AF133" s="1">
        <f>IF(COUNTIF($U$2:U133,U133)=1,U133,ROWS(Clean_Data[OrderID])+1)</f>
        <v>901</v>
      </c>
      <c r="AG133" s="1">
        <f>IF(COUNTIF($E$2:E133,E133)=1,ROW()-1,ROWS(Clean_Data[OrderID])+1)</f>
        <v>901</v>
      </c>
    </row>
    <row r="134" spans="1:33" ht="20" customHeight="1">
      <c r="A134" s="3" t="s">
        <v>364</v>
      </c>
      <c r="B134" s="2">
        <v>46270</v>
      </c>
      <c r="C134" s="3">
        <v>23</v>
      </c>
      <c r="D134" s="3" t="s">
        <v>365</v>
      </c>
      <c r="E134" s="3" t="s">
        <v>91</v>
      </c>
      <c r="F134" s="3" t="s">
        <v>121</v>
      </c>
      <c r="G134" s="3" t="s">
        <v>174</v>
      </c>
      <c r="H134" s="3" t="s">
        <v>175</v>
      </c>
      <c r="I134" s="3">
        <v>1</v>
      </c>
      <c r="J134" s="11">
        <v>155</v>
      </c>
      <c r="K134" s="4">
        <v>0.15</v>
      </c>
      <c r="L134" s="3" t="s">
        <v>95</v>
      </c>
      <c r="M134" s="3">
        <v>19</v>
      </c>
      <c r="N134" s="3">
        <v>10</v>
      </c>
      <c r="O134" s="3">
        <v>5</v>
      </c>
      <c r="P134" s="11">
        <f>Clean_Data[[#This Row],[Quantity]]*Clean_Data[[#This Row],[UnitPrice]]</f>
        <v>155</v>
      </c>
      <c r="Q134" s="11">
        <f>ROUND(Clean_Data[[#This Row],[GrossSales]]*Clean_Data[[#This Row],[DiscountPct]],2)</f>
        <v>23.25</v>
      </c>
      <c r="R134" s="11">
        <f>IF(Clean_Data[[#This Row],[Status]]="Delivered",ROUND(Clean_Data[[#This Row],[GrossSales]]-Clean_Data[[#This Row],[DiscountAmount]],2),0)</f>
        <v>131.75</v>
      </c>
      <c r="S134" s="3" t="str">
        <f>IF(Clean_Data[[#This Row],[OrderHour]]&lt;6,"Night",IF(Clean_Data[[#This Row],[OrderHour]]&lt;12,"Morning",IF(Clean_Data[[#This Row],[OrderHour]]&lt;18,"Afternoon","Evening")))</f>
        <v>Evening</v>
      </c>
      <c r="T134" s="3" t="str">
        <f>TEXT(Clean_Data[[#This Row],[OrderDate]],"[$-409]ddd")</f>
        <v>Sat</v>
      </c>
      <c r="U134" s="3">
        <f>WEEKDAY(Clean_Data[[#This Row],[OrderDate]],2)</f>
        <v>6</v>
      </c>
      <c r="V134" s="3">
        <f>INT(Clean_Data[[#This Row],[OrderHour]]/6)+1</f>
        <v>4</v>
      </c>
      <c r="W134" s="3">
        <f>IF(Clean_Data[[#This Row],[Status]]="Delivered",1,0)</f>
        <v>1</v>
      </c>
      <c r="X134" s="3">
        <f>IF(Clean_Data[[#This Row],[Status]]="Delivered",IF(Clean_Data[[#This Row],[DeliveryMinutes]]&lt;=Dashboard!$X$5,1,0),0)</f>
        <v>1</v>
      </c>
      <c r="Y1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4" s="3">
        <f>IF(AND(Clean_Data[[#This Row],[Include]]=1,Clean_Data[[#This Row],[DeliveredFlag]]=1),1,0)</f>
        <v>1</v>
      </c>
      <c r="AA134" s="1">
        <f>IF(COUNTIF($D$2:D134,D134)=1,ROW()-1,ROWS(Clean_Data[OrderID])+1)</f>
        <v>133</v>
      </c>
      <c r="AB134" s="1">
        <f>IF(COUNTIF($F$2:F134,F134)=1,ROW()-1,ROWS(Clean_Data[OrderID])+1)</f>
        <v>901</v>
      </c>
      <c r="AC134" s="1">
        <f>IF(COUNTIF($G$2:G134,G134)=1,ROW()-1,ROWS(Clean_Data[OrderID])+1)</f>
        <v>901</v>
      </c>
      <c r="AD134" s="1">
        <f>IF(COUNTIF($H$2:H134,H134)=1,ROW()-1,ROWS(Clean_Data[OrderID])+1)</f>
        <v>901</v>
      </c>
      <c r="AE134" s="1">
        <f>IF(COUNTIF($V$2:V134,V134)=1,V134,ROWS(Clean_Data[OrderID])+1)</f>
        <v>901</v>
      </c>
      <c r="AF134" s="1">
        <f>IF(COUNTIF($U$2:U134,U134)=1,U134,ROWS(Clean_Data[OrderID])+1)</f>
        <v>901</v>
      </c>
      <c r="AG134" s="1">
        <f>IF(COUNTIF($E$2:E134,E134)=1,ROW()-1,ROWS(Clean_Data[OrderID])+1)</f>
        <v>901</v>
      </c>
    </row>
    <row r="135" spans="1:33" ht="20" customHeight="1">
      <c r="A135" s="3" t="s">
        <v>366</v>
      </c>
      <c r="B135" s="2">
        <v>46270</v>
      </c>
      <c r="C135" s="3">
        <v>22</v>
      </c>
      <c r="D135" s="3" t="s">
        <v>367</v>
      </c>
      <c r="E135" s="3" t="s">
        <v>117</v>
      </c>
      <c r="F135" s="3" t="s">
        <v>98</v>
      </c>
      <c r="G135" s="3" t="s">
        <v>122</v>
      </c>
      <c r="H135" s="3" t="s">
        <v>153</v>
      </c>
      <c r="I135" s="3">
        <v>6</v>
      </c>
      <c r="J135" s="11">
        <v>130</v>
      </c>
      <c r="K135" s="4">
        <v>0.05</v>
      </c>
      <c r="L135" s="3" t="s">
        <v>95</v>
      </c>
      <c r="M135" s="3">
        <v>26</v>
      </c>
      <c r="N135" s="3">
        <v>5</v>
      </c>
      <c r="O135" s="3">
        <v>5</v>
      </c>
      <c r="P135" s="11">
        <f>Clean_Data[[#This Row],[Quantity]]*Clean_Data[[#This Row],[UnitPrice]]</f>
        <v>780</v>
      </c>
      <c r="Q135" s="11">
        <f>ROUND(Clean_Data[[#This Row],[GrossSales]]*Clean_Data[[#This Row],[DiscountPct]],2)</f>
        <v>39</v>
      </c>
      <c r="R135" s="11">
        <f>IF(Clean_Data[[#This Row],[Status]]="Delivered",ROUND(Clean_Data[[#This Row],[GrossSales]]-Clean_Data[[#This Row],[DiscountAmount]],2),0)</f>
        <v>741</v>
      </c>
      <c r="S135" s="3" t="str">
        <f>IF(Clean_Data[[#This Row],[OrderHour]]&lt;6,"Night",IF(Clean_Data[[#This Row],[OrderHour]]&lt;12,"Morning",IF(Clean_Data[[#This Row],[OrderHour]]&lt;18,"Afternoon","Evening")))</f>
        <v>Evening</v>
      </c>
      <c r="T135" s="3" t="str">
        <f>TEXT(Clean_Data[[#This Row],[OrderDate]],"[$-409]ddd")</f>
        <v>Sat</v>
      </c>
      <c r="U135" s="3">
        <f>WEEKDAY(Clean_Data[[#This Row],[OrderDate]],2)</f>
        <v>6</v>
      </c>
      <c r="V135" s="3">
        <f>INT(Clean_Data[[#This Row],[OrderHour]]/6)+1</f>
        <v>4</v>
      </c>
      <c r="W135" s="3">
        <f>IF(Clean_Data[[#This Row],[Status]]="Delivered",1,0)</f>
        <v>1</v>
      </c>
      <c r="X135" s="3">
        <f>IF(Clean_Data[[#This Row],[Status]]="Delivered",IF(Clean_Data[[#This Row],[DeliveryMinutes]]&lt;=Dashboard!$X$5,1,0),0)</f>
        <v>1</v>
      </c>
      <c r="Y1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5" s="3">
        <f>IF(AND(Clean_Data[[#This Row],[Include]]=1,Clean_Data[[#This Row],[DeliveredFlag]]=1),1,0)</f>
        <v>1</v>
      </c>
      <c r="AA135" s="1">
        <f>IF(COUNTIF($D$2:D135,D135)=1,ROW()-1,ROWS(Clean_Data[OrderID])+1)</f>
        <v>134</v>
      </c>
      <c r="AB135" s="1">
        <f>IF(COUNTIF($F$2:F135,F135)=1,ROW()-1,ROWS(Clean_Data[OrderID])+1)</f>
        <v>901</v>
      </c>
      <c r="AC135" s="1">
        <f>IF(COUNTIF($G$2:G135,G135)=1,ROW()-1,ROWS(Clean_Data[OrderID])+1)</f>
        <v>901</v>
      </c>
      <c r="AD135" s="1">
        <f>IF(COUNTIF($H$2:H135,H135)=1,ROW()-1,ROWS(Clean_Data[OrderID])+1)</f>
        <v>901</v>
      </c>
      <c r="AE135" s="1">
        <f>IF(COUNTIF($V$2:V135,V135)=1,V135,ROWS(Clean_Data[OrderID])+1)</f>
        <v>901</v>
      </c>
      <c r="AF135" s="1">
        <f>IF(COUNTIF($U$2:U135,U135)=1,U135,ROWS(Clean_Data[OrderID])+1)</f>
        <v>901</v>
      </c>
      <c r="AG135" s="1">
        <f>IF(COUNTIF($E$2:E135,E135)=1,ROW()-1,ROWS(Clean_Data[OrderID])+1)</f>
        <v>901</v>
      </c>
    </row>
    <row r="136" spans="1:33" ht="20" customHeight="1">
      <c r="A136" s="3" t="s">
        <v>368</v>
      </c>
      <c r="B136" s="2">
        <v>46270</v>
      </c>
      <c r="C136" s="3">
        <v>9</v>
      </c>
      <c r="D136" s="3" t="s">
        <v>369</v>
      </c>
      <c r="E136" s="3" t="s">
        <v>91</v>
      </c>
      <c r="F136" s="3" t="s">
        <v>121</v>
      </c>
      <c r="G136" s="3" t="s">
        <v>135</v>
      </c>
      <c r="H136" s="3" t="s">
        <v>217</v>
      </c>
      <c r="I136" s="3">
        <v>4</v>
      </c>
      <c r="J136" s="11">
        <v>65</v>
      </c>
      <c r="K136" s="4">
        <v>0.05</v>
      </c>
      <c r="L136" s="3" t="s">
        <v>95</v>
      </c>
      <c r="M136" s="3">
        <v>21</v>
      </c>
      <c r="N136" s="3">
        <v>8</v>
      </c>
      <c r="O136" s="3">
        <v>4</v>
      </c>
      <c r="P136" s="11">
        <f>Clean_Data[[#This Row],[Quantity]]*Clean_Data[[#This Row],[UnitPrice]]</f>
        <v>260</v>
      </c>
      <c r="Q136" s="11">
        <f>ROUND(Clean_Data[[#This Row],[GrossSales]]*Clean_Data[[#This Row],[DiscountPct]],2)</f>
        <v>13</v>
      </c>
      <c r="R136" s="11">
        <f>IF(Clean_Data[[#This Row],[Status]]="Delivered",ROUND(Clean_Data[[#This Row],[GrossSales]]-Clean_Data[[#This Row],[DiscountAmount]],2),0)</f>
        <v>247</v>
      </c>
      <c r="S136" s="3" t="str">
        <f>IF(Clean_Data[[#This Row],[OrderHour]]&lt;6,"Night",IF(Clean_Data[[#This Row],[OrderHour]]&lt;12,"Morning",IF(Clean_Data[[#This Row],[OrderHour]]&lt;18,"Afternoon","Evening")))</f>
        <v>Morning</v>
      </c>
      <c r="T136" s="3" t="str">
        <f>TEXT(Clean_Data[[#This Row],[OrderDate]],"[$-409]ddd")</f>
        <v>Sat</v>
      </c>
      <c r="U136" s="3">
        <f>WEEKDAY(Clean_Data[[#This Row],[OrderDate]],2)</f>
        <v>6</v>
      </c>
      <c r="V136" s="3">
        <f>INT(Clean_Data[[#This Row],[OrderHour]]/6)+1</f>
        <v>2</v>
      </c>
      <c r="W136" s="3">
        <f>IF(Clean_Data[[#This Row],[Status]]="Delivered",1,0)</f>
        <v>1</v>
      </c>
      <c r="X136" s="3">
        <f>IF(Clean_Data[[#This Row],[Status]]="Delivered",IF(Clean_Data[[#This Row],[DeliveryMinutes]]&lt;=Dashboard!$X$5,1,0),0)</f>
        <v>1</v>
      </c>
      <c r="Y1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6" s="3">
        <f>IF(AND(Clean_Data[[#This Row],[Include]]=1,Clean_Data[[#This Row],[DeliveredFlag]]=1),1,0)</f>
        <v>1</v>
      </c>
      <c r="AA136" s="1">
        <f>IF(COUNTIF($D$2:D136,D136)=1,ROW()-1,ROWS(Clean_Data[OrderID])+1)</f>
        <v>135</v>
      </c>
      <c r="AB136" s="1">
        <f>IF(COUNTIF($F$2:F136,F136)=1,ROW()-1,ROWS(Clean_Data[OrderID])+1)</f>
        <v>901</v>
      </c>
      <c r="AC136" s="1">
        <f>IF(COUNTIF($G$2:G136,G136)=1,ROW()-1,ROWS(Clean_Data[OrderID])+1)</f>
        <v>901</v>
      </c>
      <c r="AD136" s="1">
        <f>IF(COUNTIF($H$2:H136,H136)=1,ROW()-1,ROWS(Clean_Data[OrderID])+1)</f>
        <v>901</v>
      </c>
      <c r="AE136" s="1">
        <f>IF(COUNTIF($V$2:V136,V136)=1,V136,ROWS(Clean_Data[OrderID])+1)</f>
        <v>901</v>
      </c>
      <c r="AF136" s="1">
        <f>IF(COUNTIF($U$2:U136,U136)=1,U136,ROWS(Clean_Data[OrderID])+1)</f>
        <v>901</v>
      </c>
      <c r="AG136" s="1">
        <f>IF(COUNTIF($E$2:E136,E136)=1,ROW()-1,ROWS(Clean_Data[OrderID])+1)</f>
        <v>901</v>
      </c>
    </row>
    <row r="137" spans="1:33" ht="20" customHeight="1">
      <c r="A137" s="3" t="s">
        <v>370</v>
      </c>
      <c r="B137" s="2">
        <v>46270</v>
      </c>
      <c r="C137" s="3">
        <v>12</v>
      </c>
      <c r="D137" s="3" t="s">
        <v>132</v>
      </c>
      <c r="E137" s="3" t="s">
        <v>91</v>
      </c>
      <c r="F137" s="3" t="s">
        <v>139</v>
      </c>
      <c r="G137" s="3" t="s">
        <v>174</v>
      </c>
      <c r="H137" s="3" t="s">
        <v>184</v>
      </c>
      <c r="I137" s="3">
        <v>5</v>
      </c>
      <c r="J137" s="11">
        <v>62</v>
      </c>
      <c r="K137" s="4">
        <v>0</v>
      </c>
      <c r="L137" s="3" t="s">
        <v>95</v>
      </c>
      <c r="M137" s="3">
        <v>27</v>
      </c>
      <c r="N137" s="3">
        <v>6</v>
      </c>
      <c r="O137" s="3">
        <v>5</v>
      </c>
      <c r="P137" s="11">
        <f>Clean_Data[[#This Row],[Quantity]]*Clean_Data[[#This Row],[UnitPrice]]</f>
        <v>310</v>
      </c>
      <c r="Q137" s="11">
        <f>ROUND(Clean_Data[[#This Row],[GrossSales]]*Clean_Data[[#This Row],[DiscountPct]],2)</f>
        <v>0</v>
      </c>
      <c r="R137" s="11">
        <f>IF(Clean_Data[[#This Row],[Status]]="Delivered",ROUND(Clean_Data[[#This Row],[GrossSales]]-Clean_Data[[#This Row],[DiscountAmount]],2),0)</f>
        <v>310</v>
      </c>
      <c r="S137" s="3" t="str">
        <f>IF(Clean_Data[[#This Row],[OrderHour]]&lt;6,"Night",IF(Clean_Data[[#This Row],[OrderHour]]&lt;12,"Morning",IF(Clean_Data[[#This Row],[OrderHour]]&lt;18,"Afternoon","Evening")))</f>
        <v>Afternoon</v>
      </c>
      <c r="T137" s="3" t="str">
        <f>TEXT(Clean_Data[[#This Row],[OrderDate]],"[$-409]ddd")</f>
        <v>Sat</v>
      </c>
      <c r="U137" s="3">
        <f>WEEKDAY(Clean_Data[[#This Row],[OrderDate]],2)</f>
        <v>6</v>
      </c>
      <c r="V137" s="3">
        <f>INT(Clean_Data[[#This Row],[OrderHour]]/6)+1</f>
        <v>3</v>
      </c>
      <c r="W137" s="3">
        <f>IF(Clean_Data[[#This Row],[Status]]="Delivered",1,0)</f>
        <v>1</v>
      </c>
      <c r="X137" s="3">
        <f>IF(Clean_Data[[#This Row],[Status]]="Delivered",IF(Clean_Data[[#This Row],[DeliveryMinutes]]&lt;=Dashboard!$X$5,1,0),0)</f>
        <v>1</v>
      </c>
      <c r="Y1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7" s="3">
        <f>IF(AND(Clean_Data[[#This Row],[Include]]=1,Clean_Data[[#This Row],[DeliveredFlag]]=1),1,0)</f>
        <v>1</v>
      </c>
      <c r="AA137" s="1">
        <f>IF(COUNTIF($D$2:D137,D137)=1,ROW()-1,ROWS(Clean_Data[OrderID])+1)</f>
        <v>901</v>
      </c>
      <c r="AB137" s="1">
        <f>IF(COUNTIF($F$2:F137,F137)=1,ROW()-1,ROWS(Clean_Data[OrderID])+1)</f>
        <v>901</v>
      </c>
      <c r="AC137" s="1">
        <f>IF(COUNTIF($G$2:G137,G137)=1,ROW()-1,ROWS(Clean_Data[OrderID])+1)</f>
        <v>901</v>
      </c>
      <c r="AD137" s="1">
        <f>IF(COUNTIF($H$2:H137,H137)=1,ROW()-1,ROWS(Clean_Data[OrderID])+1)</f>
        <v>901</v>
      </c>
      <c r="AE137" s="1">
        <f>IF(COUNTIF($V$2:V137,V137)=1,V137,ROWS(Clean_Data[OrderID])+1)</f>
        <v>901</v>
      </c>
      <c r="AF137" s="1">
        <f>IF(COUNTIF($U$2:U137,U137)=1,U137,ROWS(Clean_Data[OrderID])+1)</f>
        <v>901</v>
      </c>
      <c r="AG137" s="1">
        <f>IF(COUNTIF($E$2:E137,E137)=1,ROW()-1,ROWS(Clean_Data[OrderID])+1)</f>
        <v>901</v>
      </c>
    </row>
    <row r="138" spans="1:33" ht="20" customHeight="1">
      <c r="A138" s="3" t="s">
        <v>371</v>
      </c>
      <c r="B138" s="2">
        <v>46270</v>
      </c>
      <c r="C138" s="3">
        <v>8</v>
      </c>
      <c r="D138" s="3" t="s">
        <v>372</v>
      </c>
      <c r="E138" s="3" t="s">
        <v>117</v>
      </c>
      <c r="F138" s="3" t="s">
        <v>98</v>
      </c>
      <c r="G138" s="3" t="s">
        <v>174</v>
      </c>
      <c r="H138" s="3" t="s">
        <v>274</v>
      </c>
      <c r="I138" s="3">
        <v>6</v>
      </c>
      <c r="J138" s="11">
        <v>90</v>
      </c>
      <c r="K138" s="4">
        <v>0</v>
      </c>
      <c r="L138" s="3" t="s">
        <v>95</v>
      </c>
      <c r="M138" s="3">
        <v>23</v>
      </c>
      <c r="N138" s="3">
        <v>15</v>
      </c>
      <c r="O138" s="3">
        <v>5</v>
      </c>
      <c r="P138" s="11">
        <f>Clean_Data[[#This Row],[Quantity]]*Clean_Data[[#This Row],[UnitPrice]]</f>
        <v>540</v>
      </c>
      <c r="Q138" s="11">
        <f>ROUND(Clean_Data[[#This Row],[GrossSales]]*Clean_Data[[#This Row],[DiscountPct]],2)</f>
        <v>0</v>
      </c>
      <c r="R138" s="11">
        <f>IF(Clean_Data[[#This Row],[Status]]="Delivered",ROUND(Clean_Data[[#This Row],[GrossSales]]-Clean_Data[[#This Row],[DiscountAmount]],2),0)</f>
        <v>540</v>
      </c>
      <c r="S138" s="3" t="str">
        <f>IF(Clean_Data[[#This Row],[OrderHour]]&lt;6,"Night",IF(Clean_Data[[#This Row],[OrderHour]]&lt;12,"Morning",IF(Clean_Data[[#This Row],[OrderHour]]&lt;18,"Afternoon","Evening")))</f>
        <v>Morning</v>
      </c>
      <c r="T138" s="3" t="str">
        <f>TEXT(Clean_Data[[#This Row],[OrderDate]],"[$-409]ddd")</f>
        <v>Sat</v>
      </c>
      <c r="U138" s="3">
        <f>WEEKDAY(Clean_Data[[#This Row],[OrderDate]],2)</f>
        <v>6</v>
      </c>
      <c r="V138" s="3">
        <f>INT(Clean_Data[[#This Row],[OrderHour]]/6)+1</f>
        <v>2</v>
      </c>
      <c r="W138" s="3">
        <f>IF(Clean_Data[[#This Row],[Status]]="Delivered",1,0)</f>
        <v>1</v>
      </c>
      <c r="X138" s="3">
        <f>IF(Clean_Data[[#This Row],[Status]]="Delivered",IF(Clean_Data[[#This Row],[DeliveryMinutes]]&lt;=Dashboard!$X$5,1,0),0)</f>
        <v>1</v>
      </c>
      <c r="Y1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8" s="3">
        <f>IF(AND(Clean_Data[[#This Row],[Include]]=1,Clean_Data[[#This Row],[DeliveredFlag]]=1),1,0)</f>
        <v>1</v>
      </c>
      <c r="AA138" s="1">
        <f>IF(COUNTIF($D$2:D138,D138)=1,ROW()-1,ROWS(Clean_Data[OrderID])+1)</f>
        <v>137</v>
      </c>
      <c r="AB138" s="1">
        <f>IF(COUNTIF($F$2:F138,F138)=1,ROW()-1,ROWS(Clean_Data[OrderID])+1)</f>
        <v>901</v>
      </c>
      <c r="AC138" s="1">
        <f>IF(COUNTIF($G$2:G138,G138)=1,ROW()-1,ROWS(Clean_Data[OrderID])+1)</f>
        <v>901</v>
      </c>
      <c r="AD138" s="1">
        <f>IF(COUNTIF($H$2:H138,H138)=1,ROW()-1,ROWS(Clean_Data[OrderID])+1)</f>
        <v>901</v>
      </c>
      <c r="AE138" s="1">
        <f>IF(COUNTIF($V$2:V138,V138)=1,V138,ROWS(Clean_Data[OrderID])+1)</f>
        <v>901</v>
      </c>
      <c r="AF138" s="1">
        <f>IF(COUNTIF($U$2:U138,U138)=1,U138,ROWS(Clean_Data[OrderID])+1)</f>
        <v>901</v>
      </c>
      <c r="AG138" s="1">
        <f>IF(COUNTIF($E$2:E138,E138)=1,ROW()-1,ROWS(Clean_Data[OrderID])+1)</f>
        <v>901</v>
      </c>
    </row>
    <row r="139" spans="1:33" ht="20" customHeight="1">
      <c r="A139" s="3" t="s">
        <v>373</v>
      </c>
      <c r="B139" s="2">
        <v>46270</v>
      </c>
      <c r="C139" s="3">
        <v>21</v>
      </c>
      <c r="D139" s="3" t="s">
        <v>374</v>
      </c>
      <c r="E139" s="3" t="s">
        <v>91</v>
      </c>
      <c r="F139" s="3" t="s">
        <v>121</v>
      </c>
      <c r="G139" s="3" t="s">
        <v>174</v>
      </c>
      <c r="H139" s="3" t="s">
        <v>184</v>
      </c>
      <c r="I139" s="3">
        <v>2</v>
      </c>
      <c r="J139" s="11">
        <v>62</v>
      </c>
      <c r="K139" s="4">
        <v>0.15</v>
      </c>
      <c r="L139" s="3" t="s">
        <v>95</v>
      </c>
      <c r="M139" s="3">
        <v>23</v>
      </c>
      <c r="N139" s="3">
        <v>7</v>
      </c>
      <c r="O139" s="3">
        <v>4</v>
      </c>
      <c r="P139" s="11">
        <f>Clean_Data[[#This Row],[Quantity]]*Clean_Data[[#This Row],[UnitPrice]]</f>
        <v>124</v>
      </c>
      <c r="Q139" s="11">
        <f>ROUND(Clean_Data[[#This Row],[GrossSales]]*Clean_Data[[#This Row],[DiscountPct]],2)</f>
        <v>18.600000000000001</v>
      </c>
      <c r="R139" s="11">
        <f>IF(Clean_Data[[#This Row],[Status]]="Delivered",ROUND(Clean_Data[[#This Row],[GrossSales]]-Clean_Data[[#This Row],[DiscountAmount]],2),0)</f>
        <v>105.4</v>
      </c>
      <c r="S139" s="3" t="str">
        <f>IF(Clean_Data[[#This Row],[OrderHour]]&lt;6,"Night",IF(Clean_Data[[#This Row],[OrderHour]]&lt;12,"Morning",IF(Clean_Data[[#This Row],[OrderHour]]&lt;18,"Afternoon","Evening")))</f>
        <v>Evening</v>
      </c>
      <c r="T139" s="3" t="str">
        <f>TEXT(Clean_Data[[#This Row],[OrderDate]],"[$-409]ddd")</f>
        <v>Sat</v>
      </c>
      <c r="U139" s="3">
        <f>WEEKDAY(Clean_Data[[#This Row],[OrderDate]],2)</f>
        <v>6</v>
      </c>
      <c r="V139" s="3">
        <f>INT(Clean_Data[[#This Row],[OrderHour]]/6)+1</f>
        <v>4</v>
      </c>
      <c r="W139" s="3">
        <f>IF(Clean_Data[[#This Row],[Status]]="Delivered",1,0)</f>
        <v>1</v>
      </c>
      <c r="X139" s="3">
        <f>IF(Clean_Data[[#This Row],[Status]]="Delivered",IF(Clean_Data[[#This Row],[DeliveryMinutes]]&lt;=Dashboard!$X$5,1,0),0)</f>
        <v>1</v>
      </c>
      <c r="Y1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39" s="3">
        <f>IF(AND(Clean_Data[[#This Row],[Include]]=1,Clean_Data[[#This Row],[DeliveredFlag]]=1),1,0)</f>
        <v>1</v>
      </c>
      <c r="AA139" s="1">
        <f>IF(COUNTIF($D$2:D139,D139)=1,ROW()-1,ROWS(Clean_Data[OrderID])+1)</f>
        <v>138</v>
      </c>
      <c r="AB139" s="1">
        <f>IF(COUNTIF($F$2:F139,F139)=1,ROW()-1,ROWS(Clean_Data[OrderID])+1)</f>
        <v>901</v>
      </c>
      <c r="AC139" s="1">
        <f>IF(COUNTIF($G$2:G139,G139)=1,ROW()-1,ROWS(Clean_Data[OrderID])+1)</f>
        <v>901</v>
      </c>
      <c r="AD139" s="1">
        <f>IF(COUNTIF($H$2:H139,H139)=1,ROW()-1,ROWS(Clean_Data[OrderID])+1)</f>
        <v>901</v>
      </c>
      <c r="AE139" s="1">
        <f>IF(COUNTIF($V$2:V139,V139)=1,V139,ROWS(Clean_Data[OrderID])+1)</f>
        <v>901</v>
      </c>
      <c r="AF139" s="1">
        <f>IF(COUNTIF($U$2:U139,U139)=1,U139,ROWS(Clean_Data[OrderID])+1)</f>
        <v>901</v>
      </c>
      <c r="AG139" s="1">
        <f>IF(COUNTIF($E$2:E139,E139)=1,ROW()-1,ROWS(Clean_Data[OrderID])+1)</f>
        <v>901</v>
      </c>
    </row>
    <row r="140" spans="1:33" ht="20" customHeight="1">
      <c r="A140" s="3" t="s">
        <v>375</v>
      </c>
      <c r="B140" s="2">
        <v>46270</v>
      </c>
      <c r="C140" s="3">
        <v>12</v>
      </c>
      <c r="D140" s="3" t="s">
        <v>376</v>
      </c>
      <c r="E140" s="3" t="s">
        <v>117</v>
      </c>
      <c r="F140" s="3" t="s">
        <v>98</v>
      </c>
      <c r="G140" s="3" t="s">
        <v>93</v>
      </c>
      <c r="H140" s="3" t="s">
        <v>118</v>
      </c>
      <c r="I140" s="3">
        <v>6</v>
      </c>
      <c r="J140" s="11">
        <v>45</v>
      </c>
      <c r="K140" s="4">
        <v>0.15</v>
      </c>
      <c r="L140" s="3" t="s">
        <v>95</v>
      </c>
      <c r="M140" s="3">
        <v>34</v>
      </c>
      <c r="N140" s="3">
        <v>8</v>
      </c>
      <c r="O140" s="3">
        <v>4</v>
      </c>
      <c r="P140" s="11">
        <f>Clean_Data[[#This Row],[Quantity]]*Clean_Data[[#This Row],[UnitPrice]]</f>
        <v>270</v>
      </c>
      <c r="Q140" s="11">
        <f>ROUND(Clean_Data[[#This Row],[GrossSales]]*Clean_Data[[#This Row],[DiscountPct]],2)</f>
        <v>40.5</v>
      </c>
      <c r="R140" s="11">
        <f>IF(Clean_Data[[#This Row],[Status]]="Delivered",ROUND(Clean_Data[[#This Row],[GrossSales]]-Clean_Data[[#This Row],[DiscountAmount]],2),0)</f>
        <v>229.5</v>
      </c>
      <c r="S140" s="3" t="str">
        <f>IF(Clean_Data[[#This Row],[OrderHour]]&lt;6,"Night",IF(Clean_Data[[#This Row],[OrderHour]]&lt;12,"Morning",IF(Clean_Data[[#This Row],[OrderHour]]&lt;18,"Afternoon","Evening")))</f>
        <v>Afternoon</v>
      </c>
      <c r="T140" s="3" t="str">
        <f>TEXT(Clean_Data[[#This Row],[OrderDate]],"[$-409]ddd")</f>
        <v>Sat</v>
      </c>
      <c r="U140" s="3">
        <f>WEEKDAY(Clean_Data[[#This Row],[OrderDate]],2)</f>
        <v>6</v>
      </c>
      <c r="V140" s="3">
        <f>INT(Clean_Data[[#This Row],[OrderHour]]/6)+1</f>
        <v>3</v>
      </c>
      <c r="W140" s="3">
        <f>IF(Clean_Data[[#This Row],[Status]]="Delivered",1,0)</f>
        <v>1</v>
      </c>
      <c r="X140" s="3">
        <f>IF(Clean_Data[[#This Row],[Status]]="Delivered",IF(Clean_Data[[#This Row],[DeliveryMinutes]]&lt;=Dashboard!$X$5,1,0),0)</f>
        <v>0</v>
      </c>
      <c r="Y1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0" s="3">
        <f>IF(AND(Clean_Data[[#This Row],[Include]]=1,Clean_Data[[#This Row],[DeliveredFlag]]=1),1,0)</f>
        <v>1</v>
      </c>
      <c r="AA140" s="1">
        <f>IF(COUNTIF($D$2:D140,D140)=1,ROW()-1,ROWS(Clean_Data[OrderID])+1)</f>
        <v>139</v>
      </c>
      <c r="AB140" s="1">
        <f>IF(COUNTIF($F$2:F140,F140)=1,ROW()-1,ROWS(Clean_Data[OrderID])+1)</f>
        <v>901</v>
      </c>
      <c r="AC140" s="1">
        <f>IF(COUNTIF($G$2:G140,G140)=1,ROW()-1,ROWS(Clean_Data[OrderID])+1)</f>
        <v>901</v>
      </c>
      <c r="AD140" s="1">
        <f>IF(COUNTIF($H$2:H140,H140)=1,ROW()-1,ROWS(Clean_Data[OrderID])+1)</f>
        <v>901</v>
      </c>
      <c r="AE140" s="1">
        <f>IF(COUNTIF($V$2:V140,V140)=1,V140,ROWS(Clean_Data[OrderID])+1)</f>
        <v>901</v>
      </c>
      <c r="AF140" s="1">
        <f>IF(COUNTIF($U$2:U140,U140)=1,U140,ROWS(Clean_Data[OrderID])+1)</f>
        <v>901</v>
      </c>
      <c r="AG140" s="1">
        <f>IF(COUNTIF($E$2:E140,E140)=1,ROW()-1,ROWS(Clean_Data[OrderID])+1)</f>
        <v>901</v>
      </c>
    </row>
    <row r="141" spans="1:33" ht="20" customHeight="1">
      <c r="A141" s="3" t="s">
        <v>377</v>
      </c>
      <c r="B141" s="2">
        <v>46270</v>
      </c>
      <c r="C141" s="3">
        <v>6</v>
      </c>
      <c r="D141" s="3" t="s">
        <v>378</v>
      </c>
      <c r="E141" s="3" t="s">
        <v>117</v>
      </c>
      <c r="F141" s="3" t="s">
        <v>139</v>
      </c>
      <c r="G141" s="3" t="s">
        <v>135</v>
      </c>
      <c r="H141" s="3" t="s">
        <v>162</v>
      </c>
      <c r="I141" s="3">
        <v>4</v>
      </c>
      <c r="J141" s="11">
        <v>180</v>
      </c>
      <c r="K141" s="4">
        <v>0.15</v>
      </c>
      <c r="L141" s="3" t="s">
        <v>95</v>
      </c>
      <c r="M141" s="3">
        <v>14</v>
      </c>
      <c r="N141" s="3">
        <v>4</v>
      </c>
      <c r="O141" s="3">
        <v>4</v>
      </c>
      <c r="P141" s="11">
        <f>Clean_Data[[#This Row],[Quantity]]*Clean_Data[[#This Row],[UnitPrice]]</f>
        <v>720</v>
      </c>
      <c r="Q141" s="11">
        <f>ROUND(Clean_Data[[#This Row],[GrossSales]]*Clean_Data[[#This Row],[DiscountPct]],2)</f>
        <v>108</v>
      </c>
      <c r="R141" s="11">
        <f>IF(Clean_Data[[#This Row],[Status]]="Delivered",ROUND(Clean_Data[[#This Row],[GrossSales]]-Clean_Data[[#This Row],[DiscountAmount]],2),0)</f>
        <v>612</v>
      </c>
      <c r="S141" s="3" t="str">
        <f>IF(Clean_Data[[#This Row],[OrderHour]]&lt;6,"Night",IF(Clean_Data[[#This Row],[OrderHour]]&lt;12,"Morning",IF(Clean_Data[[#This Row],[OrderHour]]&lt;18,"Afternoon","Evening")))</f>
        <v>Morning</v>
      </c>
      <c r="T141" s="3" t="str">
        <f>TEXT(Clean_Data[[#This Row],[OrderDate]],"[$-409]ddd")</f>
        <v>Sat</v>
      </c>
      <c r="U141" s="3">
        <f>WEEKDAY(Clean_Data[[#This Row],[OrderDate]],2)</f>
        <v>6</v>
      </c>
      <c r="V141" s="3">
        <f>INT(Clean_Data[[#This Row],[OrderHour]]/6)+1</f>
        <v>2</v>
      </c>
      <c r="W141" s="3">
        <f>IF(Clean_Data[[#This Row],[Status]]="Delivered",1,0)</f>
        <v>1</v>
      </c>
      <c r="X141" s="3">
        <f>IF(Clean_Data[[#This Row],[Status]]="Delivered",IF(Clean_Data[[#This Row],[DeliveryMinutes]]&lt;=Dashboard!$X$5,1,0),0)</f>
        <v>1</v>
      </c>
      <c r="Y1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1" s="3">
        <f>IF(AND(Clean_Data[[#This Row],[Include]]=1,Clean_Data[[#This Row],[DeliveredFlag]]=1),1,0)</f>
        <v>1</v>
      </c>
      <c r="AA141" s="1">
        <f>IF(COUNTIF($D$2:D141,D141)=1,ROW()-1,ROWS(Clean_Data[OrderID])+1)</f>
        <v>140</v>
      </c>
      <c r="AB141" s="1">
        <f>IF(COUNTIF($F$2:F141,F141)=1,ROW()-1,ROWS(Clean_Data[OrderID])+1)</f>
        <v>901</v>
      </c>
      <c r="AC141" s="1">
        <f>IF(COUNTIF($G$2:G141,G141)=1,ROW()-1,ROWS(Clean_Data[OrderID])+1)</f>
        <v>901</v>
      </c>
      <c r="AD141" s="1">
        <f>IF(COUNTIF($H$2:H141,H141)=1,ROW()-1,ROWS(Clean_Data[OrderID])+1)</f>
        <v>901</v>
      </c>
      <c r="AE141" s="1">
        <f>IF(COUNTIF($V$2:V141,V141)=1,V141,ROWS(Clean_Data[OrderID])+1)</f>
        <v>901</v>
      </c>
      <c r="AF141" s="1">
        <f>IF(COUNTIF($U$2:U141,U141)=1,U141,ROWS(Clean_Data[OrderID])+1)</f>
        <v>901</v>
      </c>
      <c r="AG141" s="1">
        <f>IF(COUNTIF($E$2:E141,E141)=1,ROW()-1,ROWS(Clean_Data[OrderID])+1)</f>
        <v>901</v>
      </c>
    </row>
    <row r="142" spans="1:33" ht="20" customHeight="1">
      <c r="A142" s="3" t="s">
        <v>379</v>
      </c>
      <c r="B142" s="2">
        <v>46270</v>
      </c>
      <c r="C142" s="3">
        <v>14</v>
      </c>
      <c r="D142" s="3" t="s">
        <v>262</v>
      </c>
      <c r="E142" s="3" t="s">
        <v>117</v>
      </c>
      <c r="F142" s="3" t="s">
        <v>109</v>
      </c>
      <c r="G142" s="3" t="s">
        <v>122</v>
      </c>
      <c r="H142" s="3" t="s">
        <v>123</v>
      </c>
      <c r="I142" s="3">
        <v>1</v>
      </c>
      <c r="J142" s="11">
        <v>45</v>
      </c>
      <c r="K142" s="4">
        <v>0</v>
      </c>
      <c r="L142" s="3" t="s">
        <v>95</v>
      </c>
      <c r="M142" s="3">
        <v>21</v>
      </c>
      <c r="N142" s="3">
        <v>12</v>
      </c>
      <c r="O142" s="3">
        <v>5</v>
      </c>
      <c r="P142" s="11">
        <f>Clean_Data[[#This Row],[Quantity]]*Clean_Data[[#This Row],[UnitPrice]]</f>
        <v>45</v>
      </c>
      <c r="Q142" s="11">
        <f>ROUND(Clean_Data[[#This Row],[GrossSales]]*Clean_Data[[#This Row],[DiscountPct]],2)</f>
        <v>0</v>
      </c>
      <c r="R142" s="11">
        <f>IF(Clean_Data[[#This Row],[Status]]="Delivered",ROUND(Clean_Data[[#This Row],[GrossSales]]-Clean_Data[[#This Row],[DiscountAmount]],2),0)</f>
        <v>45</v>
      </c>
      <c r="S142" s="3" t="str">
        <f>IF(Clean_Data[[#This Row],[OrderHour]]&lt;6,"Night",IF(Clean_Data[[#This Row],[OrderHour]]&lt;12,"Morning",IF(Clean_Data[[#This Row],[OrderHour]]&lt;18,"Afternoon","Evening")))</f>
        <v>Afternoon</v>
      </c>
      <c r="T142" s="3" t="str">
        <f>TEXT(Clean_Data[[#This Row],[OrderDate]],"[$-409]ddd")</f>
        <v>Sat</v>
      </c>
      <c r="U142" s="3">
        <f>WEEKDAY(Clean_Data[[#This Row],[OrderDate]],2)</f>
        <v>6</v>
      </c>
      <c r="V142" s="3">
        <f>INT(Clean_Data[[#This Row],[OrderHour]]/6)+1</f>
        <v>3</v>
      </c>
      <c r="W142" s="3">
        <f>IF(Clean_Data[[#This Row],[Status]]="Delivered",1,0)</f>
        <v>1</v>
      </c>
      <c r="X142" s="3">
        <f>IF(Clean_Data[[#This Row],[Status]]="Delivered",IF(Clean_Data[[#This Row],[DeliveryMinutes]]&lt;=Dashboard!$X$5,1,0),0)</f>
        <v>1</v>
      </c>
      <c r="Y1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2" s="3">
        <f>IF(AND(Clean_Data[[#This Row],[Include]]=1,Clean_Data[[#This Row],[DeliveredFlag]]=1),1,0)</f>
        <v>1</v>
      </c>
      <c r="AA142" s="1">
        <f>IF(COUNTIF($D$2:D142,D142)=1,ROW()-1,ROWS(Clean_Data[OrderID])+1)</f>
        <v>901</v>
      </c>
      <c r="AB142" s="1">
        <f>IF(COUNTIF($F$2:F142,F142)=1,ROW()-1,ROWS(Clean_Data[OrderID])+1)</f>
        <v>901</v>
      </c>
      <c r="AC142" s="1">
        <f>IF(COUNTIF($G$2:G142,G142)=1,ROW()-1,ROWS(Clean_Data[OrderID])+1)</f>
        <v>901</v>
      </c>
      <c r="AD142" s="1">
        <f>IF(COUNTIF($H$2:H142,H142)=1,ROW()-1,ROWS(Clean_Data[OrderID])+1)</f>
        <v>901</v>
      </c>
      <c r="AE142" s="1">
        <f>IF(COUNTIF($V$2:V142,V142)=1,V142,ROWS(Clean_Data[OrderID])+1)</f>
        <v>901</v>
      </c>
      <c r="AF142" s="1">
        <f>IF(COUNTIF($U$2:U142,U142)=1,U142,ROWS(Clean_Data[OrderID])+1)</f>
        <v>901</v>
      </c>
      <c r="AG142" s="1">
        <f>IF(COUNTIF($E$2:E142,E142)=1,ROW()-1,ROWS(Clean_Data[OrderID])+1)</f>
        <v>901</v>
      </c>
    </row>
    <row r="143" spans="1:33" ht="20" customHeight="1">
      <c r="A143" s="3" t="s">
        <v>380</v>
      </c>
      <c r="B143" s="2">
        <v>46270</v>
      </c>
      <c r="C143" s="3">
        <v>20</v>
      </c>
      <c r="D143" s="3" t="s">
        <v>381</v>
      </c>
      <c r="E143" s="3" t="s">
        <v>117</v>
      </c>
      <c r="F143" s="3" t="s">
        <v>98</v>
      </c>
      <c r="G143" s="3" t="s">
        <v>174</v>
      </c>
      <c r="H143" s="3" t="s">
        <v>184</v>
      </c>
      <c r="I143" s="3">
        <v>4</v>
      </c>
      <c r="J143" s="11">
        <v>62</v>
      </c>
      <c r="K143" s="4">
        <v>0.05</v>
      </c>
      <c r="L143" s="3" t="s">
        <v>95</v>
      </c>
      <c r="M143" s="3">
        <v>25</v>
      </c>
      <c r="N143" s="3">
        <v>10</v>
      </c>
      <c r="O143" s="3">
        <v>4</v>
      </c>
      <c r="P143" s="11">
        <f>Clean_Data[[#This Row],[Quantity]]*Clean_Data[[#This Row],[UnitPrice]]</f>
        <v>248</v>
      </c>
      <c r="Q143" s="11">
        <f>ROUND(Clean_Data[[#This Row],[GrossSales]]*Clean_Data[[#This Row],[DiscountPct]],2)</f>
        <v>12.4</v>
      </c>
      <c r="R143" s="11">
        <f>IF(Clean_Data[[#This Row],[Status]]="Delivered",ROUND(Clean_Data[[#This Row],[GrossSales]]-Clean_Data[[#This Row],[DiscountAmount]],2),0)</f>
        <v>235.6</v>
      </c>
      <c r="S143" s="3" t="str">
        <f>IF(Clean_Data[[#This Row],[OrderHour]]&lt;6,"Night",IF(Clean_Data[[#This Row],[OrderHour]]&lt;12,"Morning",IF(Clean_Data[[#This Row],[OrderHour]]&lt;18,"Afternoon","Evening")))</f>
        <v>Evening</v>
      </c>
      <c r="T143" s="3" t="str">
        <f>TEXT(Clean_Data[[#This Row],[OrderDate]],"[$-409]ddd")</f>
        <v>Sat</v>
      </c>
      <c r="U143" s="3">
        <f>WEEKDAY(Clean_Data[[#This Row],[OrderDate]],2)</f>
        <v>6</v>
      </c>
      <c r="V143" s="3">
        <f>INT(Clean_Data[[#This Row],[OrderHour]]/6)+1</f>
        <v>4</v>
      </c>
      <c r="W143" s="3">
        <f>IF(Clean_Data[[#This Row],[Status]]="Delivered",1,0)</f>
        <v>1</v>
      </c>
      <c r="X143" s="3">
        <f>IF(Clean_Data[[#This Row],[Status]]="Delivered",IF(Clean_Data[[#This Row],[DeliveryMinutes]]&lt;=Dashboard!$X$5,1,0),0)</f>
        <v>1</v>
      </c>
      <c r="Y1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3" s="3">
        <f>IF(AND(Clean_Data[[#This Row],[Include]]=1,Clean_Data[[#This Row],[DeliveredFlag]]=1),1,0)</f>
        <v>1</v>
      </c>
      <c r="AA143" s="1">
        <f>IF(COUNTIF($D$2:D143,D143)=1,ROW()-1,ROWS(Clean_Data[OrderID])+1)</f>
        <v>142</v>
      </c>
      <c r="AB143" s="1">
        <f>IF(COUNTIF($F$2:F143,F143)=1,ROW()-1,ROWS(Clean_Data[OrderID])+1)</f>
        <v>901</v>
      </c>
      <c r="AC143" s="1">
        <f>IF(COUNTIF($G$2:G143,G143)=1,ROW()-1,ROWS(Clean_Data[OrderID])+1)</f>
        <v>901</v>
      </c>
      <c r="AD143" s="1">
        <f>IF(COUNTIF($H$2:H143,H143)=1,ROW()-1,ROWS(Clean_Data[OrderID])+1)</f>
        <v>901</v>
      </c>
      <c r="AE143" s="1">
        <f>IF(COUNTIF($V$2:V143,V143)=1,V143,ROWS(Clean_Data[OrderID])+1)</f>
        <v>901</v>
      </c>
      <c r="AF143" s="1">
        <f>IF(COUNTIF($U$2:U143,U143)=1,U143,ROWS(Clean_Data[OrderID])+1)</f>
        <v>901</v>
      </c>
      <c r="AG143" s="1">
        <f>IF(COUNTIF($E$2:E143,E143)=1,ROW()-1,ROWS(Clean_Data[OrderID])+1)</f>
        <v>901</v>
      </c>
    </row>
    <row r="144" spans="1:33" ht="20" customHeight="1">
      <c r="A144" s="3" t="s">
        <v>382</v>
      </c>
      <c r="B144" s="2">
        <v>46270</v>
      </c>
      <c r="C144" s="3">
        <v>10</v>
      </c>
      <c r="D144" s="3" t="s">
        <v>383</v>
      </c>
      <c r="E144" s="3" t="s">
        <v>91</v>
      </c>
      <c r="F144" s="3" t="s">
        <v>92</v>
      </c>
      <c r="G144" s="3" t="s">
        <v>99</v>
      </c>
      <c r="H144" s="3" t="s">
        <v>104</v>
      </c>
      <c r="I144" s="3">
        <v>6</v>
      </c>
      <c r="J144" s="11">
        <v>240</v>
      </c>
      <c r="K144" s="4">
        <v>0.1</v>
      </c>
      <c r="L144" s="3" t="s">
        <v>101</v>
      </c>
      <c r="M144" s="3"/>
      <c r="N144" s="3"/>
      <c r="O144" s="3"/>
      <c r="P144" s="11">
        <f>Clean_Data[[#This Row],[Quantity]]*Clean_Data[[#This Row],[UnitPrice]]</f>
        <v>1440</v>
      </c>
      <c r="Q144" s="11">
        <f>ROUND(Clean_Data[[#This Row],[GrossSales]]*Clean_Data[[#This Row],[DiscountPct]],2)</f>
        <v>144</v>
      </c>
      <c r="R144" s="11">
        <f>IF(Clean_Data[[#This Row],[Status]]="Delivered",ROUND(Clean_Data[[#This Row],[GrossSales]]-Clean_Data[[#This Row],[DiscountAmount]],2),0)</f>
        <v>0</v>
      </c>
      <c r="S144" s="3" t="str">
        <f>IF(Clean_Data[[#This Row],[OrderHour]]&lt;6,"Night",IF(Clean_Data[[#This Row],[OrderHour]]&lt;12,"Morning",IF(Clean_Data[[#This Row],[OrderHour]]&lt;18,"Afternoon","Evening")))</f>
        <v>Morning</v>
      </c>
      <c r="T144" s="3" t="str">
        <f>TEXT(Clean_Data[[#This Row],[OrderDate]],"[$-409]ddd")</f>
        <v>Sat</v>
      </c>
      <c r="U144" s="3">
        <f>WEEKDAY(Clean_Data[[#This Row],[OrderDate]],2)</f>
        <v>6</v>
      </c>
      <c r="V144" s="3">
        <f>INT(Clean_Data[[#This Row],[OrderHour]]/6)+1</f>
        <v>2</v>
      </c>
      <c r="W144" s="3">
        <f>IF(Clean_Data[[#This Row],[Status]]="Delivered",1,0)</f>
        <v>0</v>
      </c>
      <c r="X144" s="3">
        <f>IF(Clean_Data[[#This Row],[Status]]="Delivered",IF(Clean_Data[[#This Row],[DeliveryMinutes]]&lt;=Dashboard!$X$5,1,0),0)</f>
        <v>0</v>
      </c>
      <c r="Y1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4" s="3">
        <f>IF(AND(Clean_Data[[#This Row],[Include]]=1,Clean_Data[[#This Row],[DeliveredFlag]]=1),1,0)</f>
        <v>0</v>
      </c>
      <c r="AA144" s="1">
        <f>IF(COUNTIF($D$2:D144,D144)=1,ROW()-1,ROWS(Clean_Data[OrderID])+1)</f>
        <v>143</v>
      </c>
      <c r="AB144" s="1">
        <f>IF(COUNTIF($F$2:F144,F144)=1,ROW()-1,ROWS(Clean_Data[OrderID])+1)</f>
        <v>901</v>
      </c>
      <c r="AC144" s="1">
        <f>IF(COUNTIF($G$2:G144,G144)=1,ROW()-1,ROWS(Clean_Data[OrderID])+1)</f>
        <v>901</v>
      </c>
      <c r="AD144" s="1">
        <f>IF(COUNTIF($H$2:H144,H144)=1,ROW()-1,ROWS(Clean_Data[OrderID])+1)</f>
        <v>901</v>
      </c>
      <c r="AE144" s="1">
        <f>IF(COUNTIF($V$2:V144,V144)=1,V144,ROWS(Clean_Data[OrderID])+1)</f>
        <v>901</v>
      </c>
      <c r="AF144" s="1">
        <f>IF(COUNTIF($U$2:U144,U144)=1,U144,ROWS(Clean_Data[OrderID])+1)</f>
        <v>901</v>
      </c>
      <c r="AG144" s="1">
        <f>IF(COUNTIF($E$2:E144,E144)=1,ROW()-1,ROWS(Clean_Data[OrderID])+1)</f>
        <v>901</v>
      </c>
    </row>
    <row r="145" spans="1:33" ht="20" customHeight="1">
      <c r="A145" s="3" t="s">
        <v>384</v>
      </c>
      <c r="B145" s="2">
        <v>46270</v>
      </c>
      <c r="C145" s="3">
        <v>12</v>
      </c>
      <c r="D145" s="3" t="s">
        <v>265</v>
      </c>
      <c r="E145" s="3" t="s">
        <v>117</v>
      </c>
      <c r="F145" s="3" t="s">
        <v>92</v>
      </c>
      <c r="G145" s="3" t="s">
        <v>110</v>
      </c>
      <c r="H145" s="3" t="s">
        <v>206</v>
      </c>
      <c r="I145" s="3">
        <v>4</v>
      </c>
      <c r="J145" s="11">
        <v>220</v>
      </c>
      <c r="K145" s="4">
        <v>0.1</v>
      </c>
      <c r="L145" s="3" t="s">
        <v>95</v>
      </c>
      <c r="M145" s="3">
        <v>17</v>
      </c>
      <c r="N145" s="3">
        <v>12</v>
      </c>
      <c r="O145" s="3">
        <v>5</v>
      </c>
      <c r="P145" s="11">
        <f>Clean_Data[[#This Row],[Quantity]]*Clean_Data[[#This Row],[UnitPrice]]</f>
        <v>880</v>
      </c>
      <c r="Q145" s="11">
        <f>ROUND(Clean_Data[[#This Row],[GrossSales]]*Clean_Data[[#This Row],[DiscountPct]],2)</f>
        <v>88</v>
      </c>
      <c r="R145" s="11">
        <f>IF(Clean_Data[[#This Row],[Status]]="Delivered",ROUND(Clean_Data[[#This Row],[GrossSales]]-Clean_Data[[#This Row],[DiscountAmount]],2),0)</f>
        <v>792</v>
      </c>
      <c r="S145" s="3" t="str">
        <f>IF(Clean_Data[[#This Row],[OrderHour]]&lt;6,"Night",IF(Clean_Data[[#This Row],[OrderHour]]&lt;12,"Morning",IF(Clean_Data[[#This Row],[OrderHour]]&lt;18,"Afternoon","Evening")))</f>
        <v>Afternoon</v>
      </c>
      <c r="T145" s="3" t="str">
        <f>TEXT(Clean_Data[[#This Row],[OrderDate]],"[$-409]ddd")</f>
        <v>Sat</v>
      </c>
      <c r="U145" s="3">
        <f>WEEKDAY(Clean_Data[[#This Row],[OrderDate]],2)</f>
        <v>6</v>
      </c>
      <c r="V145" s="3">
        <f>INT(Clean_Data[[#This Row],[OrderHour]]/6)+1</f>
        <v>3</v>
      </c>
      <c r="W145" s="3">
        <f>IF(Clean_Data[[#This Row],[Status]]="Delivered",1,0)</f>
        <v>1</v>
      </c>
      <c r="X145" s="3">
        <f>IF(Clean_Data[[#This Row],[Status]]="Delivered",IF(Clean_Data[[#This Row],[DeliveryMinutes]]&lt;=Dashboard!$X$5,1,0),0)</f>
        <v>1</v>
      </c>
      <c r="Y1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5" s="3">
        <f>IF(AND(Clean_Data[[#This Row],[Include]]=1,Clean_Data[[#This Row],[DeliveredFlag]]=1),1,0)</f>
        <v>1</v>
      </c>
      <c r="AA145" s="1">
        <f>IF(COUNTIF($D$2:D145,D145)=1,ROW()-1,ROWS(Clean_Data[OrderID])+1)</f>
        <v>901</v>
      </c>
      <c r="AB145" s="1">
        <f>IF(COUNTIF($F$2:F145,F145)=1,ROW()-1,ROWS(Clean_Data[OrderID])+1)</f>
        <v>901</v>
      </c>
      <c r="AC145" s="1">
        <f>IF(COUNTIF($G$2:G145,G145)=1,ROW()-1,ROWS(Clean_Data[OrderID])+1)</f>
        <v>901</v>
      </c>
      <c r="AD145" s="1">
        <f>IF(COUNTIF($H$2:H145,H145)=1,ROW()-1,ROWS(Clean_Data[OrderID])+1)</f>
        <v>901</v>
      </c>
      <c r="AE145" s="1">
        <f>IF(COUNTIF($V$2:V145,V145)=1,V145,ROWS(Clean_Data[OrderID])+1)</f>
        <v>901</v>
      </c>
      <c r="AF145" s="1">
        <f>IF(COUNTIF($U$2:U145,U145)=1,U145,ROWS(Clean_Data[OrderID])+1)</f>
        <v>901</v>
      </c>
      <c r="AG145" s="1">
        <f>IF(COUNTIF($E$2:E145,E145)=1,ROW()-1,ROWS(Clean_Data[OrderID])+1)</f>
        <v>901</v>
      </c>
    </row>
    <row r="146" spans="1:33" ht="20" customHeight="1">
      <c r="A146" s="3" t="s">
        <v>385</v>
      </c>
      <c r="B146" s="2">
        <v>46270</v>
      </c>
      <c r="C146" s="3">
        <v>8</v>
      </c>
      <c r="D146" s="3" t="s">
        <v>386</v>
      </c>
      <c r="E146" s="3" t="s">
        <v>117</v>
      </c>
      <c r="F146" s="3" t="s">
        <v>109</v>
      </c>
      <c r="G146" s="3" t="s">
        <v>99</v>
      </c>
      <c r="H146" s="3" t="s">
        <v>100</v>
      </c>
      <c r="I146" s="3">
        <v>3</v>
      </c>
      <c r="J146" s="11">
        <v>120</v>
      </c>
      <c r="K146" s="4">
        <v>0</v>
      </c>
      <c r="L146" s="3" t="s">
        <v>95</v>
      </c>
      <c r="M146" s="3">
        <v>16</v>
      </c>
      <c r="N146" s="3">
        <v>9</v>
      </c>
      <c r="O146" s="3">
        <v>4</v>
      </c>
      <c r="P146" s="11">
        <f>Clean_Data[[#This Row],[Quantity]]*Clean_Data[[#This Row],[UnitPrice]]</f>
        <v>360</v>
      </c>
      <c r="Q146" s="11">
        <f>ROUND(Clean_Data[[#This Row],[GrossSales]]*Clean_Data[[#This Row],[DiscountPct]],2)</f>
        <v>0</v>
      </c>
      <c r="R146" s="11">
        <f>IF(Clean_Data[[#This Row],[Status]]="Delivered",ROUND(Clean_Data[[#This Row],[GrossSales]]-Clean_Data[[#This Row],[DiscountAmount]],2),0)</f>
        <v>360</v>
      </c>
      <c r="S146" s="3" t="str">
        <f>IF(Clean_Data[[#This Row],[OrderHour]]&lt;6,"Night",IF(Clean_Data[[#This Row],[OrderHour]]&lt;12,"Morning",IF(Clean_Data[[#This Row],[OrderHour]]&lt;18,"Afternoon","Evening")))</f>
        <v>Morning</v>
      </c>
      <c r="T146" s="3" t="str">
        <f>TEXT(Clean_Data[[#This Row],[OrderDate]],"[$-409]ddd")</f>
        <v>Sat</v>
      </c>
      <c r="U146" s="3">
        <f>WEEKDAY(Clean_Data[[#This Row],[OrderDate]],2)</f>
        <v>6</v>
      </c>
      <c r="V146" s="3">
        <f>INT(Clean_Data[[#This Row],[OrderHour]]/6)+1</f>
        <v>2</v>
      </c>
      <c r="W146" s="3">
        <f>IF(Clean_Data[[#This Row],[Status]]="Delivered",1,0)</f>
        <v>1</v>
      </c>
      <c r="X146" s="3">
        <f>IF(Clean_Data[[#This Row],[Status]]="Delivered",IF(Clean_Data[[#This Row],[DeliveryMinutes]]&lt;=Dashboard!$X$5,1,0),0)</f>
        <v>1</v>
      </c>
      <c r="Y1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6" s="3">
        <f>IF(AND(Clean_Data[[#This Row],[Include]]=1,Clean_Data[[#This Row],[DeliveredFlag]]=1),1,0)</f>
        <v>1</v>
      </c>
      <c r="AA146" s="1">
        <f>IF(COUNTIF($D$2:D146,D146)=1,ROW()-1,ROWS(Clean_Data[OrderID])+1)</f>
        <v>145</v>
      </c>
      <c r="AB146" s="1">
        <f>IF(COUNTIF($F$2:F146,F146)=1,ROW()-1,ROWS(Clean_Data[OrderID])+1)</f>
        <v>901</v>
      </c>
      <c r="AC146" s="1">
        <f>IF(COUNTIF($G$2:G146,G146)=1,ROW()-1,ROWS(Clean_Data[OrderID])+1)</f>
        <v>901</v>
      </c>
      <c r="AD146" s="1">
        <f>IF(COUNTIF($H$2:H146,H146)=1,ROW()-1,ROWS(Clean_Data[OrderID])+1)</f>
        <v>901</v>
      </c>
      <c r="AE146" s="1">
        <f>IF(COUNTIF($V$2:V146,V146)=1,V146,ROWS(Clean_Data[OrderID])+1)</f>
        <v>901</v>
      </c>
      <c r="AF146" s="1">
        <f>IF(COUNTIF($U$2:U146,U146)=1,U146,ROWS(Clean_Data[OrderID])+1)</f>
        <v>901</v>
      </c>
      <c r="AG146" s="1">
        <f>IF(COUNTIF($E$2:E146,E146)=1,ROW()-1,ROWS(Clean_Data[OrderID])+1)</f>
        <v>901</v>
      </c>
    </row>
    <row r="147" spans="1:33" ht="20" customHeight="1">
      <c r="A147" s="3" t="s">
        <v>387</v>
      </c>
      <c r="B147" s="2">
        <v>46270</v>
      </c>
      <c r="C147" s="3">
        <v>18</v>
      </c>
      <c r="D147" s="3" t="s">
        <v>388</v>
      </c>
      <c r="E147" s="3" t="s">
        <v>91</v>
      </c>
      <c r="F147" s="3" t="s">
        <v>139</v>
      </c>
      <c r="G147" s="3" t="s">
        <v>93</v>
      </c>
      <c r="H147" s="3" t="s">
        <v>146</v>
      </c>
      <c r="I147" s="3">
        <v>5</v>
      </c>
      <c r="J147" s="11">
        <v>110</v>
      </c>
      <c r="K147" s="4">
        <v>0.15</v>
      </c>
      <c r="L147" s="3" t="s">
        <v>95</v>
      </c>
      <c r="M147" s="3">
        <v>15</v>
      </c>
      <c r="N147" s="3">
        <v>5</v>
      </c>
      <c r="O147" s="3">
        <v>4</v>
      </c>
      <c r="P147" s="11">
        <f>Clean_Data[[#This Row],[Quantity]]*Clean_Data[[#This Row],[UnitPrice]]</f>
        <v>550</v>
      </c>
      <c r="Q147" s="11">
        <f>ROUND(Clean_Data[[#This Row],[GrossSales]]*Clean_Data[[#This Row],[DiscountPct]],2)</f>
        <v>82.5</v>
      </c>
      <c r="R147" s="11">
        <f>IF(Clean_Data[[#This Row],[Status]]="Delivered",ROUND(Clean_Data[[#This Row],[GrossSales]]-Clean_Data[[#This Row],[DiscountAmount]],2),0)</f>
        <v>467.5</v>
      </c>
      <c r="S147" s="3" t="str">
        <f>IF(Clean_Data[[#This Row],[OrderHour]]&lt;6,"Night",IF(Clean_Data[[#This Row],[OrderHour]]&lt;12,"Morning",IF(Clean_Data[[#This Row],[OrderHour]]&lt;18,"Afternoon","Evening")))</f>
        <v>Evening</v>
      </c>
      <c r="T147" s="3" t="str">
        <f>TEXT(Clean_Data[[#This Row],[OrderDate]],"[$-409]ddd")</f>
        <v>Sat</v>
      </c>
      <c r="U147" s="3">
        <f>WEEKDAY(Clean_Data[[#This Row],[OrderDate]],2)</f>
        <v>6</v>
      </c>
      <c r="V147" s="3">
        <f>INT(Clean_Data[[#This Row],[OrderHour]]/6)+1</f>
        <v>4</v>
      </c>
      <c r="W147" s="3">
        <f>IF(Clean_Data[[#This Row],[Status]]="Delivered",1,0)</f>
        <v>1</v>
      </c>
      <c r="X147" s="3">
        <f>IF(Clean_Data[[#This Row],[Status]]="Delivered",IF(Clean_Data[[#This Row],[DeliveryMinutes]]&lt;=Dashboard!$X$5,1,0),0)</f>
        <v>1</v>
      </c>
      <c r="Y1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7" s="3">
        <f>IF(AND(Clean_Data[[#This Row],[Include]]=1,Clean_Data[[#This Row],[DeliveredFlag]]=1),1,0)</f>
        <v>1</v>
      </c>
      <c r="AA147" s="1">
        <f>IF(COUNTIF($D$2:D147,D147)=1,ROW()-1,ROWS(Clean_Data[OrderID])+1)</f>
        <v>146</v>
      </c>
      <c r="AB147" s="1">
        <f>IF(COUNTIF($F$2:F147,F147)=1,ROW()-1,ROWS(Clean_Data[OrderID])+1)</f>
        <v>901</v>
      </c>
      <c r="AC147" s="1">
        <f>IF(COUNTIF($G$2:G147,G147)=1,ROW()-1,ROWS(Clean_Data[OrderID])+1)</f>
        <v>901</v>
      </c>
      <c r="AD147" s="1">
        <f>IF(COUNTIF($H$2:H147,H147)=1,ROW()-1,ROWS(Clean_Data[OrderID])+1)</f>
        <v>901</v>
      </c>
      <c r="AE147" s="1">
        <f>IF(COUNTIF($V$2:V147,V147)=1,V147,ROWS(Clean_Data[OrderID])+1)</f>
        <v>901</v>
      </c>
      <c r="AF147" s="1">
        <f>IF(COUNTIF($U$2:U147,U147)=1,U147,ROWS(Clean_Data[OrderID])+1)</f>
        <v>901</v>
      </c>
      <c r="AG147" s="1">
        <f>IF(COUNTIF($E$2:E147,E147)=1,ROW()-1,ROWS(Clean_Data[OrderID])+1)</f>
        <v>901</v>
      </c>
    </row>
    <row r="148" spans="1:33" ht="20" customHeight="1">
      <c r="A148" s="3" t="s">
        <v>389</v>
      </c>
      <c r="B148" s="2">
        <v>46270</v>
      </c>
      <c r="C148" s="3">
        <v>10</v>
      </c>
      <c r="D148" s="3" t="s">
        <v>216</v>
      </c>
      <c r="E148" s="3" t="s">
        <v>91</v>
      </c>
      <c r="F148" s="3" t="s">
        <v>121</v>
      </c>
      <c r="G148" s="3" t="s">
        <v>174</v>
      </c>
      <c r="H148" s="3" t="s">
        <v>184</v>
      </c>
      <c r="I148" s="3">
        <v>1</v>
      </c>
      <c r="J148" s="11">
        <v>62</v>
      </c>
      <c r="K148" s="4">
        <v>0.15</v>
      </c>
      <c r="L148" s="3" t="s">
        <v>95</v>
      </c>
      <c r="M148" s="3">
        <v>15</v>
      </c>
      <c r="N148" s="3">
        <v>9</v>
      </c>
      <c r="O148" s="3">
        <v>4</v>
      </c>
      <c r="P148" s="11">
        <f>Clean_Data[[#This Row],[Quantity]]*Clean_Data[[#This Row],[UnitPrice]]</f>
        <v>62</v>
      </c>
      <c r="Q148" s="11">
        <f>ROUND(Clean_Data[[#This Row],[GrossSales]]*Clean_Data[[#This Row],[DiscountPct]],2)</f>
        <v>9.3000000000000007</v>
      </c>
      <c r="R148" s="11">
        <f>IF(Clean_Data[[#This Row],[Status]]="Delivered",ROUND(Clean_Data[[#This Row],[GrossSales]]-Clean_Data[[#This Row],[DiscountAmount]],2),0)</f>
        <v>52.7</v>
      </c>
      <c r="S148" s="3" t="str">
        <f>IF(Clean_Data[[#This Row],[OrderHour]]&lt;6,"Night",IF(Clean_Data[[#This Row],[OrderHour]]&lt;12,"Morning",IF(Clean_Data[[#This Row],[OrderHour]]&lt;18,"Afternoon","Evening")))</f>
        <v>Morning</v>
      </c>
      <c r="T148" s="3" t="str">
        <f>TEXT(Clean_Data[[#This Row],[OrderDate]],"[$-409]ddd")</f>
        <v>Sat</v>
      </c>
      <c r="U148" s="3">
        <f>WEEKDAY(Clean_Data[[#This Row],[OrderDate]],2)</f>
        <v>6</v>
      </c>
      <c r="V148" s="3">
        <f>INT(Clean_Data[[#This Row],[OrderHour]]/6)+1</f>
        <v>2</v>
      </c>
      <c r="W148" s="3">
        <f>IF(Clean_Data[[#This Row],[Status]]="Delivered",1,0)</f>
        <v>1</v>
      </c>
      <c r="X148" s="3">
        <f>IF(Clean_Data[[#This Row],[Status]]="Delivered",IF(Clean_Data[[#This Row],[DeliveryMinutes]]&lt;=Dashboard!$X$5,1,0),0)</f>
        <v>1</v>
      </c>
      <c r="Y1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8" s="3">
        <f>IF(AND(Clean_Data[[#This Row],[Include]]=1,Clean_Data[[#This Row],[DeliveredFlag]]=1),1,0)</f>
        <v>1</v>
      </c>
      <c r="AA148" s="1">
        <f>IF(COUNTIF($D$2:D148,D148)=1,ROW()-1,ROWS(Clean_Data[OrderID])+1)</f>
        <v>901</v>
      </c>
      <c r="AB148" s="1">
        <f>IF(COUNTIF($F$2:F148,F148)=1,ROW()-1,ROWS(Clean_Data[OrderID])+1)</f>
        <v>901</v>
      </c>
      <c r="AC148" s="1">
        <f>IF(COUNTIF($G$2:G148,G148)=1,ROW()-1,ROWS(Clean_Data[OrderID])+1)</f>
        <v>901</v>
      </c>
      <c r="AD148" s="1">
        <f>IF(COUNTIF($H$2:H148,H148)=1,ROW()-1,ROWS(Clean_Data[OrderID])+1)</f>
        <v>901</v>
      </c>
      <c r="AE148" s="1">
        <f>IF(COUNTIF($V$2:V148,V148)=1,V148,ROWS(Clean_Data[OrderID])+1)</f>
        <v>901</v>
      </c>
      <c r="AF148" s="1">
        <f>IF(COUNTIF($U$2:U148,U148)=1,U148,ROWS(Clean_Data[OrderID])+1)</f>
        <v>901</v>
      </c>
      <c r="AG148" s="1">
        <f>IF(COUNTIF($E$2:E148,E148)=1,ROW()-1,ROWS(Clean_Data[OrderID])+1)</f>
        <v>901</v>
      </c>
    </row>
    <row r="149" spans="1:33" ht="20" customHeight="1">
      <c r="A149" s="3" t="s">
        <v>390</v>
      </c>
      <c r="B149" s="2">
        <v>46270</v>
      </c>
      <c r="C149" s="3">
        <v>12</v>
      </c>
      <c r="D149" s="3" t="s">
        <v>271</v>
      </c>
      <c r="E149" s="3" t="s">
        <v>91</v>
      </c>
      <c r="F149" s="3" t="s">
        <v>92</v>
      </c>
      <c r="G149" s="3" t="s">
        <v>99</v>
      </c>
      <c r="H149" s="3" t="s">
        <v>104</v>
      </c>
      <c r="I149" s="3">
        <v>4</v>
      </c>
      <c r="J149" s="11">
        <v>240</v>
      </c>
      <c r="K149" s="4">
        <v>0</v>
      </c>
      <c r="L149" s="3" t="s">
        <v>95</v>
      </c>
      <c r="M149" s="3">
        <v>35</v>
      </c>
      <c r="N149" s="3">
        <v>13</v>
      </c>
      <c r="O149" s="3">
        <v>3</v>
      </c>
      <c r="P149" s="11">
        <f>Clean_Data[[#This Row],[Quantity]]*Clean_Data[[#This Row],[UnitPrice]]</f>
        <v>960</v>
      </c>
      <c r="Q149" s="11">
        <f>ROUND(Clean_Data[[#This Row],[GrossSales]]*Clean_Data[[#This Row],[DiscountPct]],2)</f>
        <v>0</v>
      </c>
      <c r="R149" s="11">
        <f>IF(Clean_Data[[#This Row],[Status]]="Delivered",ROUND(Clean_Data[[#This Row],[GrossSales]]-Clean_Data[[#This Row],[DiscountAmount]],2),0)</f>
        <v>960</v>
      </c>
      <c r="S149" s="3" t="str">
        <f>IF(Clean_Data[[#This Row],[OrderHour]]&lt;6,"Night",IF(Clean_Data[[#This Row],[OrderHour]]&lt;12,"Morning",IF(Clean_Data[[#This Row],[OrderHour]]&lt;18,"Afternoon","Evening")))</f>
        <v>Afternoon</v>
      </c>
      <c r="T149" s="3" t="str">
        <f>TEXT(Clean_Data[[#This Row],[OrderDate]],"[$-409]ddd")</f>
        <v>Sat</v>
      </c>
      <c r="U149" s="3">
        <f>WEEKDAY(Clean_Data[[#This Row],[OrderDate]],2)</f>
        <v>6</v>
      </c>
      <c r="V149" s="3">
        <f>INT(Clean_Data[[#This Row],[OrderHour]]/6)+1</f>
        <v>3</v>
      </c>
      <c r="W149" s="3">
        <f>IF(Clean_Data[[#This Row],[Status]]="Delivered",1,0)</f>
        <v>1</v>
      </c>
      <c r="X149" s="3">
        <f>IF(Clean_Data[[#This Row],[Status]]="Delivered",IF(Clean_Data[[#This Row],[DeliveryMinutes]]&lt;=Dashboard!$X$5,1,0),0)</f>
        <v>0</v>
      </c>
      <c r="Y1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49" s="3">
        <f>IF(AND(Clean_Data[[#This Row],[Include]]=1,Clean_Data[[#This Row],[DeliveredFlag]]=1),1,0)</f>
        <v>1</v>
      </c>
      <c r="AA149" s="1">
        <f>IF(COUNTIF($D$2:D149,D149)=1,ROW()-1,ROWS(Clean_Data[OrderID])+1)</f>
        <v>901</v>
      </c>
      <c r="AB149" s="1">
        <f>IF(COUNTIF($F$2:F149,F149)=1,ROW()-1,ROWS(Clean_Data[OrderID])+1)</f>
        <v>901</v>
      </c>
      <c r="AC149" s="1">
        <f>IF(COUNTIF($G$2:G149,G149)=1,ROW()-1,ROWS(Clean_Data[OrderID])+1)</f>
        <v>901</v>
      </c>
      <c r="AD149" s="1">
        <f>IF(COUNTIF($H$2:H149,H149)=1,ROW()-1,ROWS(Clean_Data[OrderID])+1)</f>
        <v>901</v>
      </c>
      <c r="AE149" s="1">
        <f>IF(COUNTIF($V$2:V149,V149)=1,V149,ROWS(Clean_Data[OrderID])+1)</f>
        <v>901</v>
      </c>
      <c r="AF149" s="1">
        <f>IF(COUNTIF($U$2:U149,U149)=1,U149,ROWS(Clean_Data[OrderID])+1)</f>
        <v>901</v>
      </c>
      <c r="AG149" s="1">
        <f>IF(COUNTIF($E$2:E149,E149)=1,ROW()-1,ROWS(Clean_Data[OrderID])+1)</f>
        <v>901</v>
      </c>
    </row>
    <row r="150" spans="1:33" ht="20" customHeight="1">
      <c r="A150" s="3" t="s">
        <v>391</v>
      </c>
      <c r="B150" s="2">
        <v>46270</v>
      </c>
      <c r="C150" s="3">
        <v>18</v>
      </c>
      <c r="D150" s="3" t="s">
        <v>392</v>
      </c>
      <c r="E150" s="3" t="s">
        <v>91</v>
      </c>
      <c r="F150" s="3" t="s">
        <v>109</v>
      </c>
      <c r="G150" s="3" t="s">
        <v>135</v>
      </c>
      <c r="H150" s="3" t="s">
        <v>136</v>
      </c>
      <c r="I150" s="3">
        <v>6</v>
      </c>
      <c r="J150" s="11">
        <v>40</v>
      </c>
      <c r="K150" s="4">
        <v>0</v>
      </c>
      <c r="L150" s="3" t="s">
        <v>95</v>
      </c>
      <c r="M150" s="3">
        <v>15</v>
      </c>
      <c r="N150" s="3">
        <v>8</v>
      </c>
      <c r="O150" s="3">
        <v>4</v>
      </c>
      <c r="P150" s="11">
        <f>Clean_Data[[#This Row],[Quantity]]*Clean_Data[[#This Row],[UnitPrice]]</f>
        <v>240</v>
      </c>
      <c r="Q150" s="11">
        <f>ROUND(Clean_Data[[#This Row],[GrossSales]]*Clean_Data[[#This Row],[DiscountPct]],2)</f>
        <v>0</v>
      </c>
      <c r="R150" s="11">
        <f>IF(Clean_Data[[#This Row],[Status]]="Delivered",ROUND(Clean_Data[[#This Row],[GrossSales]]-Clean_Data[[#This Row],[DiscountAmount]],2),0)</f>
        <v>240</v>
      </c>
      <c r="S150" s="3" t="str">
        <f>IF(Clean_Data[[#This Row],[OrderHour]]&lt;6,"Night",IF(Clean_Data[[#This Row],[OrderHour]]&lt;12,"Morning",IF(Clean_Data[[#This Row],[OrderHour]]&lt;18,"Afternoon","Evening")))</f>
        <v>Evening</v>
      </c>
      <c r="T150" s="3" t="str">
        <f>TEXT(Clean_Data[[#This Row],[OrderDate]],"[$-409]ddd")</f>
        <v>Sat</v>
      </c>
      <c r="U150" s="3">
        <f>WEEKDAY(Clean_Data[[#This Row],[OrderDate]],2)</f>
        <v>6</v>
      </c>
      <c r="V150" s="3">
        <f>INT(Clean_Data[[#This Row],[OrderHour]]/6)+1</f>
        <v>4</v>
      </c>
      <c r="W150" s="3">
        <f>IF(Clean_Data[[#This Row],[Status]]="Delivered",1,0)</f>
        <v>1</v>
      </c>
      <c r="X150" s="3">
        <f>IF(Clean_Data[[#This Row],[Status]]="Delivered",IF(Clean_Data[[#This Row],[DeliveryMinutes]]&lt;=Dashboard!$X$5,1,0),0)</f>
        <v>1</v>
      </c>
      <c r="Y1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0" s="3">
        <f>IF(AND(Clean_Data[[#This Row],[Include]]=1,Clean_Data[[#This Row],[DeliveredFlag]]=1),1,0)</f>
        <v>1</v>
      </c>
      <c r="AA150" s="1">
        <f>IF(COUNTIF($D$2:D150,D150)=1,ROW()-1,ROWS(Clean_Data[OrderID])+1)</f>
        <v>149</v>
      </c>
      <c r="AB150" s="1">
        <f>IF(COUNTIF($F$2:F150,F150)=1,ROW()-1,ROWS(Clean_Data[OrderID])+1)</f>
        <v>901</v>
      </c>
      <c r="AC150" s="1">
        <f>IF(COUNTIF($G$2:G150,G150)=1,ROW()-1,ROWS(Clean_Data[OrderID])+1)</f>
        <v>901</v>
      </c>
      <c r="AD150" s="1">
        <f>IF(COUNTIF($H$2:H150,H150)=1,ROW()-1,ROWS(Clean_Data[OrderID])+1)</f>
        <v>901</v>
      </c>
      <c r="AE150" s="1">
        <f>IF(COUNTIF($V$2:V150,V150)=1,V150,ROWS(Clean_Data[OrderID])+1)</f>
        <v>901</v>
      </c>
      <c r="AF150" s="1">
        <f>IF(COUNTIF($U$2:U150,U150)=1,U150,ROWS(Clean_Data[OrderID])+1)</f>
        <v>901</v>
      </c>
      <c r="AG150" s="1">
        <f>IF(COUNTIF($E$2:E150,E150)=1,ROW()-1,ROWS(Clean_Data[OrderID])+1)</f>
        <v>901</v>
      </c>
    </row>
    <row r="151" spans="1:33" ht="20" customHeight="1">
      <c r="A151" s="3" t="s">
        <v>393</v>
      </c>
      <c r="B151" s="2">
        <v>46270</v>
      </c>
      <c r="C151" s="3">
        <v>14</v>
      </c>
      <c r="D151" s="3" t="s">
        <v>394</v>
      </c>
      <c r="E151" s="3" t="s">
        <v>91</v>
      </c>
      <c r="F151" s="3" t="s">
        <v>139</v>
      </c>
      <c r="G151" s="3" t="s">
        <v>122</v>
      </c>
      <c r="H151" s="3" t="s">
        <v>123</v>
      </c>
      <c r="I151" s="3">
        <v>2</v>
      </c>
      <c r="J151" s="11">
        <v>45</v>
      </c>
      <c r="K151" s="4">
        <v>0</v>
      </c>
      <c r="L151" s="3" t="s">
        <v>95</v>
      </c>
      <c r="M151" s="3">
        <v>14</v>
      </c>
      <c r="N151" s="3">
        <v>4</v>
      </c>
      <c r="O151" s="3">
        <v>4</v>
      </c>
      <c r="P151" s="11">
        <f>Clean_Data[[#This Row],[Quantity]]*Clean_Data[[#This Row],[UnitPrice]]</f>
        <v>90</v>
      </c>
      <c r="Q151" s="11">
        <f>ROUND(Clean_Data[[#This Row],[GrossSales]]*Clean_Data[[#This Row],[DiscountPct]],2)</f>
        <v>0</v>
      </c>
      <c r="R151" s="11">
        <f>IF(Clean_Data[[#This Row],[Status]]="Delivered",ROUND(Clean_Data[[#This Row],[GrossSales]]-Clean_Data[[#This Row],[DiscountAmount]],2),0)</f>
        <v>90</v>
      </c>
      <c r="S151" s="3" t="str">
        <f>IF(Clean_Data[[#This Row],[OrderHour]]&lt;6,"Night",IF(Clean_Data[[#This Row],[OrderHour]]&lt;12,"Morning",IF(Clean_Data[[#This Row],[OrderHour]]&lt;18,"Afternoon","Evening")))</f>
        <v>Afternoon</v>
      </c>
      <c r="T151" s="3" t="str">
        <f>TEXT(Clean_Data[[#This Row],[OrderDate]],"[$-409]ddd")</f>
        <v>Sat</v>
      </c>
      <c r="U151" s="3">
        <f>WEEKDAY(Clean_Data[[#This Row],[OrderDate]],2)</f>
        <v>6</v>
      </c>
      <c r="V151" s="3">
        <f>INT(Clean_Data[[#This Row],[OrderHour]]/6)+1</f>
        <v>3</v>
      </c>
      <c r="W151" s="3">
        <f>IF(Clean_Data[[#This Row],[Status]]="Delivered",1,0)</f>
        <v>1</v>
      </c>
      <c r="X151" s="3">
        <f>IF(Clean_Data[[#This Row],[Status]]="Delivered",IF(Clean_Data[[#This Row],[DeliveryMinutes]]&lt;=Dashboard!$X$5,1,0),0)</f>
        <v>1</v>
      </c>
      <c r="Y1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1" s="3">
        <f>IF(AND(Clean_Data[[#This Row],[Include]]=1,Clean_Data[[#This Row],[DeliveredFlag]]=1),1,0)</f>
        <v>1</v>
      </c>
      <c r="AA151" s="1">
        <f>IF(COUNTIF($D$2:D151,D151)=1,ROW()-1,ROWS(Clean_Data[OrderID])+1)</f>
        <v>150</v>
      </c>
      <c r="AB151" s="1">
        <f>IF(COUNTIF($F$2:F151,F151)=1,ROW()-1,ROWS(Clean_Data[OrderID])+1)</f>
        <v>901</v>
      </c>
      <c r="AC151" s="1">
        <f>IF(COUNTIF($G$2:G151,G151)=1,ROW()-1,ROWS(Clean_Data[OrderID])+1)</f>
        <v>901</v>
      </c>
      <c r="AD151" s="1">
        <f>IF(COUNTIF($H$2:H151,H151)=1,ROW()-1,ROWS(Clean_Data[OrderID])+1)</f>
        <v>901</v>
      </c>
      <c r="AE151" s="1">
        <f>IF(COUNTIF($V$2:V151,V151)=1,V151,ROWS(Clean_Data[OrderID])+1)</f>
        <v>901</v>
      </c>
      <c r="AF151" s="1">
        <f>IF(COUNTIF($U$2:U151,U151)=1,U151,ROWS(Clean_Data[OrderID])+1)</f>
        <v>901</v>
      </c>
      <c r="AG151" s="1">
        <f>IF(COUNTIF($E$2:E151,E151)=1,ROW()-1,ROWS(Clean_Data[OrderID])+1)</f>
        <v>901</v>
      </c>
    </row>
    <row r="152" spans="1:33" ht="20" customHeight="1">
      <c r="A152" s="3" t="s">
        <v>395</v>
      </c>
      <c r="B152" s="2">
        <v>46271</v>
      </c>
      <c r="C152" s="3">
        <v>13</v>
      </c>
      <c r="D152" s="3" t="s">
        <v>396</v>
      </c>
      <c r="E152" s="3" t="s">
        <v>91</v>
      </c>
      <c r="F152" s="3" t="s">
        <v>121</v>
      </c>
      <c r="G152" s="3" t="s">
        <v>135</v>
      </c>
      <c r="H152" s="3" t="s">
        <v>162</v>
      </c>
      <c r="I152" s="3">
        <v>4</v>
      </c>
      <c r="J152" s="11">
        <v>180</v>
      </c>
      <c r="K152" s="4">
        <v>0</v>
      </c>
      <c r="L152" s="3" t="s">
        <v>95</v>
      </c>
      <c r="M152" s="3">
        <v>24</v>
      </c>
      <c r="N152" s="3">
        <v>4</v>
      </c>
      <c r="O152" s="3">
        <v>3</v>
      </c>
      <c r="P152" s="11">
        <f>Clean_Data[[#This Row],[Quantity]]*Clean_Data[[#This Row],[UnitPrice]]</f>
        <v>720</v>
      </c>
      <c r="Q152" s="11">
        <f>ROUND(Clean_Data[[#This Row],[GrossSales]]*Clean_Data[[#This Row],[DiscountPct]],2)</f>
        <v>0</v>
      </c>
      <c r="R152" s="11">
        <f>IF(Clean_Data[[#This Row],[Status]]="Delivered",ROUND(Clean_Data[[#This Row],[GrossSales]]-Clean_Data[[#This Row],[DiscountAmount]],2),0)</f>
        <v>720</v>
      </c>
      <c r="S152" s="3" t="str">
        <f>IF(Clean_Data[[#This Row],[OrderHour]]&lt;6,"Night",IF(Clean_Data[[#This Row],[OrderHour]]&lt;12,"Morning",IF(Clean_Data[[#This Row],[OrderHour]]&lt;18,"Afternoon","Evening")))</f>
        <v>Afternoon</v>
      </c>
      <c r="T152" s="3" t="str">
        <f>TEXT(Clean_Data[[#This Row],[OrderDate]],"[$-409]ddd")</f>
        <v>Sun</v>
      </c>
      <c r="U152" s="3">
        <f>WEEKDAY(Clean_Data[[#This Row],[OrderDate]],2)</f>
        <v>7</v>
      </c>
      <c r="V152" s="3">
        <f>INT(Clean_Data[[#This Row],[OrderHour]]/6)+1</f>
        <v>3</v>
      </c>
      <c r="W152" s="3">
        <f>IF(Clean_Data[[#This Row],[Status]]="Delivered",1,0)</f>
        <v>1</v>
      </c>
      <c r="X152" s="3">
        <f>IF(Clean_Data[[#This Row],[Status]]="Delivered",IF(Clean_Data[[#This Row],[DeliveryMinutes]]&lt;=Dashboard!$X$5,1,0),0)</f>
        <v>1</v>
      </c>
      <c r="Y1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2" s="3">
        <f>IF(AND(Clean_Data[[#This Row],[Include]]=1,Clean_Data[[#This Row],[DeliveredFlag]]=1),1,0)</f>
        <v>1</v>
      </c>
      <c r="AA152" s="1">
        <f>IF(COUNTIF($D$2:D152,D152)=1,ROW()-1,ROWS(Clean_Data[OrderID])+1)</f>
        <v>151</v>
      </c>
      <c r="AB152" s="1">
        <f>IF(COUNTIF($F$2:F152,F152)=1,ROW()-1,ROWS(Clean_Data[OrderID])+1)</f>
        <v>901</v>
      </c>
      <c r="AC152" s="1">
        <f>IF(COUNTIF($G$2:G152,G152)=1,ROW()-1,ROWS(Clean_Data[OrderID])+1)</f>
        <v>901</v>
      </c>
      <c r="AD152" s="1">
        <f>IF(COUNTIF($H$2:H152,H152)=1,ROW()-1,ROWS(Clean_Data[OrderID])+1)</f>
        <v>901</v>
      </c>
      <c r="AE152" s="1">
        <f>IF(COUNTIF($V$2:V152,V152)=1,V152,ROWS(Clean_Data[OrderID])+1)</f>
        <v>901</v>
      </c>
      <c r="AF152" s="1">
        <f>IF(COUNTIF($U$2:U152,U152)=1,U152,ROWS(Clean_Data[OrderID])+1)</f>
        <v>7</v>
      </c>
      <c r="AG152" s="1">
        <f>IF(COUNTIF($E$2:E152,E152)=1,ROW()-1,ROWS(Clean_Data[OrderID])+1)</f>
        <v>901</v>
      </c>
    </row>
    <row r="153" spans="1:33" ht="20" customHeight="1">
      <c r="A153" s="3" t="s">
        <v>397</v>
      </c>
      <c r="B153" s="2">
        <v>46271</v>
      </c>
      <c r="C153" s="3">
        <v>17</v>
      </c>
      <c r="D153" s="3" t="s">
        <v>332</v>
      </c>
      <c r="E153" s="3" t="s">
        <v>91</v>
      </c>
      <c r="F153" s="3" t="s">
        <v>121</v>
      </c>
      <c r="G153" s="3" t="s">
        <v>93</v>
      </c>
      <c r="H153" s="3" t="s">
        <v>94</v>
      </c>
      <c r="I153" s="3">
        <v>2</v>
      </c>
      <c r="J153" s="11">
        <v>95</v>
      </c>
      <c r="K153" s="4">
        <v>0.1</v>
      </c>
      <c r="L153" s="3" t="s">
        <v>95</v>
      </c>
      <c r="M153" s="3">
        <v>32</v>
      </c>
      <c r="N153" s="3">
        <v>10</v>
      </c>
      <c r="O153" s="3">
        <v>4</v>
      </c>
      <c r="P153" s="11">
        <f>Clean_Data[[#This Row],[Quantity]]*Clean_Data[[#This Row],[UnitPrice]]</f>
        <v>190</v>
      </c>
      <c r="Q153" s="11">
        <f>ROUND(Clean_Data[[#This Row],[GrossSales]]*Clean_Data[[#This Row],[DiscountPct]],2)</f>
        <v>19</v>
      </c>
      <c r="R153" s="11">
        <f>IF(Clean_Data[[#This Row],[Status]]="Delivered",ROUND(Clean_Data[[#This Row],[GrossSales]]-Clean_Data[[#This Row],[DiscountAmount]],2),0)</f>
        <v>171</v>
      </c>
      <c r="S153" s="3" t="str">
        <f>IF(Clean_Data[[#This Row],[OrderHour]]&lt;6,"Night",IF(Clean_Data[[#This Row],[OrderHour]]&lt;12,"Morning",IF(Clean_Data[[#This Row],[OrderHour]]&lt;18,"Afternoon","Evening")))</f>
        <v>Afternoon</v>
      </c>
      <c r="T153" s="3" t="str">
        <f>TEXT(Clean_Data[[#This Row],[OrderDate]],"[$-409]ddd")</f>
        <v>Sun</v>
      </c>
      <c r="U153" s="3">
        <f>WEEKDAY(Clean_Data[[#This Row],[OrderDate]],2)</f>
        <v>7</v>
      </c>
      <c r="V153" s="3">
        <f>INT(Clean_Data[[#This Row],[OrderHour]]/6)+1</f>
        <v>3</v>
      </c>
      <c r="W153" s="3">
        <f>IF(Clean_Data[[#This Row],[Status]]="Delivered",1,0)</f>
        <v>1</v>
      </c>
      <c r="X153" s="3">
        <f>IF(Clean_Data[[#This Row],[Status]]="Delivered",IF(Clean_Data[[#This Row],[DeliveryMinutes]]&lt;=Dashboard!$X$5,1,0),0)</f>
        <v>0</v>
      </c>
      <c r="Y1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3" s="3">
        <f>IF(AND(Clean_Data[[#This Row],[Include]]=1,Clean_Data[[#This Row],[DeliveredFlag]]=1),1,0)</f>
        <v>1</v>
      </c>
      <c r="AA153" s="1">
        <f>IF(COUNTIF($D$2:D153,D153)=1,ROW()-1,ROWS(Clean_Data[OrderID])+1)</f>
        <v>901</v>
      </c>
      <c r="AB153" s="1">
        <f>IF(COUNTIF($F$2:F153,F153)=1,ROW()-1,ROWS(Clean_Data[OrderID])+1)</f>
        <v>901</v>
      </c>
      <c r="AC153" s="1">
        <f>IF(COUNTIF($G$2:G153,G153)=1,ROW()-1,ROWS(Clean_Data[OrderID])+1)</f>
        <v>901</v>
      </c>
      <c r="AD153" s="1">
        <f>IF(COUNTIF($H$2:H153,H153)=1,ROW()-1,ROWS(Clean_Data[OrderID])+1)</f>
        <v>901</v>
      </c>
      <c r="AE153" s="1">
        <f>IF(COUNTIF($V$2:V153,V153)=1,V153,ROWS(Clean_Data[OrderID])+1)</f>
        <v>901</v>
      </c>
      <c r="AF153" s="1">
        <f>IF(COUNTIF($U$2:U153,U153)=1,U153,ROWS(Clean_Data[OrderID])+1)</f>
        <v>901</v>
      </c>
      <c r="AG153" s="1">
        <f>IF(COUNTIF($E$2:E153,E153)=1,ROW()-1,ROWS(Clean_Data[OrderID])+1)</f>
        <v>901</v>
      </c>
    </row>
    <row r="154" spans="1:33" ht="20" customHeight="1">
      <c r="A154" s="3" t="s">
        <v>398</v>
      </c>
      <c r="B154" s="2">
        <v>46271</v>
      </c>
      <c r="C154" s="3">
        <v>15</v>
      </c>
      <c r="D154" s="3" t="s">
        <v>399</v>
      </c>
      <c r="E154" s="3" t="s">
        <v>91</v>
      </c>
      <c r="F154" s="3" t="s">
        <v>109</v>
      </c>
      <c r="G154" s="3" t="s">
        <v>174</v>
      </c>
      <c r="H154" s="3" t="s">
        <v>184</v>
      </c>
      <c r="I154" s="3">
        <v>3</v>
      </c>
      <c r="J154" s="11">
        <v>62</v>
      </c>
      <c r="K154" s="4">
        <v>0.1</v>
      </c>
      <c r="L154" s="3" t="s">
        <v>95</v>
      </c>
      <c r="M154" s="3">
        <v>31</v>
      </c>
      <c r="N154" s="3">
        <v>6</v>
      </c>
      <c r="O154" s="3">
        <v>5</v>
      </c>
      <c r="P154" s="11">
        <f>Clean_Data[[#This Row],[Quantity]]*Clean_Data[[#This Row],[UnitPrice]]</f>
        <v>186</v>
      </c>
      <c r="Q154" s="11">
        <f>ROUND(Clean_Data[[#This Row],[GrossSales]]*Clean_Data[[#This Row],[DiscountPct]],2)</f>
        <v>18.600000000000001</v>
      </c>
      <c r="R154" s="11">
        <f>IF(Clean_Data[[#This Row],[Status]]="Delivered",ROUND(Clean_Data[[#This Row],[GrossSales]]-Clean_Data[[#This Row],[DiscountAmount]],2),0)</f>
        <v>167.4</v>
      </c>
      <c r="S154" s="3" t="str">
        <f>IF(Clean_Data[[#This Row],[OrderHour]]&lt;6,"Night",IF(Clean_Data[[#This Row],[OrderHour]]&lt;12,"Morning",IF(Clean_Data[[#This Row],[OrderHour]]&lt;18,"Afternoon","Evening")))</f>
        <v>Afternoon</v>
      </c>
      <c r="T154" s="3" t="str">
        <f>TEXT(Clean_Data[[#This Row],[OrderDate]],"[$-409]ddd")</f>
        <v>Sun</v>
      </c>
      <c r="U154" s="3">
        <f>WEEKDAY(Clean_Data[[#This Row],[OrderDate]],2)</f>
        <v>7</v>
      </c>
      <c r="V154" s="3">
        <f>INT(Clean_Data[[#This Row],[OrderHour]]/6)+1</f>
        <v>3</v>
      </c>
      <c r="W154" s="3">
        <f>IF(Clean_Data[[#This Row],[Status]]="Delivered",1,0)</f>
        <v>1</v>
      </c>
      <c r="X154" s="3">
        <f>IF(Clean_Data[[#This Row],[Status]]="Delivered",IF(Clean_Data[[#This Row],[DeliveryMinutes]]&lt;=Dashboard!$X$5,1,0),0)</f>
        <v>0</v>
      </c>
      <c r="Y1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4" s="3">
        <f>IF(AND(Clean_Data[[#This Row],[Include]]=1,Clean_Data[[#This Row],[DeliveredFlag]]=1),1,0)</f>
        <v>1</v>
      </c>
      <c r="AA154" s="1">
        <f>IF(COUNTIF($D$2:D154,D154)=1,ROW()-1,ROWS(Clean_Data[OrderID])+1)</f>
        <v>153</v>
      </c>
      <c r="AB154" s="1">
        <f>IF(COUNTIF($F$2:F154,F154)=1,ROW()-1,ROWS(Clean_Data[OrderID])+1)</f>
        <v>901</v>
      </c>
      <c r="AC154" s="1">
        <f>IF(COUNTIF($G$2:G154,G154)=1,ROW()-1,ROWS(Clean_Data[OrderID])+1)</f>
        <v>901</v>
      </c>
      <c r="AD154" s="1">
        <f>IF(COUNTIF($H$2:H154,H154)=1,ROW()-1,ROWS(Clean_Data[OrderID])+1)</f>
        <v>901</v>
      </c>
      <c r="AE154" s="1">
        <f>IF(COUNTIF($V$2:V154,V154)=1,V154,ROWS(Clean_Data[OrderID])+1)</f>
        <v>901</v>
      </c>
      <c r="AF154" s="1">
        <f>IF(COUNTIF($U$2:U154,U154)=1,U154,ROWS(Clean_Data[OrderID])+1)</f>
        <v>901</v>
      </c>
      <c r="AG154" s="1">
        <f>IF(COUNTIF($E$2:E154,E154)=1,ROW()-1,ROWS(Clean_Data[OrderID])+1)</f>
        <v>901</v>
      </c>
    </row>
    <row r="155" spans="1:33" ht="20" customHeight="1">
      <c r="A155" s="3" t="s">
        <v>400</v>
      </c>
      <c r="B155" s="2">
        <v>46271</v>
      </c>
      <c r="C155" s="3">
        <v>17</v>
      </c>
      <c r="D155" s="3" t="s">
        <v>401</v>
      </c>
      <c r="E155" s="3" t="s">
        <v>91</v>
      </c>
      <c r="F155" s="3" t="s">
        <v>109</v>
      </c>
      <c r="G155" s="3" t="s">
        <v>135</v>
      </c>
      <c r="H155" s="3" t="s">
        <v>136</v>
      </c>
      <c r="I155" s="3">
        <v>2</v>
      </c>
      <c r="J155" s="11">
        <v>40</v>
      </c>
      <c r="K155" s="4">
        <v>0.05</v>
      </c>
      <c r="L155" s="3" t="s">
        <v>95</v>
      </c>
      <c r="M155" s="3">
        <v>35</v>
      </c>
      <c r="N155" s="3">
        <v>7</v>
      </c>
      <c r="O155" s="3">
        <v>4</v>
      </c>
      <c r="P155" s="11">
        <f>Clean_Data[[#This Row],[Quantity]]*Clean_Data[[#This Row],[UnitPrice]]</f>
        <v>80</v>
      </c>
      <c r="Q155" s="11">
        <f>ROUND(Clean_Data[[#This Row],[GrossSales]]*Clean_Data[[#This Row],[DiscountPct]],2)</f>
        <v>4</v>
      </c>
      <c r="R155" s="11">
        <f>IF(Clean_Data[[#This Row],[Status]]="Delivered",ROUND(Clean_Data[[#This Row],[GrossSales]]-Clean_Data[[#This Row],[DiscountAmount]],2),0)</f>
        <v>76</v>
      </c>
      <c r="S155" s="3" t="str">
        <f>IF(Clean_Data[[#This Row],[OrderHour]]&lt;6,"Night",IF(Clean_Data[[#This Row],[OrderHour]]&lt;12,"Morning",IF(Clean_Data[[#This Row],[OrderHour]]&lt;18,"Afternoon","Evening")))</f>
        <v>Afternoon</v>
      </c>
      <c r="T155" s="3" t="str">
        <f>TEXT(Clean_Data[[#This Row],[OrderDate]],"[$-409]ddd")</f>
        <v>Sun</v>
      </c>
      <c r="U155" s="3">
        <f>WEEKDAY(Clean_Data[[#This Row],[OrderDate]],2)</f>
        <v>7</v>
      </c>
      <c r="V155" s="3">
        <f>INT(Clean_Data[[#This Row],[OrderHour]]/6)+1</f>
        <v>3</v>
      </c>
      <c r="W155" s="3">
        <f>IF(Clean_Data[[#This Row],[Status]]="Delivered",1,0)</f>
        <v>1</v>
      </c>
      <c r="X155" s="3">
        <f>IF(Clean_Data[[#This Row],[Status]]="Delivered",IF(Clean_Data[[#This Row],[DeliveryMinutes]]&lt;=Dashboard!$X$5,1,0),0)</f>
        <v>0</v>
      </c>
      <c r="Y1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5" s="3">
        <f>IF(AND(Clean_Data[[#This Row],[Include]]=1,Clean_Data[[#This Row],[DeliveredFlag]]=1),1,0)</f>
        <v>1</v>
      </c>
      <c r="AA155" s="1">
        <f>IF(COUNTIF($D$2:D155,D155)=1,ROW()-1,ROWS(Clean_Data[OrderID])+1)</f>
        <v>154</v>
      </c>
      <c r="AB155" s="1">
        <f>IF(COUNTIF($F$2:F155,F155)=1,ROW()-1,ROWS(Clean_Data[OrderID])+1)</f>
        <v>901</v>
      </c>
      <c r="AC155" s="1">
        <f>IF(COUNTIF($G$2:G155,G155)=1,ROW()-1,ROWS(Clean_Data[OrderID])+1)</f>
        <v>901</v>
      </c>
      <c r="AD155" s="1">
        <f>IF(COUNTIF($H$2:H155,H155)=1,ROW()-1,ROWS(Clean_Data[OrderID])+1)</f>
        <v>901</v>
      </c>
      <c r="AE155" s="1">
        <f>IF(COUNTIF($V$2:V155,V155)=1,V155,ROWS(Clean_Data[OrderID])+1)</f>
        <v>901</v>
      </c>
      <c r="AF155" s="1">
        <f>IF(COUNTIF($U$2:U155,U155)=1,U155,ROWS(Clean_Data[OrderID])+1)</f>
        <v>901</v>
      </c>
      <c r="AG155" s="1">
        <f>IF(COUNTIF($E$2:E155,E155)=1,ROW()-1,ROWS(Clean_Data[OrderID])+1)</f>
        <v>901</v>
      </c>
    </row>
    <row r="156" spans="1:33" ht="20" customHeight="1">
      <c r="A156" s="3" t="s">
        <v>402</v>
      </c>
      <c r="B156" s="2">
        <v>46271</v>
      </c>
      <c r="C156" s="3">
        <v>10</v>
      </c>
      <c r="D156" s="3" t="s">
        <v>197</v>
      </c>
      <c r="E156" s="3" t="s">
        <v>91</v>
      </c>
      <c r="F156" s="3" t="s">
        <v>98</v>
      </c>
      <c r="G156" s="3" t="s">
        <v>135</v>
      </c>
      <c r="H156" s="3" t="s">
        <v>162</v>
      </c>
      <c r="I156" s="3">
        <v>5</v>
      </c>
      <c r="J156" s="11">
        <v>180</v>
      </c>
      <c r="K156" s="4">
        <v>0.15</v>
      </c>
      <c r="L156" s="3" t="s">
        <v>95</v>
      </c>
      <c r="M156" s="3">
        <v>27</v>
      </c>
      <c r="N156" s="3">
        <v>12</v>
      </c>
      <c r="O156" s="3">
        <v>4</v>
      </c>
      <c r="P156" s="11">
        <f>Clean_Data[[#This Row],[Quantity]]*Clean_Data[[#This Row],[UnitPrice]]</f>
        <v>900</v>
      </c>
      <c r="Q156" s="11">
        <f>ROUND(Clean_Data[[#This Row],[GrossSales]]*Clean_Data[[#This Row],[DiscountPct]],2)</f>
        <v>135</v>
      </c>
      <c r="R156" s="11">
        <f>IF(Clean_Data[[#This Row],[Status]]="Delivered",ROUND(Clean_Data[[#This Row],[GrossSales]]-Clean_Data[[#This Row],[DiscountAmount]],2),0)</f>
        <v>765</v>
      </c>
      <c r="S156" s="3" t="str">
        <f>IF(Clean_Data[[#This Row],[OrderHour]]&lt;6,"Night",IF(Clean_Data[[#This Row],[OrderHour]]&lt;12,"Morning",IF(Clean_Data[[#This Row],[OrderHour]]&lt;18,"Afternoon","Evening")))</f>
        <v>Morning</v>
      </c>
      <c r="T156" s="3" t="str">
        <f>TEXT(Clean_Data[[#This Row],[OrderDate]],"[$-409]ddd")</f>
        <v>Sun</v>
      </c>
      <c r="U156" s="3">
        <f>WEEKDAY(Clean_Data[[#This Row],[OrderDate]],2)</f>
        <v>7</v>
      </c>
      <c r="V156" s="3">
        <f>INT(Clean_Data[[#This Row],[OrderHour]]/6)+1</f>
        <v>2</v>
      </c>
      <c r="W156" s="3">
        <f>IF(Clean_Data[[#This Row],[Status]]="Delivered",1,0)</f>
        <v>1</v>
      </c>
      <c r="X156" s="3">
        <f>IF(Clean_Data[[#This Row],[Status]]="Delivered",IF(Clean_Data[[#This Row],[DeliveryMinutes]]&lt;=Dashboard!$X$5,1,0),0)</f>
        <v>1</v>
      </c>
      <c r="Y1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6" s="3">
        <f>IF(AND(Clean_Data[[#This Row],[Include]]=1,Clean_Data[[#This Row],[DeliveredFlag]]=1),1,0)</f>
        <v>1</v>
      </c>
      <c r="AA156" s="1">
        <f>IF(COUNTIF($D$2:D156,D156)=1,ROW()-1,ROWS(Clean_Data[OrderID])+1)</f>
        <v>901</v>
      </c>
      <c r="AB156" s="1">
        <f>IF(COUNTIF($F$2:F156,F156)=1,ROW()-1,ROWS(Clean_Data[OrderID])+1)</f>
        <v>901</v>
      </c>
      <c r="AC156" s="1">
        <f>IF(COUNTIF($G$2:G156,G156)=1,ROW()-1,ROWS(Clean_Data[OrderID])+1)</f>
        <v>901</v>
      </c>
      <c r="AD156" s="1">
        <f>IF(COUNTIF($H$2:H156,H156)=1,ROW()-1,ROWS(Clean_Data[OrderID])+1)</f>
        <v>901</v>
      </c>
      <c r="AE156" s="1">
        <f>IF(COUNTIF($V$2:V156,V156)=1,V156,ROWS(Clean_Data[OrderID])+1)</f>
        <v>901</v>
      </c>
      <c r="AF156" s="1">
        <f>IF(COUNTIF($U$2:U156,U156)=1,U156,ROWS(Clean_Data[OrderID])+1)</f>
        <v>901</v>
      </c>
      <c r="AG156" s="1">
        <f>IF(COUNTIF($E$2:E156,E156)=1,ROW()-1,ROWS(Clean_Data[OrderID])+1)</f>
        <v>901</v>
      </c>
    </row>
    <row r="157" spans="1:33" ht="20" customHeight="1">
      <c r="A157" s="3" t="s">
        <v>403</v>
      </c>
      <c r="B157" s="2">
        <v>46271</v>
      </c>
      <c r="C157" s="3">
        <v>18</v>
      </c>
      <c r="D157" s="3" t="s">
        <v>295</v>
      </c>
      <c r="E157" s="3" t="s">
        <v>117</v>
      </c>
      <c r="F157" s="3" t="s">
        <v>98</v>
      </c>
      <c r="G157" s="3" t="s">
        <v>99</v>
      </c>
      <c r="H157" s="3" t="s">
        <v>100</v>
      </c>
      <c r="I157" s="3">
        <v>5</v>
      </c>
      <c r="J157" s="11">
        <v>120</v>
      </c>
      <c r="K157" s="4">
        <v>0</v>
      </c>
      <c r="L157" s="3" t="s">
        <v>95</v>
      </c>
      <c r="M157" s="3">
        <v>16</v>
      </c>
      <c r="N157" s="3">
        <v>8</v>
      </c>
      <c r="O157" s="3">
        <v>4</v>
      </c>
      <c r="P157" s="11">
        <f>Clean_Data[[#This Row],[Quantity]]*Clean_Data[[#This Row],[UnitPrice]]</f>
        <v>600</v>
      </c>
      <c r="Q157" s="11">
        <f>ROUND(Clean_Data[[#This Row],[GrossSales]]*Clean_Data[[#This Row],[DiscountPct]],2)</f>
        <v>0</v>
      </c>
      <c r="R157" s="11">
        <f>IF(Clean_Data[[#This Row],[Status]]="Delivered",ROUND(Clean_Data[[#This Row],[GrossSales]]-Clean_Data[[#This Row],[DiscountAmount]],2),0)</f>
        <v>600</v>
      </c>
      <c r="S157" s="3" t="str">
        <f>IF(Clean_Data[[#This Row],[OrderHour]]&lt;6,"Night",IF(Clean_Data[[#This Row],[OrderHour]]&lt;12,"Morning",IF(Clean_Data[[#This Row],[OrderHour]]&lt;18,"Afternoon","Evening")))</f>
        <v>Evening</v>
      </c>
      <c r="T157" s="3" t="str">
        <f>TEXT(Clean_Data[[#This Row],[OrderDate]],"[$-409]ddd")</f>
        <v>Sun</v>
      </c>
      <c r="U157" s="3">
        <f>WEEKDAY(Clean_Data[[#This Row],[OrderDate]],2)</f>
        <v>7</v>
      </c>
      <c r="V157" s="3">
        <f>INT(Clean_Data[[#This Row],[OrderHour]]/6)+1</f>
        <v>4</v>
      </c>
      <c r="W157" s="3">
        <f>IF(Clean_Data[[#This Row],[Status]]="Delivered",1,0)</f>
        <v>1</v>
      </c>
      <c r="X157" s="3">
        <f>IF(Clean_Data[[#This Row],[Status]]="Delivered",IF(Clean_Data[[#This Row],[DeliveryMinutes]]&lt;=Dashboard!$X$5,1,0),0)</f>
        <v>1</v>
      </c>
      <c r="Y1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7" s="3">
        <f>IF(AND(Clean_Data[[#This Row],[Include]]=1,Clean_Data[[#This Row],[DeliveredFlag]]=1),1,0)</f>
        <v>1</v>
      </c>
      <c r="AA157" s="1">
        <f>IF(COUNTIF($D$2:D157,D157)=1,ROW()-1,ROWS(Clean_Data[OrderID])+1)</f>
        <v>901</v>
      </c>
      <c r="AB157" s="1">
        <f>IF(COUNTIF($F$2:F157,F157)=1,ROW()-1,ROWS(Clean_Data[OrderID])+1)</f>
        <v>901</v>
      </c>
      <c r="AC157" s="1">
        <f>IF(COUNTIF($G$2:G157,G157)=1,ROW()-1,ROWS(Clean_Data[OrderID])+1)</f>
        <v>901</v>
      </c>
      <c r="AD157" s="1">
        <f>IF(COUNTIF($H$2:H157,H157)=1,ROW()-1,ROWS(Clean_Data[OrderID])+1)</f>
        <v>901</v>
      </c>
      <c r="AE157" s="1">
        <f>IF(COUNTIF($V$2:V157,V157)=1,V157,ROWS(Clean_Data[OrderID])+1)</f>
        <v>901</v>
      </c>
      <c r="AF157" s="1">
        <f>IF(COUNTIF($U$2:U157,U157)=1,U157,ROWS(Clean_Data[OrderID])+1)</f>
        <v>901</v>
      </c>
      <c r="AG157" s="1">
        <f>IF(COUNTIF($E$2:E157,E157)=1,ROW()-1,ROWS(Clean_Data[OrderID])+1)</f>
        <v>901</v>
      </c>
    </row>
    <row r="158" spans="1:33" ht="20" customHeight="1">
      <c r="A158" s="3" t="s">
        <v>404</v>
      </c>
      <c r="B158" s="2">
        <v>46271</v>
      </c>
      <c r="C158" s="3">
        <v>9</v>
      </c>
      <c r="D158" s="3" t="s">
        <v>208</v>
      </c>
      <c r="E158" s="3" t="s">
        <v>117</v>
      </c>
      <c r="F158" s="3" t="s">
        <v>92</v>
      </c>
      <c r="G158" s="3" t="s">
        <v>122</v>
      </c>
      <c r="H158" s="3" t="s">
        <v>123</v>
      </c>
      <c r="I158" s="3">
        <v>5</v>
      </c>
      <c r="J158" s="11">
        <v>45</v>
      </c>
      <c r="K158" s="4">
        <v>0</v>
      </c>
      <c r="L158" s="3" t="s">
        <v>95</v>
      </c>
      <c r="M158" s="3">
        <v>15</v>
      </c>
      <c r="N158" s="3">
        <v>8</v>
      </c>
      <c r="O158" s="3">
        <v>3</v>
      </c>
      <c r="P158" s="11">
        <f>Clean_Data[[#This Row],[Quantity]]*Clean_Data[[#This Row],[UnitPrice]]</f>
        <v>225</v>
      </c>
      <c r="Q158" s="11">
        <f>ROUND(Clean_Data[[#This Row],[GrossSales]]*Clean_Data[[#This Row],[DiscountPct]],2)</f>
        <v>0</v>
      </c>
      <c r="R158" s="11">
        <f>IF(Clean_Data[[#This Row],[Status]]="Delivered",ROUND(Clean_Data[[#This Row],[GrossSales]]-Clean_Data[[#This Row],[DiscountAmount]],2),0)</f>
        <v>225</v>
      </c>
      <c r="S158" s="3" t="str">
        <f>IF(Clean_Data[[#This Row],[OrderHour]]&lt;6,"Night",IF(Clean_Data[[#This Row],[OrderHour]]&lt;12,"Morning",IF(Clean_Data[[#This Row],[OrderHour]]&lt;18,"Afternoon","Evening")))</f>
        <v>Morning</v>
      </c>
      <c r="T158" s="3" t="str">
        <f>TEXT(Clean_Data[[#This Row],[OrderDate]],"[$-409]ddd")</f>
        <v>Sun</v>
      </c>
      <c r="U158" s="3">
        <f>WEEKDAY(Clean_Data[[#This Row],[OrderDate]],2)</f>
        <v>7</v>
      </c>
      <c r="V158" s="3">
        <f>INT(Clean_Data[[#This Row],[OrderHour]]/6)+1</f>
        <v>2</v>
      </c>
      <c r="W158" s="3">
        <f>IF(Clean_Data[[#This Row],[Status]]="Delivered",1,0)</f>
        <v>1</v>
      </c>
      <c r="X158" s="3">
        <f>IF(Clean_Data[[#This Row],[Status]]="Delivered",IF(Clean_Data[[#This Row],[DeliveryMinutes]]&lt;=Dashboard!$X$5,1,0),0)</f>
        <v>1</v>
      </c>
      <c r="Y1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8" s="3">
        <f>IF(AND(Clean_Data[[#This Row],[Include]]=1,Clean_Data[[#This Row],[DeliveredFlag]]=1),1,0)</f>
        <v>1</v>
      </c>
      <c r="AA158" s="1">
        <f>IF(COUNTIF($D$2:D158,D158)=1,ROW()-1,ROWS(Clean_Data[OrderID])+1)</f>
        <v>901</v>
      </c>
      <c r="AB158" s="1">
        <f>IF(COUNTIF($F$2:F158,F158)=1,ROW()-1,ROWS(Clean_Data[OrderID])+1)</f>
        <v>901</v>
      </c>
      <c r="AC158" s="1">
        <f>IF(COUNTIF($G$2:G158,G158)=1,ROW()-1,ROWS(Clean_Data[OrderID])+1)</f>
        <v>901</v>
      </c>
      <c r="AD158" s="1">
        <f>IF(COUNTIF($H$2:H158,H158)=1,ROW()-1,ROWS(Clean_Data[OrderID])+1)</f>
        <v>901</v>
      </c>
      <c r="AE158" s="1">
        <f>IF(COUNTIF($V$2:V158,V158)=1,V158,ROWS(Clean_Data[OrderID])+1)</f>
        <v>901</v>
      </c>
      <c r="AF158" s="1">
        <f>IF(COUNTIF($U$2:U158,U158)=1,U158,ROWS(Clean_Data[OrderID])+1)</f>
        <v>901</v>
      </c>
      <c r="AG158" s="1">
        <f>IF(COUNTIF($E$2:E158,E158)=1,ROW()-1,ROWS(Clean_Data[OrderID])+1)</f>
        <v>901</v>
      </c>
    </row>
    <row r="159" spans="1:33" ht="20" customHeight="1">
      <c r="A159" s="3" t="s">
        <v>405</v>
      </c>
      <c r="B159" s="2">
        <v>46271</v>
      </c>
      <c r="C159" s="3">
        <v>6</v>
      </c>
      <c r="D159" s="3" t="s">
        <v>406</v>
      </c>
      <c r="E159" s="3" t="s">
        <v>91</v>
      </c>
      <c r="F159" s="3" t="s">
        <v>109</v>
      </c>
      <c r="G159" s="3" t="s">
        <v>99</v>
      </c>
      <c r="H159" s="3" t="s">
        <v>130</v>
      </c>
      <c r="I159" s="3">
        <v>1</v>
      </c>
      <c r="J159" s="11">
        <v>85</v>
      </c>
      <c r="K159" s="4">
        <v>0</v>
      </c>
      <c r="L159" s="3" t="s">
        <v>95</v>
      </c>
      <c r="M159" s="3">
        <v>15</v>
      </c>
      <c r="N159" s="3">
        <v>12</v>
      </c>
      <c r="O159" s="3">
        <v>3</v>
      </c>
      <c r="P159" s="11">
        <f>Clean_Data[[#This Row],[Quantity]]*Clean_Data[[#This Row],[UnitPrice]]</f>
        <v>85</v>
      </c>
      <c r="Q159" s="11">
        <f>ROUND(Clean_Data[[#This Row],[GrossSales]]*Clean_Data[[#This Row],[DiscountPct]],2)</f>
        <v>0</v>
      </c>
      <c r="R159" s="11">
        <f>IF(Clean_Data[[#This Row],[Status]]="Delivered",ROUND(Clean_Data[[#This Row],[GrossSales]]-Clean_Data[[#This Row],[DiscountAmount]],2),0)</f>
        <v>85</v>
      </c>
      <c r="S159" s="3" t="str">
        <f>IF(Clean_Data[[#This Row],[OrderHour]]&lt;6,"Night",IF(Clean_Data[[#This Row],[OrderHour]]&lt;12,"Morning",IF(Clean_Data[[#This Row],[OrderHour]]&lt;18,"Afternoon","Evening")))</f>
        <v>Morning</v>
      </c>
      <c r="T159" s="3" t="str">
        <f>TEXT(Clean_Data[[#This Row],[OrderDate]],"[$-409]ddd")</f>
        <v>Sun</v>
      </c>
      <c r="U159" s="3">
        <f>WEEKDAY(Clean_Data[[#This Row],[OrderDate]],2)</f>
        <v>7</v>
      </c>
      <c r="V159" s="3">
        <f>INT(Clean_Data[[#This Row],[OrderHour]]/6)+1</f>
        <v>2</v>
      </c>
      <c r="W159" s="3">
        <f>IF(Clean_Data[[#This Row],[Status]]="Delivered",1,0)</f>
        <v>1</v>
      </c>
      <c r="X159" s="3">
        <f>IF(Clean_Data[[#This Row],[Status]]="Delivered",IF(Clean_Data[[#This Row],[DeliveryMinutes]]&lt;=Dashboard!$X$5,1,0),0)</f>
        <v>1</v>
      </c>
      <c r="Y1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59" s="3">
        <f>IF(AND(Clean_Data[[#This Row],[Include]]=1,Clean_Data[[#This Row],[DeliveredFlag]]=1),1,0)</f>
        <v>1</v>
      </c>
      <c r="AA159" s="1">
        <f>IF(COUNTIF($D$2:D159,D159)=1,ROW()-1,ROWS(Clean_Data[OrderID])+1)</f>
        <v>158</v>
      </c>
      <c r="AB159" s="1">
        <f>IF(COUNTIF($F$2:F159,F159)=1,ROW()-1,ROWS(Clean_Data[OrderID])+1)</f>
        <v>901</v>
      </c>
      <c r="AC159" s="1">
        <f>IF(COUNTIF($G$2:G159,G159)=1,ROW()-1,ROWS(Clean_Data[OrderID])+1)</f>
        <v>901</v>
      </c>
      <c r="AD159" s="1">
        <f>IF(COUNTIF($H$2:H159,H159)=1,ROW()-1,ROWS(Clean_Data[OrderID])+1)</f>
        <v>901</v>
      </c>
      <c r="AE159" s="1">
        <f>IF(COUNTIF($V$2:V159,V159)=1,V159,ROWS(Clean_Data[OrderID])+1)</f>
        <v>901</v>
      </c>
      <c r="AF159" s="1">
        <f>IF(COUNTIF($U$2:U159,U159)=1,U159,ROWS(Clean_Data[OrderID])+1)</f>
        <v>901</v>
      </c>
      <c r="AG159" s="1">
        <f>IF(COUNTIF($E$2:E159,E159)=1,ROW()-1,ROWS(Clean_Data[OrderID])+1)</f>
        <v>901</v>
      </c>
    </row>
    <row r="160" spans="1:33" ht="20" customHeight="1">
      <c r="A160" s="3" t="s">
        <v>407</v>
      </c>
      <c r="B160" s="2">
        <v>46271</v>
      </c>
      <c r="C160" s="3">
        <v>8</v>
      </c>
      <c r="D160" s="3" t="s">
        <v>408</v>
      </c>
      <c r="E160" s="3" t="s">
        <v>117</v>
      </c>
      <c r="F160" s="3" t="s">
        <v>98</v>
      </c>
      <c r="G160" s="3" t="s">
        <v>93</v>
      </c>
      <c r="H160" s="3" t="s">
        <v>118</v>
      </c>
      <c r="I160" s="3">
        <v>6</v>
      </c>
      <c r="J160" s="11">
        <v>45</v>
      </c>
      <c r="K160" s="4">
        <v>0.15</v>
      </c>
      <c r="L160" s="3" t="s">
        <v>95</v>
      </c>
      <c r="M160" s="3">
        <v>29</v>
      </c>
      <c r="N160" s="3">
        <v>14</v>
      </c>
      <c r="O160" s="3">
        <v>5</v>
      </c>
      <c r="P160" s="11">
        <f>Clean_Data[[#This Row],[Quantity]]*Clean_Data[[#This Row],[UnitPrice]]</f>
        <v>270</v>
      </c>
      <c r="Q160" s="11">
        <f>ROUND(Clean_Data[[#This Row],[GrossSales]]*Clean_Data[[#This Row],[DiscountPct]],2)</f>
        <v>40.5</v>
      </c>
      <c r="R160" s="11">
        <f>IF(Clean_Data[[#This Row],[Status]]="Delivered",ROUND(Clean_Data[[#This Row],[GrossSales]]-Clean_Data[[#This Row],[DiscountAmount]],2),0)</f>
        <v>229.5</v>
      </c>
      <c r="S160" s="3" t="str">
        <f>IF(Clean_Data[[#This Row],[OrderHour]]&lt;6,"Night",IF(Clean_Data[[#This Row],[OrderHour]]&lt;12,"Morning",IF(Clean_Data[[#This Row],[OrderHour]]&lt;18,"Afternoon","Evening")))</f>
        <v>Morning</v>
      </c>
      <c r="T160" s="3" t="str">
        <f>TEXT(Clean_Data[[#This Row],[OrderDate]],"[$-409]ddd")</f>
        <v>Sun</v>
      </c>
      <c r="U160" s="3">
        <f>WEEKDAY(Clean_Data[[#This Row],[OrderDate]],2)</f>
        <v>7</v>
      </c>
      <c r="V160" s="3">
        <f>INT(Clean_Data[[#This Row],[OrderHour]]/6)+1</f>
        <v>2</v>
      </c>
      <c r="W160" s="3">
        <f>IF(Clean_Data[[#This Row],[Status]]="Delivered",1,0)</f>
        <v>1</v>
      </c>
      <c r="X160" s="3">
        <f>IF(Clean_Data[[#This Row],[Status]]="Delivered",IF(Clean_Data[[#This Row],[DeliveryMinutes]]&lt;=Dashboard!$X$5,1,0),0)</f>
        <v>1</v>
      </c>
      <c r="Y1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0" s="3">
        <f>IF(AND(Clean_Data[[#This Row],[Include]]=1,Clean_Data[[#This Row],[DeliveredFlag]]=1),1,0)</f>
        <v>1</v>
      </c>
      <c r="AA160" s="1">
        <f>IF(COUNTIF($D$2:D160,D160)=1,ROW()-1,ROWS(Clean_Data[OrderID])+1)</f>
        <v>159</v>
      </c>
      <c r="AB160" s="1">
        <f>IF(COUNTIF($F$2:F160,F160)=1,ROW()-1,ROWS(Clean_Data[OrderID])+1)</f>
        <v>901</v>
      </c>
      <c r="AC160" s="1">
        <f>IF(COUNTIF($G$2:G160,G160)=1,ROW()-1,ROWS(Clean_Data[OrderID])+1)</f>
        <v>901</v>
      </c>
      <c r="AD160" s="1">
        <f>IF(COUNTIF($H$2:H160,H160)=1,ROW()-1,ROWS(Clean_Data[OrderID])+1)</f>
        <v>901</v>
      </c>
      <c r="AE160" s="1">
        <f>IF(COUNTIF($V$2:V160,V160)=1,V160,ROWS(Clean_Data[OrderID])+1)</f>
        <v>901</v>
      </c>
      <c r="AF160" s="1">
        <f>IF(COUNTIF($U$2:U160,U160)=1,U160,ROWS(Clean_Data[OrderID])+1)</f>
        <v>901</v>
      </c>
      <c r="AG160" s="1">
        <f>IF(COUNTIF($E$2:E160,E160)=1,ROW()-1,ROWS(Clean_Data[OrderID])+1)</f>
        <v>901</v>
      </c>
    </row>
    <row r="161" spans="1:33" ht="20" customHeight="1">
      <c r="A161" s="3" t="s">
        <v>409</v>
      </c>
      <c r="B161" s="2">
        <v>46271</v>
      </c>
      <c r="C161" s="3">
        <v>9</v>
      </c>
      <c r="D161" s="3" t="s">
        <v>383</v>
      </c>
      <c r="E161" s="3" t="s">
        <v>91</v>
      </c>
      <c r="F161" s="3" t="s">
        <v>121</v>
      </c>
      <c r="G161" s="3" t="s">
        <v>110</v>
      </c>
      <c r="H161" s="3" t="s">
        <v>114</v>
      </c>
      <c r="I161" s="3">
        <v>1</v>
      </c>
      <c r="J161" s="11">
        <v>145</v>
      </c>
      <c r="K161" s="4">
        <v>0.05</v>
      </c>
      <c r="L161" s="3" t="s">
        <v>95</v>
      </c>
      <c r="M161" s="3">
        <v>23</v>
      </c>
      <c r="N161" s="3">
        <v>14</v>
      </c>
      <c r="O161" s="3">
        <v>5</v>
      </c>
      <c r="P161" s="11">
        <f>Clean_Data[[#This Row],[Quantity]]*Clean_Data[[#This Row],[UnitPrice]]</f>
        <v>145</v>
      </c>
      <c r="Q161" s="11">
        <f>ROUND(Clean_Data[[#This Row],[GrossSales]]*Clean_Data[[#This Row],[DiscountPct]],2)</f>
        <v>7.25</v>
      </c>
      <c r="R161" s="11">
        <f>IF(Clean_Data[[#This Row],[Status]]="Delivered",ROUND(Clean_Data[[#This Row],[GrossSales]]-Clean_Data[[#This Row],[DiscountAmount]],2),0)</f>
        <v>137.75</v>
      </c>
      <c r="S161" s="3" t="str">
        <f>IF(Clean_Data[[#This Row],[OrderHour]]&lt;6,"Night",IF(Clean_Data[[#This Row],[OrderHour]]&lt;12,"Morning",IF(Clean_Data[[#This Row],[OrderHour]]&lt;18,"Afternoon","Evening")))</f>
        <v>Morning</v>
      </c>
      <c r="T161" s="3" t="str">
        <f>TEXT(Clean_Data[[#This Row],[OrderDate]],"[$-409]ddd")</f>
        <v>Sun</v>
      </c>
      <c r="U161" s="3">
        <f>WEEKDAY(Clean_Data[[#This Row],[OrderDate]],2)</f>
        <v>7</v>
      </c>
      <c r="V161" s="3">
        <f>INT(Clean_Data[[#This Row],[OrderHour]]/6)+1</f>
        <v>2</v>
      </c>
      <c r="W161" s="3">
        <f>IF(Clean_Data[[#This Row],[Status]]="Delivered",1,0)</f>
        <v>1</v>
      </c>
      <c r="X161" s="3">
        <f>IF(Clean_Data[[#This Row],[Status]]="Delivered",IF(Clean_Data[[#This Row],[DeliveryMinutes]]&lt;=Dashboard!$X$5,1,0),0)</f>
        <v>1</v>
      </c>
      <c r="Y1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1" s="3">
        <f>IF(AND(Clean_Data[[#This Row],[Include]]=1,Clean_Data[[#This Row],[DeliveredFlag]]=1),1,0)</f>
        <v>1</v>
      </c>
      <c r="AA161" s="1">
        <f>IF(COUNTIF($D$2:D161,D161)=1,ROW()-1,ROWS(Clean_Data[OrderID])+1)</f>
        <v>901</v>
      </c>
      <c r="AB161" s="1">
        <f>IF(COUNTIF($F$2:F161,F161)=1,ROW()-1,ROWS(Clean_Data[OrderID])+1)</f>
        <v>901</v>
      </c>
      <c r="AC161" s="1">
        <f>IF(COUNTIF($G$2:G161,G161)=1,ROW()-1,ROWS(Clean_Data[OrderID])+1)</f>
        <v>901</v>
      </c>
      <c r="AD161" s="1">
        <f>IF(COUNTIF($H$2:H161,H161)=1,ROW()-1,ROWS(Clean_Data[OrderID])+1)</f>
        <v>901</v>
      </c>
      <c r="AE161" s="1">
        <f>IF(COUNTIF($V$2:V161,V161)=1,V161,ROWS(Clean_Data[OrderID])+1)</f>
        <v>901</v>
      </c>
      <c r="AF161" s="1">
        <f>IF(COUNTIF($U$2:U161,U161)=1,U161,ROWS(Clean_Data[OrderID])+1)</f>
        <v>901</v>
      </c>
      <c r="AG161" s="1">
        <f>IF(COUNTIF($E$2:E161,E161)=1,ROW()-1,ROWS(Clean_Data[OrderID])+1)</f>
        <v>901</v>
      </c>
    </row>
    <row r="162" spans="1:33" ht="20" customHeight="1">
      <c r="A162" s="3" t="s">
        <v>410</v>
      </c>
      <c r="B162" s="2">
        <v>46271</v>
      </c>
      <c r="C162" s="3">
        <v>12</v>
      </c>
      <c r="D162" s="3" t="s">
        <v>411</v>
      </c>
      <c r="E162" s="3" t="s">
        <v>91</v>
      </c>
      <c r="F162" s="3" t="s">
        <v>139</v>
      </c>
      <c r="G162" s="3" t="s">
        <v>174</v>
      </c>
      <c r="H162" s="3" t="s">
        <v>274</v>
      </c>
      <c r="I162" s="3">
        <v>1</v>
      </c>
      <c r="J162" s="11">
        <v>90</v>
      </c>
      <c r="K162" s="4">
        <v>0.05</v>
      </c>
      <c r="L162" s="3" t="s">
        <v>95</v>
      </c>
      <c r="M162" s="3">
        <v>31</v>
      </c>
      <c r="N162" s="3">
        <v>6</v>
      </c>
      <c r="O162" s="3">
        <v>3</v>
      </c>
      <c r="P162" s="11">
        <f>Clean_Data[[#This Row],[Quantity]]*Clean_Data[[#This Row],[UnitPrice]]</f>
        <v>90</v>
      </c>
      <c r="Q162" s="11">
        <f>ROUND(Clean_Data[[#This Row],[GrossSales]]*Clean_Data[[#This Row],[DiscountPct]],2)</f>
        <v>4.5</v>
      </c>
      <c r="R162" s="11">
        <f>IF(Clean_Data[[#This Row],[Status]]="Delivered",ROUND(Clean_Data[[#This Row],[GrossSales]]-Clean_Data[[#This Row],[DiscountAmount]],2),0)</f>
        <v>85.5</v>
      </c>
      <c r="S162" s="3" t="str">
        <f>IF(Clean_Data[[#This Row],[OrderHour]]&lt;6,"Night",IF(Clean_Data[[#This Row],[OrderHour]]&lt;12,"Morning",IF(Clean_Data[[#This Row],[OrderHour]]&lt;18,"Afternoon","Evening")))</f>
        <v>Afternoon</v>
      </c>
      <c r="T162" s="3" t="str">
        <f>TEXT(Clean_Data[[#This Row],[OrderDate]],"[$-409]ddd")</f>
        <v>Sun</v>
      </c>
      <c r="U162" s="3">
        <f>WEEKDAY(Clean_Data[[#This Row],[OrderDate]],2)</f>
        <v>7</v>
      </c>
      <c r="V162" s="3">
        <f>INT(Clean_Data[[#This Row],[OrderHour]]/6)+1</f>
        <v>3</v>
      </c>
      <c r="W162" s="3">
        <f>IF(Clean_Data[[#This Row],[Status]]="Delivered",1,0)</f>
        <v>1</v>
      </c>
      <c r="X162" s="3">
        <f>IF(Clean_Data[[#This Row],[Status]]="Delivered",IF(Clean_Data[[#This Row],[DeliveryMinutes]]&lt;=Dashboard!$X$5,1,0),0)</f>
        <v>0</v>
      </c>
      <c r="Y1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2" s="3">
        <f>IF(AND(Clean_Data[[#This Row],[Include]]=1,Clean_Data[[#This Row],[DeliveredFlag]]=1),1,0)</f>
        <v>1</v>
      </c>
      <c r="AA162" s="1">
        <f>IF(COUNTIF($D$2:D162,D162)=1,ROW()-1,ROWS(Clean_Data[OrderID])+1)</f>
        <v>161</v>
      </c>
      <c r="AB162" s="1">
        <f>IF(COUNTIF($F$2:F162,F162)=1,ROW()-1,ROWS(Clean_Data[OrderID])+1)</f>
        <v>901</v>
      </c>
      <c r="AC162" s="1">
        <f>IF(COUNTIF($G$2:G162,G162)=1,ROW()-1,ROWS(Clean_Data[OrderID])+1)</f>
        <v>901</v>
      </c>
      <c r="AD162" s="1">
        <f>IF(COUNTIF($H$2:H162,H162)=1,ROW()-1,ROWS(Clean_Data[OrderID])+1)</f>
        <v>901</v>
      </c>
      <c r="AE162" s="1">
        <f>IF(COUNTIF($V$2:V162,V162)=1,V162,ROWS(Clean_Data[OrderID])+1)</f>
        <v>901</v>
      </c>
      <c r="AF162" s="1">
        <f>IF(COUNTIF($U$2:U162,U162)=1,U162,ROWS(Clean_Data[OrderID])+1)</f>
        <v>901</v>
      </c>
      <c r="AG162" s="1">
        <f>IF(COUNTIF($E$2:E162,E162)=1,ROW()-1,ROWS(Clean_Data[OrderID])+1)</f>
        <v>901</v>
      </c>
    </row>
    <row r="163" spans="1:33" ht="20" customHeight="1">
      <c r="A163" s="3" t="s">
        <v>412</v>
      </c>
      <c r="B163" s="2">
        <v>46271</v>
      </c>
      <c r="C163" s="3">
        <v>18</v>
      </c>
      <c r="D163" s="3" t="s">
        <v>222</v>
      </c>
      <c r="E163" s="3" t="s">
        <v>91</v>
      </c>
      <c r="F163" s="3" t="s">
        <v>98</v>
      </c>
      <c r="G163" s="3" t="s">
        <v>122</v>
      </c>
      <c r="H163" s="3" t="s">
        <v>123</v>
      </c>
      <c r="I163" s="3">
        <v>4</v>
      </c>
      <c r="J163" s="11">
        <v>45</v>
      </c>
      <c r="K163" s="4">
        <v>0</v>
      </c>
      <c r="L163" s="3" t="s">
        <v>101</v>
      </c>
      <c r="M163" s="3"/>
      <c r="N163" s="3"/>
      <c r="O163" s="3"/>
      <c r="P163" s="11">
        <f>Clean_Data[[#This Row],[Quantity]]*Clean_Data[[#This Row],[UnitPrice]]</f>
        <v>180</v>
      </c>
      <c r="Q163" s="11">
        <f>ROUND(Clean_Data[[#This Row],[GrossSales]]*Clean_Data[[#This Row],[DiscountPct]],2)</f>
        <v>0</v>
      </c>
      <c r="R163" s="11">
        <f>IF(Clean_Data[[#This Row],[Status]]="Delivered",ROUND(Clean_Data[[#This Row],[GrossSales]]-Clean_Data[[#This Row],[DiscountAmount]],2),0)</f>
        <v>0</v>
      </c>
      <c r="S163" s="3" t="str">
        <f>IF(Clean_Data[[#This Row],[OrderHour]]&lt;6,"Night",IF(Clean_Data[[#This Row],[OrderHour]]&lt;12,"Morning",IF(Clean_Data[[#This Row],[OrderHour]]&lt;18,"Afternoon","Evening")))</f>
        <v>Evening</v>
      </c>
      <c r="T163" s="3" t="str">
        <f>TEXT(Clean_Data[[#This Row],[OrderDate]],"[$-409]ddd")</f>
        <v>Sun</v>
      </c>
      <c r="U163" s="3">
        <f>WEEKDAY(Clean_Data[[#This Row],[OrderDate]],2)</f>
        <v>7</v>
      </c>
      <c r="V163" s="3">
        <f>INT(Clean_Data[[#This Row],[OrderHour]]/6)+1</f>
        <v>4</v>
      </c>
      <c r="W163" s="3">
        <f>IF(Clean_Data[[#This Row],[Status]]="Delivered",1,0)</f>
        <v>0</v>
      </c>
      <c r="X163" s="3">
        <f>IF(Clean_Data[[#This Row],[Status]]="Delivered",IF(Clean_Data[[#This Row],[DeliveryMinutes]]&lt;=Dashboard!$X$5,1,0),0)</f>
        <v>0</v>
      </c>
      <c r="Y1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3" s="3">
        <f>IF(AND(Clean_Data[[#This Row],[Include]]=1,Clean_Data[[#This Row],[DeliveredFlag]]=1),1,0)</f>
        <v>0</v>
      </c>
      <c r="AA163" s="1">
        <f>IF(COUNTIF($D$2:D163,D163)=1,ROW()-1,ROWS(Clean_Data[OrderID])+1)</f>
        <v>901</v>
      </c>
      <c r="AB163" s="1">
        <f>IF(COUNTIF($F$2:F163,F163)=1,ROW()-1,ROWS(Clean_Data[OrderID])+1)</f>
        <v>901</v>
      </c>
      <c r="AC163" s="1">
        <f>IF(COUNTIF($G$2:G163,G163)=1,ROW()-1,ROWS(Clean_Data[OrderID])+1)</f>
        <v>901</v>
      </c>
      <c r="AD163" s="1">
        <f>IF(COUNTIF($H$2:H163,H163)=1,ROW()-1,ROWS(Clean_Data[OrderID])+1)</f>
        <v>901</v>
      </c>
      <c r="AE163" s="1">
        <f>IF(COUNTIF($V$2:V163,V163)=1,V163,ROWS(Clean_Data[OrderID])+1)</f>
        <v>901</v>
      </c>
      <c r="AF163" s="1">
        <f>IF(COUNTIF($U$2:U163,U163)=1,U163,ROWS(Clean_Data[OrderID])+1)</f>
        <v>901</v>
      </c>
      <c r="AG163" s="1">
        <f>IF(COUNTIF($E$2:E163,E163)=1,ROW()-1,ROWS(Clean_Data[OrderID])+1)</f>
        <v>901</v>
      </c>
    </row>
    <row r="164" spans="1:33" ht="20" customHeight="1">
      <c r="A164" s="3" t="s">
        <v>413</v>
      </c>
      <c r="B164" s="2">
        <v>46271</v>
      </c>
      <c r="C164" s="3">
        <v>11</v>
      </c>
      <c r="D164" s="3" t="s">
        <v>414</v>
      </c>
      <c r="E164" s="3" t="s">
        <v>117</v>
      </c>
      <c r="F164" s="3" t="s">
        <v>98</v>
      </c>
      <c r="G164" s="3" t="s">
        <v>110</v>
      </c>
      <c r="H164" s="3" t="s">
        <v>111</v>
      </c>
      <c r="I164" s="3">
        <v>1</v>
      </c>
      <c r="J164" s="11">
        <v>115</v>
      </c>
      <c r="K164" s="4">
        <v>0</v>
      </c>
      <c r="L164" s="3" t="s">
        <v>95</v>
      </c>
      <c r="M164" s="3">
        <v>24</v>
      </c>
      <c r="N164" s="3">
        <v>6</v>
      </c>
      <c r="O164" s="3">
        <v>5</v>
      </c>
      <c r="P164" s="11">
        <f>Clean_Data[[#This Row],[Quantity]]*Clean_Data[[#This Row],[UnitPrice]]</f>
        <v>115</v>
      </c>
      <c r="Q164" s="11">
        <f>ROUND(Clean_Data[[#This Row],[GrossSales]]*Clean_Data[[#This Row],[DiscountPct]],2)</f>
        <v>0</v>
      </c>
      <c r="R164" s="11">
        <f>IF(Clean_Data[[#This Row],[Status]]="Delivered",ROUND(Clean_Data[[#This Row],[GrossSales]]-Clean_Data[[#This Row],[DiscountAmount]],2),0)</f>
        <v>115</v>
      </c>
      <c r="S164" s="3" t="str">
        <f>IF(Clean_Data[[#This Row],[OrderHour]]&lt;6,"Night",IF(Clean_Data[[#This Row],[OrderHour]]&lt;12,"Morning",IF(Clean_Data[[#This Row],[OrderHour]]&lt;18,"Afternoon","Evening")))</f>
        <v>Morning</v>
      </c>
      <c r="T164" s="3" t="str">
        <f>TEXT(Clean_Data[[#This Row],[OrderDate]],"[$-409]ddd")</f>
        <v>Sun</v>
      </c>
      <c r="U164" s="3">
        <f>WEEKDAY(Clean_Data[[#This Row],[OrderDate]],2)</f>
        <v>7</v>
      </c>
      <c r="V164" s="3">
        <f>INT(Clean_Data[[#This Row],[OrderHour]]/6)+1</f>
        <v>2</v>
      </c>
      <c r="W164" s="3">
        <f>IF(Clean_Data[[#This Row],[Status]]="Delivered",1,0)</f>
        <v>1</v>
      </c>
      <c r="X164" s="3">
        <f>IF(Clean_Data[[#This Row],[Status]]="Delivered",IF(Clean_Data[[#This Row],[DeliveryMinutes]]&lt;=Dashboard!$X$5,1,0),0)</f>
        <v>1</v>
      </c>
      <c r="Y1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4" s="3">
        <f>IF(AND(Clean_Data[[#This Row],[Include]]=1,Clean_Data[[#This Row],[DeliveredFlag]]=1),1,0)</f>
        <v>1</v>
      </c>
      <c r="AA164" s="1">
        <f>IF(COUNTIF($D$2:D164,D164)=1,ROW()-1,ROWS(Clean_Data[OrderID])+1)</f>
        <v>163</v>
      </c>
      <c r="AB164" s="1">
        <f>IF(COUNTIF($F$2:F164,F164)=1,ROW()-1,ROWS(Clean_Data[OrderID])+1)</f>
        <v>901</v>
      </c>
      <c r="AC164" s="1">
        <f>IF(COUNTIF($G$2:G164,G164)=1,ROW()-1,ROWS(Clean_Data[OrderID])+1)</f>
        <v>901</v>
      </c>
      <c r="AD164" s="1">
        <f>IF(COUNTIF($H$2:H164,H164)=1,ROW()-1,ROWS(Clean_Data[OrderID])+1)</f>
        <v>901</v>
      </c>
      <c r="AE164" s="1">
        <f>IF(COUNTIF($V$2:V164,V164)=1,V164,ROWS(Clean_Data[OrderID])+1)</f>
        <v>901</v>
      </c>
      <c r="AF164" s="1">
        <f>IF(COUNTIF($U$2:U164,U164)=1,U164,ROWS(Clean_Data[OrderID])+1)</f>
        <v>901</v>
      </c>
      <c r="AG164" s="1">
        <f>IF(COUNTIF($E$2:E164,E164)=1,ROW()-1,ROWS(Clean_Data[OrderID])+1)</f>
        <v>901</v>
      </c>
    </row>
    <row r="165" spans="1:33" ht="20" customHeight="1">
      <c r="A165" s="3" t="s">
        <v>415</v>
      </c>
      <c r="B165" s="2">
        <v>46271</v>
      </c>
      <c r="C165" s="3">
        <v>17</v>
      </c>
      <c r="D165" s="3" t="s">
        <v>322</v>
      </c>
      <c r="E165" s="3" t="s">
        <v>117</v>
      </c>
      <c r="F165" s="3" t="s">
        <v>109</v>
      </c>
      <c r="G165" s="3" t="s">
        <v>122</v>
      </c>
      <c r="H165" s="3" t="s">
        <v>153</v>
      </c>
      <c r="I165" s="3">
        <v>3</v>
      </c>
      <c r="J165" s="11">
        <v>130</v>
      </c>
      <c r="K165" s="4">
        <v>0.05</v>
      </c>
      <c r="L165" s="3" t="s">
        <v>95</v>
      </c>
      <c r="M165" s="3">
        <v>25</v>
      </c>
      <c r="N165" s="3">
        <v>8</v>
      </c>
      <c r="O165" s="3">
        <v>5</v>
      </c>
      <c r="P165" s="11">
        <f>Clean_Data[[#This Row],[Quantity]]*Clean_Data[[#This Row],[UnitPrice]]</f>
        <v>390</v>
      </c>
      <c r="Q165" s="11">
        <f>ROUND(Clean_Data[[#This Row],[GrossSales]]*Clean_Data[[#This Row],[DiscountPct]],2)</f>
        <v>19.5</v>
      </c>
      <c r="R165" s="11">
        <f>IF(Clean_Data[[#This Row],[Status]]="Delivered",ROUND(Clean_Data[[#This Row],[GrossSales]]-Clean_Data[[#This Row],[DiscountAmount]],2),0)</f>
        <v>370.5</v>
      </c>
      <c r="S165" s="3" t="str">
        <f>IF(Clean_Data[[#This Row],[OrderHour]]&lt;6,"Night",IF(Clean_Data[[#This Row],[OrderHour]]&lt;12,"Morning",IF(Clean_Data[[#This Row],[OrderHour]]&lt;18,"Afternoon","Evening")))</f>
        <v>Afternoon</v>
      </c>
      <c r="T165" s="3" t="str">
        <f>TEXT(Clean_Data[[#This Row],[OrderDate]],"[$-409]ddd")</f>
        <v>Sun</v>
      </c>
      <c r="U165" s="3">
        <f>WEEKDAY(Clean_Data[[#This Row],[OrderDate]],2)</f>
        <v>7</v>
      </c>
      <c r="V165" s="3">
        <f>INT(Clean_Data[[#This Row],[OrderHour]]/6)+1</f>
        <v>3</v>
      </c>
      <c r="W165" s="3">
        <f>IF(Clean_Data[[#This Row],[Status]]="Delivered",1,0)</f>
        <v>1</v>
      </c>
      <c r="X165" s="3">
        <f>IF(Clean_Data[[#This Row],[Status]]="Delivered",IF(Clean_Data[[#This Row],[DeliveryMinutes]]&lt;=Dashboard!$X$5,1,0),0)</f>
        <v>1</v>
      </c>
      <c r="Y1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5" s="3">
        <f>IF(AND(Clean_Data[[#This Row],[Include]]=1,Clean_Data[[#This Row],[DeliveredFlag]]=1),1,0)</f>
        <v>1</v>
      </c>
      <c r="AA165" s="1">
        <f>IF(COUNTIF($D$2:D165,D165)=1,ROW()-1,ROWS(Clean_Data[OrderID])+1)</f>
        <v>901</v>
      </c>
      <c r="AB165" s="1">
        <f>IF(COUNTIF($F$2:F165,F165)=1,ROW()-1,ROWS(Clean_Data[OrderID])+1)</f>
        <v>901</v>
      </c>
      <c r="AC165" s="1">
        <f>IF(COUNTIF($G$2:G165,G165)=1,ROW()-1,ROWS(Clean_Data[OrderID])+1)</f>
        <v>901</v>
      </c>
      <c r="AD165" s="1">
        <f>IF(COUNTIF($H$2:H165,H165)=1,ROW()-1,ROWS(Clean_Data[OrderID])+1)</f>
        <v>901</v>
      </c>
      <c r="AE165" s="1">
        <f>IF(COUNTIF($V$2:V165,V165)=1,V165,ROWS(Clean_Data[OrderID])+1)</f>
        <v>901</v>
      </c>
      <c r="AF165" s="1">
        <f>IF(COUNTIF($U$2:U165,U165)=1,U165,ROWS(Clean_Data[OrderID])+1)</f>
        <v>901</v>
      </c>
      <c r="AG165" s="1">
        <f>IF(COUNTIF($E$2:E165,E165)=1,ROW()-1,ROWS(Clean_Data[OrderID])+1)</f>
        <v>901</v>
      </c>
    </row>
    <row r="166" spans="1:33" ht="20" customHeight="1">
      <c r="A166" s="3" t="s">
        <v>416</v>
      </c>
      <c r="B166" s="2">
        <v>46271</v>
      </c>
      <c r="C166" s="3">
        <v>12</v>
      </c>
      <c r="D166" s="3" t="s">
        <v>417</v>
      </c>
      <c r="E166" s="3" t="s">
        <v>91</v>
      </c>
      <c r="F166" s="3" t="s">
        <v>109</v>
      </c>
      <c r="G166" s="3" t="s">
        <v>99</v>
      </c>
      <c r="H166" s="3" t="s">
        <v>130</v>
      </c>
      <c r="I166" s="3">
        <v>1</v>
      </c>
      <c r="J166" s="11">
        <v>85</v>
      </c>
      <c r="K166" s="4">
        <v>0.05</v>
      </c>
      <c r="L166" s="3" t="s">
        <v>95</v>
      </c>
      <c r="M166" s="3">
        <v>30</v>
      </c>
      <c r="N166" s="3">
        <v>15</v>
      </c>
      <c r="O166" s="3">
        <v>4</v>
      </c>
      <c r="P166" s="11">
        <f>Clean_Data[[#This Row],[Quantity]]*Clean_Data[[#This Row],[UnitPrice]]</f>
        <v>85</v>
      </c>
      <c r="Q166" s="11">
        <f>ROUND(Clean_Data[[#This Row],[GrossSales]]*Clean_Data[[#This Row],[DiscountPct]],2)</f>
        <v>4.25</v>
      </c>
      <c r="R166" s="11">
        <f>IF(Clean_Data[[#This Row],[Status]]="Delivered",ROUND(Clean_Data[[#This Row],[GrossSales]]-Clean_Data[[#This Row],[DiscountAmount]],2),0)</f>
        <v>80.75</v>
      </c>
      <c r="S166" s="3" t="str">
        <f>IF(Clean_Data[[#This Row],[OrderHour]]&lt;6,"Night",IF(Clean_Data[[#This Row],[OrderHour]]&lt;12,"Morning",IF(Clean_Data[[#This Row],[OrderHour]]&lt;18,"Afternoon","Evening")))</f>
        <v>Afternoon</v>
      </c>
      <c r="T166" s="3" t="str">
        <f>TEXT(Clean_Data[[#This Row],[OrderDate]],"[$-409]ddd")</f>
        <v>Sun</v>
      </c>
      <c r="U166" s="3">
        <f>WEEKDAY(Clean_Data[[#This Row],[OrderDate]],2)</f>
        <v>7</v>
      </c>
      <c r="V166" s="3">
        <f>INT(Clean_Data[[#This Row],[OrderHour]]/6)+1</f>
        <v>3</v>
      </c>
      <c r="W166" s="3">
        <f>IF(Clean_Data[[#This Row],[Status]]="Delivered",1,0)</f>
        <v>1</v>
      </c>
      <c r="X166" s="3">
        <f>IF(Clean_Data[[#This Row],[Status]]="Delivered",IF(Clean_Data[[#This Row],[DeliveryMinutes]]&lt;=Dashboard!$X$5,1,0),0)</f>
        <v>1</v>
      </c>
      <c r="Y1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6" s="3">
        <f>IF(AND(Clean_Data[[#This Row],[Include]]=1,Clean_Data[[#This Row],[DeliveredFlag]]=1),1,0)</f>
        <v>1</v>
      </c>
      <c r="AA166" s="1">
        <f>IF(COUNTIF($D$2:D166,D166)=1,ROW()-1,ROWS(Clean_Data[OrderID])+1)</f>
        <v>165</v>
      </c>
      <c r="AB166" s="1">
        <f>IF(COUNTIF($F$2:F166,F166)=1,ROW()-1,ROWS(Clean_Data[OrderID])+1)</f>
        <v>901</v>
      </c>
      <c r="AC166" s="1">
        <f>IF(COUNTIF($G$2:G166,G166)=1,ROW()-1,ROWS(Clean_Data[OrderID])+1)</f>
        <v>901</v>
      </c>
      <c r="AD166" s="1">
        <f>IF(COUNTIF($H$2:H166,H166)=1,ROW()-1,ROWS(Clean_Data[OrderID])+1)</f>
        <v>901</v>
      </c>
      <c r="AE166" s="1">
        <f>IF(COUNTIF($V$2:V166,V166)=1,V166,ROWS(Clean_Data[OrderID])+1)</f>
        <v>901</v>
      </c>
      <c r="AF166" s="1">
        <f>IF(COUNTIF($U$2:U166,U166)=1,U166,ROWS(Clean_Data[OrderID])+1)</f>
        <v>901</v>
      </c>
      <c r="AG166" s="1">
        <f>IF(COUNTIF($E$2:E166,E166)=1,ROW()-1,ROWS(Clean_Data[OrderID])+1)</f>
        <v>901</v>
      </c>
    </row>
    <row r="167" spans="1:33" ht="20" customHeight="1">
      <c r="A167" s="3" t="s">
        <v>418</v>
      </c>
      <c r="B167" s="2">
        <v>46271</v>
      </c>
      <c r="C167" s="3">
        <v>15</v>
      </c>
      <c r="D167" s="3" t="s">
        <v>419</v>
      </c>
      <c r="E167" s="3" t="s">
        <v>117</v>
      </c>
      <c r="F167" s="3" t="s">
        <v>109</v>
      </c>
      <c r="G167" s="3" t="s">
        <v>174</v>
      </c>
      <c r="H167" s="3" t="s">
        <v>274</v>
      </c>
      <c r="I167" s="3">
        <v>5</v>
      </c>
      <c r="J167" s="11">
        <v>90</v>
      </c>
      <c r="K167" s="4">
        <v>0</v>
      </c>
      <c r="L167" s="3" t="s">
        <v>95</v>
      </c>
      <c r="M167" s="3">
        <v>19</v>
      </c>
      <c r="N167" s="3">
        <v>6</v>
      </c>
      <c r="O167" s="3">
        <v>3</v>
      </c>
      <c r="P167" s="11">
        <f>Clean_Data[[#This Row],[Quantity]]*Clean_Data[[#This Row],[UnitPrice]]</f>
        <v>450</v>
      </c>
      <c r="Q167" s="11">
        <f>ROUND(Clean_Data[[#This Row],[GrossSales]]*Clean_Data[[#This Row],[DiscountPct]],2)</f>
        <v>0</v>
      </c>
      <c r="R167" s="11">
        <f>IF(Clean_Data[[#This Row],[Status]]="Delivered",ROUND(Clean_Data[[#This Row],[GrossSales]]-Clean_Data[[#This Row],[DiscountAmount]],2),0)</f>
        <v>450</v>
      </c>
      <c r="S167" s="3" t="str">
        <f>IF(Clean_Data[[#This Row],[OrderHour]]&lt;6,"Night",IF(Clean_Data[[#This Row],[OrderHour]]&lt;12,"Morning",IF(Clean_Data[[#This Row],[OrderHour]]&lt;18,"Afternoon","Evening")))</f>
        <v>Afternoon</v>
      </c>
      <c r="T167" s="3" t="str">
        <f>TEXT(Clean_Data[[#This Row],[OrderDate]],"[$-409]ddd")</f>
        <v>Sun</v>
      </c>
      <c r="U167" s="3">
        <f>WEEKDAY(Clean_Data[[#This Row],[OrderDate]],2)</f>
        <v>7</v>
      </c>
      <c r="V167" s="3">
        <f>INT(Clean_Data[[#This Row],[OrderHour]]/6)+1</f>
        <v>3</v>
      </c>
      <c r="W167" s="3">
        <f>IF(Clean_Data[[#This Row],[Status]]="Delivered",1,0)</f>
        <v>1</v>
      </c>
      <c r="X167" s="3">
        <f>IF(Clean_Data[[#This Row],[Status]]="Delivered",IF(Clean_Data[[#This Row],[DeliveryMinutes]]&lt;=Dashboard!$X$5,1,0),0)</f>
        <v>1</v>
      </c>
      <c r="Y1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7" s="3">
        <f>IF(AND(Clean_Data[[#This Row],[Include]]=1,Clean_Data[[#This Row],[DeliveredFlag]]=1),1,0)</f>
        <v>1</v>
      </c>
      <c r="AA167" s="1">
        <f>IF(COUNTIF($D$2:D167,D167)=1,ROW()-1,ROWS(Clean_Data[OrderID])+1)</f>
        <v>166</v>
      </c>
      <c r="AB167" s="1">
        <f>IF(COUNTIF($F$2:F167,F167)=1,ROW()-1,ROWS(Clean_Data[OrderID])+1)</f>
        <v>901</v>
      </c>
      <c r="AC167" s="1">
        <f>IF(COUNTIF($G$2:G167,G167)=1,ROW()-1,ROWS(Clean_Data[OrderID])+1)</f>
        <v>901</v>
      </c>
      <c r="AD167" s="1">
        <f>IF(COUNTIF($H$2:H167,H167)=1,ROW()-1,ROWS(Clean_Data[OrderID])+1)</f>
        <v>901</v>
      </c>
      <c r="AE167" s="1">
        <f>IF(COUNTIF($V$2:V167,V167)=1,V167,ROWS(Clean_Data[OrderID])+1)</f>
        <v>901</v>
      </c>
      <c r="AF167" s="1">
        <f>IF(COUNTIF($U$2:U167,U167)=1,U167,ROWS(Clean_Data[OrderID])+1)</f>
        <v>901</v>
      </c>
      <c r="AG167" s="1">
        <f>IF(COUNTIF($E$2:E167,E167)=1,ROW()-1,ROWS(Clean_Data[OrderID])+1)</f>
        <v>901</v>
      </c>
    </row>
    <row r="168" spans="1:33" ht="20" customHeight="1">
      <c r="A168" s="3" t="s">
        <v>420</v>
      </c>
      <c r="B168" s="2">
        <v>46271</v>
      </c>
      <c r="C168" s="3">
        <v>19</v>
      </c>
      <c r="D168" s="3" t="s">
        <v>421</v>
      </c>
      <c r="E168" s="3" t="s">
        <v>117</v>
      </c>
      <c r="F168" s="3" t="s">
        <v>98</v>
      </c>
      <c r="G168" s="3" t="s">
        <v>93</v>
      </c>
      <c r="H168" s="3" t="s">
        <v>118</v>
      </c>
      <c r="I168" s="3">
        <v>5</v>
      </c>
      <c r="J168" s="11">
        <v>45</v>
      </c>
      <c r="K168" s="4">
        <v>0.15</v>
      </c>
      <c r="L168" s="3" t="s">
        <v>95</v>
      </c>
      <c r="M168" s="3">
        <v>13</v>
      </c>
      <c r="N168" s="3">
        <v>15</v>
      </c>
      <c r="O168" s="3">
        <v>4</v>
      </c>
      <c r="P168" s="11">
        <f>Clean_Data[[#This Row],[Quantity]]*Clean_Data[[#This Row],[UnitPrice]]</f>
        <v>225</v>
      </c>
      <c r="Q168" s="11">
        <f>ROUND(Clean_Data[[#This Row],[GrossSales]]*Clean_Data[[#This Row],[DiscountPct]],2)</f>
        <v>33.75</v>
      </c>
      <c r="R168" s="11">
        <f>IF(Clean_Data[[#This Row],[Status]]="Delivered",ROUND(Clean_Data[[#This Row],[GrossSales]]-Clean_Data[[#This Row],[DiscountAmount]],2),0)</f>
        <v>191.25</v>
      </c>
      <c r="S168" s="3" t="str">
        <f>IF(Clean_Data[[#This Row],[OrderHour]]&lt;6,"Night",IF(Clean_Data[[#This Row],[OrderHour]]&lt;12,"Morning",IF(Clean_Data[[#This Row],[OrderHour]]&lt;18,"Afternoon","Evening")))</f>
        <v>Evening</v>
      </c>
      <c r="T168" s="3" t="str">
        <f>TEXT(Clean_Data[[#This Row],[OrderDate]],"[$-409]ddd")</f>
        <v>Sun</v>
      </c>
      <c r="U168" s="3">
        <f>WEEKDAY(Clean_Data[[#This Row],[OrderDate]],2)</f>
        <v>7</v>
      </c>
      <c r="V168" s="3">
        <f>INT(Clean_Data[[#This Row],[OrderHour]]/6)+1</f>
        <v>4</v>
      </c>
      <c r="W168" s="3">
        <f>IF(Clean_Data[[#This Row],[Status]]="Delivered",1,0)</f>
        <v>1</v>
      </c>
      <c r="X168" s="3">
        <f>IF(Clean_Data[[#This Row],[Status]]="Delivered",IF(Clean_Data[[#This Row],[DeliveryMinutes]]&lt;=Dashboard!$X$5,1,0),0)</f>
        <v>1</v>
      </c>
      <c r="Y1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8" s="3">
        <f>IF(AND(Clean_Data[[#This Row],[Include]]=1,Clean_Data[[#This Row],[DeliveredFlag]]=1),1,0)</f>
        <v>1</v>
      </c>
      <c r="AA168" s="1">
        <f>IF(COUNTIF($D$2:D168,D168)=1,ROW()-1,ROWS(Clean_Data[OrderID])+1)</f>
        <v>167</v>
      </c>
      <c r="AB168" s="1">
        <f>IF(COUNTIF($F$2:F168,F168)=1,ROW()-1,ROWS(Clean_Data[OrderID])+1)</f>
        <v>901</v>
      </c>
      <c r="AC168" s="1">
        <f>IF(COUNTIF($G$2:G168,G168)=1,ROW()-1,ROWS(Clean_Data[OrderID])+1)</f>
        <v>901</v>
      </c>
      <c r="AD168" s="1">
        <f>IF(COUNTIF($H$2:H168,H168)=1,ROW()-1,ROWS(Clean_Data[OrderID])+1)</f>
        <v>901</v>
      </c>
      <c r="AE168" s="1">
        <f>IF(COUNTIF($V$2:V168,V168)=1,V168,ROWS(Clean_Data[OrderID])+1)</f>
        <v>901</v>
      </c>
      <c r="AF168" s="1">
        <f>IF(COUNTIF($U$2:U168,U168)=1,U168,ROWS(Clean_Data[OrderID])+1)</f>
        <v>901</v>
      </c>
      <c r="AG168" s="1">
        <f>IF(COUNTIF($E$2:E168,E168)=1,ROW()-1,ROWS(Clean_Data[OrderID])+1)</f>
        <v>901</v>
      </c>
    </row>
    <row r="169" spans="1:33" ht="20" customHeight="1">
      <c r="A169" s="3" t="s">
        <v>422</v>
      </c>
      <c r="B169" s="2">
        <v>46271</v>
      </c>
      <c r="C169" s="3">
        <v>11</v>
      </c>
      <c r="D169" s="3" t="s">
        <v>423</v>
      </c>
      <c r="E169" s="3" t="s">
        <v>91</v>
      </c>
      <c r="F169" s="3" t="s">
        <v>109</v>
      </c>
      <c r="G169" s="3" t="s">
        <v>93</v>
      </c>
      <c r="H169" s="3" t="s">
        <v>146</v>
      </c>
      <c r="I169" s="3">
        <v>6</v>
      </c>
      <c r="J169" s="11">
        <v>110</v>
      </c>
      <c r="K169" s="4">
        <v>0.1</v>
      </c>
      <c r="L169" s="3" t="s">
        <v>95</v>
      </c>
      <c r="M169" s="3">
        <v>34</v>
      </c>
      <c r="N169" s="3">
        <v>7</v>
      </c>
      <c r="O169" s="3">
        <v>3</v>
      </c>
      <c r="P169" s="11">
        <f>Clean_Data[[#This Row],[Quantity]]*Clean_Data[[#This Row],[UnitPrice]]</f>
        <v>660</v>
      </c>
      <c r="Q169" s="11">
        <f>ROUND(Clean_Data[[#This Row],[GrossSales]]*Clean_Data[[#This Row],[DiscountPct]],2)</f>
        <v>66</v>
      </c>
      <c r="R169" s="11">
        <f>IF(Clean_Data[[#This Row],[Status]]="Delivered",ROUND(Clean_Data[[#This Row],[GrossSales]]-Clean_Data[[#This Row],[DiscountAmount]],2),0)</f>
        <v>594</v>
      </c>
      <c r="S169" s="3" t="str">
        <f>IF(Clean_Data[[#This Row],[OrderHour]]&lt;6,"Night",IF(Clean_Data[[#This Row],[OrderHour]]&lt;12,"Morning",IF(Clean_Data[[#This Row],[OrderHour]]&lt;18,"Afternoon","Evening")))</f>
        <v>Morning</v>
      </c>
      <c r="T169" s="3" t="str">
        <f>TEXT(Clean_Data[[#This Row],[OrderDate]],"[$-409]ddd")</f>
        <v>Sun</v>
      </c>
      <c r="U169" s="3">
        <f>WEEKDAY(Clean_Data[[#This Row],[OrderDate]],2)</f>
        <v>7</v>
      </c>
      <c r="V169" s="3">
        <f>INT(Clean_Data[[#This Row],[OrderHour]]/6)+1</f>
        <v>2</v>
      </c>
      <c r="W169" s="3">
        <f>IF(Clean_Data[[#This Row],[Status]]="Delivered",1,0)</f>
        <v>1</v>
      </c>
      <c r="X169" s="3">
        <f>IF(Clean_Data[[#This Row],[Status]]="Delivered",IF(Clean_Data[[#This Row],[DeliveryMinutes]]&lt;=Dashboard!$X$5,1,0),0)</f>
        <v>0</v>
      </c>
      <c r="Y1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69" s="3">
        <f>IF(AND(Clean_Data[[#This Row],[Include]]=1,Clean_Data[[#This Row],[DeliveredFlag]]=1),1,0)</f>
        <v>1</v>
      </c>
      <c r="AA169" s="1">
        <f>IF(COUNTIF($D$2:D169,D169)=1,ROW()-1,ROWS(Clean_Data[OrderID])+1)</f>
        <v>168</v>
      </c>
      <c r="AB169" s="1">
        <f>IF(COUNTIF($F$2:F169,F169)=1,ROW()-1,ROWS(Clean_Data[OrderID])+1)</f>
        <v>901</v>
      </c>
      <c r="AC169" s="1">
        <f>IF(COUNTIF($G$2:G169,G169)=1,ROW()-1,ROWS(Clean_Data[OrderID])+1)</f>
        <v>901</v>
      </c>
      <c r="AD169" s="1">
        <f>IF(COUNTIF($H$2:H169,H169)=1,ROW()-1,ROWS(Clean_Data[OrderID])+1)</f>
        <v>901</v>
      </c>
      <c r="AE169" s="1">
        <f>IF(COUNTIF($V$2:V169,V169)=1,V169,ROWS(Clean_Data[OrderID])+1)</f>
        <v>901</v>
      </c>
      <c r="AF169" s="1">
        <f>IF(COUNTIF($U$2:U169,U169)=1,U169,ROWS(Clean_Data[OrderID])+1)</f>
        <v>901</v>
      </c>
      <c r="AG169" s="1">
        <f>IF(COUNTIF($E$2:E169,E169)=1,ROW()-1,ROWS(Clean_Data[OrderID])+1)</f>
        <v>901</v>
      </c>
    </row>
    <row r="170" spans="1:33" ht="20" customHeight="1">
      <c r="A170" s="3" t="s">
        <v>424</v>
      </c>
      <c r="B170" s="2">
        <v>46271</v>
      </c>
      <c r="C170" s="3">
        <v>13</v>
      </c>
      <c r="D170" s="3" t="s">
        <v>425</v>
      </c>
      <c r="E170" s="3" t="s">
        <v>91</v>
      </c>
      <c r="F170" s="3" t="s">
        <v>121</v>
      </c>
      <c r="G170" s="3" t="s">
        <v>93</v>
      </c>
      <c r="H170" s="3" t="s">
        <v>146</v>
      </c>
      <c r="I170" s="3">
        <v>6</v>
      </c>
      <c r="J170" s="11">
        <v>110</v>
      </c>
      <c r="K170" s="4">
        <v>0</v>
      </c>
      <c r="L170" s="3" t="s">
        <v>95</v>
      </c>
      <c r="M170" s="3">
        <v>18</v>
      </c>
      <c r="N170" s="3">
        <v>5</v>
      </c>
      <c r="O170" s="3">
        <v>5</v>
      </c>
      <c r="P170" s="11">
        <f>Clean_Data[[#This Row],[Quantity]]*Clean_Data[[#This Row],[UnitPrice]]</f>
        <v>660</v>
      </c>
      <c r="Q170" s="11">
        <f>ROUND(Clean_Data[[#This Row],[GrossSales]]*Clean_Data[[#This Row],[DiscountPct]],2)</f>
        <v>0</v>
      </c>
      <c r="R170" s="11">
        <f>IF(Clean_Data[[#This Row],[Status]]="Delivered",ROUND(Clean_Data[[#This Row],[GrossSales]]-Clean_Data[[#This Row],[DiscountAmount]],2),0)</f>
        <v>660</v>
      </c>
      <c r="S170" s="3" t="str">
        <f>IF(Clean_Data[[#This Row],[OrderHour]]&lt;6,"Night",IF(Clean_Data[[#This Row],[OrderHour]]&lt;12,"Morning",IF(Clean_Data[[#This Row],[OrderHour]]&lt;18,"Afternoon","Evening")))</f>
        <v>Afternoon</v>
      </c>
      <c r="T170" s="3" t="str">
        <f>TEXT(Clean_Data[[#This Row],[OrderDate]],"[$-409]ddd")</f>
        <v>Sun</v>
      </c>
      <c r="U170" s="3">
        <f>WEEKDAY(Clean_Data[[#This Row],[OrderDate]],2)</f>
        <v>7</v>
      </c>
      <c r="V170" s="3">
        <f>INT(Clean_Data[[#This Row],[OrderHour]]/6)+1</f>
        <v>3</v>
      </c>
      <c r="W170" s="3">
        <f>IF(Clean_Data[[#This Row],[Status]]="Delivered",1,0)</f>
        <v>1</v>
      </c>
      <c r="X170" s="3">
        <f>IF(Clean_Data[[#This Row],[Status]]="Delivered",IF(Clean_Data[[#This Row],[DeliveryMinutes]]&lt;=Dashboard!$X$5,1,0),0)</f>
        <v>1</v>
      </c>
      <c r="Y1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0" s="3">
        <f>IF(AND(Clean_Data[[#This Row],[Include]]=1,Clean_Data[[#This Row],[DeliveredFlag]]=1),1,0)</f>
        <v>1</v>
      </c>
      <c r="AA170" s="1">
        <f>IF(COUNTIF($D$2:D170,D170)=1,ROW()-1,ROWS(Clean_Data[OrderID])+1)</f>
        <v>169</v>
      </c>
      <c r="AB170" s="1">
        <f>IF(COUNTIF($F$2:F170,F170)=1,ROW()-1,ROWS(Clean_Data[OrderID])+1)</f>
        <v>901</v>
      </c>
      <c r="AC170" s="1">
        <f>IF(COUNTIF($G$2:G170,G170)=1,ROW()-1,ROWS(Clean_Data[OrderID])+1)</f>
        <v>901</v>
      </c>
      <c r="AD170" s="1">
        <f>IF(COUNTIF($H$2:H170,H170)=1,ROW()-1,ROWS(Clean_Data[OrderID])+1)</f>
        <v>901</v>
      </c>
      <c r="AE170" s="1">
        <f>IF(COUNTIF($V$2:V170,V170)=1,V170,ROWS(Clean_Data[OrderID])+1)</f>
        <v>901</v>
      </c>
      <c r="AF170" s="1">
        <f>IF(COUNTIF($U$2:U170,U170)=1,U170,ROWS(Clean_Data[OrderID])+1)</f>
        <v>901</v>
      </c>
      <c r="AG170" s="1">
        <f>IF(COUNTIF($E$2:E170,E170)=1,ROW()-1,ROWS(Clean_Data[OrderID])+1)</f>
        <v>901</v>
      </c>
    </row>
    <row r="171" spans="1:33" ht="20" customHeight="1">
      <c r="A171" s="3" t="s">
        <v>426</v>
      </c>
      <c r="B171" s="2">
        <v>46271</v>
      </c>
      <c r="C171" s="3">
        <v>18</v>
      </c>
      <c r="D171" s="3" t="s">
        <v>427</v>
      </c>
      <c r="E171" s="3" t="s">
        <v>91</v>
      </c>
      <c r="F171" s="3" t="s">
        <v>109</v>
      </c>
      <c r="G171" s="3" t="s">
        <v>93</v>
      </c>
      <c r="H171" s="3" t="s">
        <v>118</v>
      </c>
      <c r="I171" s="3">
        <v>1</v>
      </c>
      <c r="J171" s="11">
        <v>45</v>
      </c>
      <c r="K171" s="4">
        <v>0</v>
      </c>
      <c r="L171" s="3" t="s">
        <v>95</v>
      </c>
      <c r="M171" s="3">
        <v>23</v>
      </c>
      <c r="N171" s="3">
        <v>11</v>
      </c>
      <c r="O171" s="3">
        <v>4</v>
      </c>
      <c r="P171" s="11">
        <f>Clean_Data[[#This Row],[Quantity]]*Clean_Data[[#This Row],[UnitPrice]]</f>
        <v>45</v>
      </c>
      <c r="Q171" s="11">
        <f>ROUND(Clean_Data[[#This Row],[GrossSales]]*Clean_Data[[#This Row],[DiscountPct]],2)</f>
        <v>0</v>
      </c>
      <c r="R171" s="11">
        <f>IF(Clean_Data[[#This Row],[Status]]="Delivered",ROUND(Clean_Data[[#This Row],[GrossSales]]-Clean_Data[[#This Row],[DiscountAmount]],2),0)</f>
        <v>45</v>
      </c>
      <c r="S171" s="3" t="str">
        <f>IF(Clean_Data[[#This Row],[OrderHour]]&lt;6,"Night",IF(Clean_Data[[#This Row],[OrderHour]]&lt;12,"Morning",IF(Clean_Data[[#This Row],[OrderHour]]&lt;18,"Afternoon","Evening")))</f>
        <v>Evening</v>
      </c>
      <c r="T171" s="3" t="str">
        <f>TEXT(Clean_Data[[#This Row],[OrderDate]],"[$-409]ddd")</f>
        <v>Sun</v>
      </c>
      <c r="U171" s="3">
        <f>WEEKDAY(Clean_Data[[#This Row],[OrderDate]],2)</f>
        <v>7</v>
      </c>
      <c r="V171" s="3">
        <f>INT(Clean_Data[[#This Row],[OrderHour]]/6)+1</f>
        <v>4</v>
      </c>
      <c r="W171" s="3">
        <f>IF(Clean_Data[[#This Row],[Status]]="Delivered",1,0)</f>
        <v>1</v>
      </c>
      <c r="X171" s="3">
        <f>IF(Clean_Data[[#This Row],[Status]]="Delivered",IF(Clean_Data[[#This Row],[DeliveryMinutes]]&lt;=Dashboard!$X$5,1,0),0)</f>
        <v>1</v>
      </c>
      <c r="Y1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1" s="3">
        <f>IF(AND(Clean_Data[[#This Row],[Include]]=1,Clean_Data[[#This Row],[DeliveredFlag]]=1),1,0)</f>
        <v>1</v>
      </c>
      <c r="AA171" s="1">
        <f>IF(COUNTIF($D$2:D171,D171)=1,ROW()-1,ROWS(Clean_Data[OrderID])+1)</f>
        <v>170</v>
      </c>
      <c r="AB171" s="1">
        <f>IF(COUNTIF($F$2:F171,F171)=1,ROW()-1,ROWS(Clean_Data[OrderID])+1)</f>
        <v>901</v>
      </c>
      <c r="AC171" s="1">
        <f>IF(COUNTIF($G$2:G171,G171)=1,ROW()-1,ROWS(Clean_Data[OrderID])+1)</f>
        <v>901</v>
      </c>
      <c r="AD171" s="1">
        <f>IF(COUNTIF($H$2:H171,H171)=1,ROW()-1,ROWS(Clean_Data[OrderID])+1)</f>
        <v>901</v>
      </c>
      <c r="AE171" s="1">
        <f>IF(COUNTIF($V$2:V171,V171)=1,V171,ROWS(Clean_Data[OrderID])+1)</f>
        <v>901</v>
      </c>
      <c r="AF171" s="1">
        <f>IF(COUNTIF($U$2:U171,U171)=1,U171,ROWS(Clean_Data[OrderID])+1)</f>
        <v>901</v>
      </c>
      <c r="AG171" s="1">
        <f>IF(COUNTIF($E$2:E171,E171)=1,ROW()-1,ROWS(Clean_Data[OrderID])+1)</f>
        <v>901</v>
      </c>
    </row>
    <row r="172" spans="1:33" ht="20" customHeight="1">
      <c r="A172" s="3" t="s">
        <v>428</v>
      </c>
      <c r="B172" s="2">
        <v>46271</v>
      </c>
      <c r="C172" s="3">
        <v>23</v>
      </c>
      <c r="D172" s="3" t="s">
        <v>429</v>
      </c>
      <c r="E172" s="3" t="s">
        <v>91</v>
      </c>
      <c r="F172" s="3" t="s">
        <v>121</v>
      </c>
      <c r="G172" s="3" t="s">
        <v>174</v>
      </c>
      <c r="H172" s="3" t="s">
        <v>184</v>
      </c>
      <c r="I172" s="3">
        <v>6</v>
      </c>
      <c r="J172" s="11">
        <v>62</v>
      </c>
      <c r="K172" s="4">
        <v>0.1</v>
      </c>
      <c r="L172" s="3" t="s">
        <v>95</v>
      </c>
      <c r="M172" s="3">
        <v>31</v>
      </c>
      <c r="N172" s="3">
        <v>4</v>
      </c>
      <c r="O172" s="3">
        <v>5</v>
      </c>
      <c r="P172" s="11">
        <f>Clean_Data[[#This Row],[Quantity]]*Clean_Data[[#This Row],[UnitPrice]]</f>
        <v>372</v>
      </c>
      <c r="Q172" s="11">
        <f>ROUND(Clean_Data[[#This Row],[GrossSales]]*Clean_Data[[#This Row],[DiscountPct]],2)</f>
        <v>37.200000000000003</v>
      </c>
      <c r="R172" s="11">
        <f>IF(Clean_Data[[#This Row],[Status]]="Delivered",ROUND(Clean_Data[[#This Row],[GrossSales]]-Clean_Data[[#This Row],[DiscountAmount]],2),0)</f>
        <v>334.8</v>
      </c>
      <c r="S172" s="3" t="str">
        <f>IF(Clean_Data[[#This Row],[OrderHour]]&lt;6,"Night",IF(Clean_Data[[#This Row],[OrderHour]]&lt;12,"Morning",IF(Clean_Data[[#This Row],[OrderHour]]&lt;18,"Afternoon","Evening")))</f>
        <v>Evening</v>
      </c>
      <c r="T172" s="3" t="str">
        <f>TEXT(Clean_Data[[#This Row],[OrderDate]],"[$-409]ddd")</f>
        <v>Sun</v>
      </c>
      <c r="U172" s="3">
        <f>WEEKDAY(Clean_Data[[#This Row],[OrderDate]],2)</f>
        <v>7</v>
      </c>
      <c r="V172" s="3">
        <f>INT(Clean_Data[[#This Row],[OrderHour]]/6)+1</f>
        <v>4</v>
      </c>
      <c r="W172" s="3">
        <f>IF(Clean_Data[[#This Row],[Status]]="Delivered",1,0)</f>
        <v>1</v>
      </c>
      <c r="X172" s="3">
        <f>IF(Clean_Data[[#This Row],[Status]]="Delivered",IF(Clean_Data[[#This Row],[DeliveryMinutes]]&lt;=Dashboard!$X$5,1,0),0)</f>
        <v>0</v>
      </c>
      <c r="Y1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2" s="3">
        <f>IF(AND(Clean_Data[[#This Row],[Include]]=1,Clean_Data[[#This Row],[DeliveredFlag]]=1),1,0)</f>
        <v>1</v>
      </c>
      <c r="AA172" s="1">
        <f>IF(COUNTIF($D$2:D172,D172)=1,ROW()-1,ROWS(Clean_Data[OrderID])+1)</f>
        <v>171</v>
      </c>
      <c r="AB172" s="1">
        <f>IF(COUNTIF($F$2:F172,F172)=1,ROW()-1,ROWS(Clean_Data[OrderID])+1)</f>
        <v>901</v>
      </c>
      <c r="AC172" s="1">
        <f>IF(COUNTIF($G$2:G172,G172)=1,ROW()-1,ROWS(Clean_Data[OrderID])+1)</f>
        <v>901</v>
      </c>
      <c r="AD172" s="1">
        <f>IF(COUNTIF($H$2:H172,H172)=1,ROW()-1,ROWS(Clean_Data[OrderID])+1)</f>
        <v>901</v>
      </c>
      <c r="AE172" s="1">
        <f>IF(COUNTIF($V$2:V172,V172)=1,V172,ROWS(Clean_Data[OrderID])+1)</f>
        <v>901</v>
      </c>
      <c r="AF172" s="1">
        <f>IF(COUNTIF($U$2:U172,U172)=1,U172,ROWS(Clean_Data[OrderID])+1)</f>
        <v>901</v>
      </c>
      <c r="AG172" s="1">
        <f>IF(COUNTIF($E$2:E172,E172)=1,ROW()-1,ROWS(Clean_Data[OrderID])+1)</f>
        <v>901</v>
      </c>
    </row>
    <row r="173" spans="1:33" ht="20" customHeight="1">
      <c r="A173" s="3" t="s">
        <v>430</v>
      </c>
      <c r="B173" s="2">
        <v>46271</v>
      </c>
      <c r="C173" s="3">
        <v>17</v>
      </c>
      <c r="D173" s="3" t="s">
        <v>179</v>
      </c>
      <c r="E173" s="3" t="s">
        <v>91</v>
      </c>
      <c r="F173" s="3" t="s">
        <v>121</v>
      </c>
      <c r="G173" s="3" t="s">
        <v>135</v>
      </c>
      <c r="H173" s="3" t="s">
        <v>162</v>
      </c>
      <c r="I173" s="3">
        <v>3</v>
      </c>
      <c r="J173" s="11">
        <v>180</v>
      </c>
      <c r="K173" s="4">
        <v>0.15</v>
      </c>
      <c r="L173" s="3" t="s">
        <v>95</v>
      </c>
      <c r="M173" s="3">
        <v>14</v>
      </c>
      <c r="N173" s="3">
        <v>5</v>
      </c>
      <c r="O173" s="3">
        <v>4</v>
      </c>
      <c r="P173" s="11">
        <f>Clean_Data[[#This Row],[Quantity]]*Clean_Data[[#This Row],[UnitPrice]]</f>
        <v>540</v>
      </c>
      <c r="Q173" s="11">
        <f>ROUND(Clean_Data[[#This Row],[GrossSales]]*Clean_Data[[#This Row],[DiscountPct]],2)</f>
        <v>81</v>
      </c>
      <c r="R173" s="11">
        <f>IF(Clean_Data[[#This Row],[Status]]="Delivered",ROUND(Clean_Data[[#This Row],[GrossSales]]-Clean_Data[[#This Row],[DiscountAmount]],2),0)</f>
        <v>459</v>
      </c>
      <c r="S173" s="3" t="str">
        <f>IF(Clean_Data[[#This Row],[OrderHour]]&lt;6,"Night",IF(Clean_Data[[#This Row],[OrderHour]]&lt;12,"Morning",IF(Clean_Data[[#This Row],[OrderHour]]&lt;18,"Afternoon","Evening")))</f>
        <v>Afternoon</v>
      </c>
      <c r="T173" s="3" t="str">
        <f>TEXT(Clean_Data[[#This Row],[OrderDate]],"[$-409]ddd")</f>
        <v>Sun</v>
      </c>
      <c r="U173" s="3">
        <f>WEEKDAY(Clean_Data[[#This Row],[OrderDate]],2)</f>
        <v>7</v>
      </c>
      <c r="V173" s="3">
        <f>INT(Clean_Data[[#This Row],[OrderHour]]/6)+1</f>
        <v>3</v>
      </c>
      <c r="W173" s="3">
        <f>IF(Clean_Data[[#This Row],[Status]]="Delivered",1,0)</f>
        <v>1</v>
      </c>
      <c r="X173" s="3">
        <f>IF(Clean_Data[[#This Row],[Status]]="Delivered",IF(Clean_Data[[#This Row],[DeliveryMinutes]]&lt;=Dashboard!$X$5,1,0),0)</f>
        <v>1</v>
      </c>
      <c r="Y1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3" s="3">
        <f>IF(AND(Clean_Data[[#This Row],[Include]]=1,Clean_Data[[#This Row],[DeliveredFlag]]=1),1,0)</f>
        <v>1</v>
      </c>
      <c r="AA173" s="1">
        <f>IF(COUNTIF($D$2:D173,D173)=1,ROW()-1,ROWS(Clean_Data[OrderID])+1)</f>
        <v>901</v>
      </c>
      <c r="AB173" s="1">
        <f>IF(COUNTIF($F$2:F173,F173)=1,ROW()-1,ROWS(Clean_Data[OrderID])+1)</f>
        <v>901</v>
      </c>
      <c r="AC173" s="1">
        <f>IF(COUNTIF($G$2:G173,G173)=1,ROW()-1,ROWS(Clean_Data[OrderID])+1)</f>
        <v>901</v>
      </c>
      <c r="AD173" s="1">
        <f>IF(COUNTIF($H$2:H173,H173)=1,ROW()-1,ROWS(Clean_Data[OrderID])+1)</f>
        <v>901</v>
      </c>
      <c r="AE173" s="1">
        <f>IF(COUNTIF($V$2:V173,V173)=1,V173,ROWS(Clean_Data[OrderID])+1)</f>
        <v>901</v>
      </c>
      <c r="AF173" s="1">
        <f>IF(COUNTIF($U$2:U173,U173)=1,U173,ROWS(Clean_Data[OrderID])+1)</f>
        <v>901</v>
      </c>
      <c r="AG173" s="1">
        <f>IF(COUNTIF($E$2:E173,E173)=1,ROW()-1,ROWS(Clean_Data[OrderID])+1)</f>
        <v>901</v>
      </c>
    </row>
    <row r="174" spans="1:33" ht="20" customHeight="1">
      <c r="A174" s="3" t="s">
        <v>431</v>
      </c>
      <c r="B174" s="2">
        <v>46271</v>
      </c>
      <c r="C174" s="3">
        <v>19</v>
      </c>
      <c r="D174" s="3" t="s">
        <v>432</v>
      </c>
      <c r="E174" s="3" t="s">
        <v>91</v>
      </c>
      <c r="F174" s="3" t="s">
        <v>139</v>
      </c>
      <c r="G174" s="3" t="s">
        <v>110</v>
      </c>
      <c r="H174" s="3" t="s">
        <v>114</v>
      </c>
      <c r="I174" s="3">
        <v>4</v>
      </c>
      <c r="J174" s="11">
        <v>145</v>
      </c>
      <c r="K174" s="4">
        <v>0.15</v>
      </c>
      <c r="L174" s="3" t="s">
        <v>95</v>
      </c>
      <c r="M174" s="3">
        <v>35</v>
      </c>
      <c r="N174" s="3">
        <v>5</v>
      </c>
      <c r="O174" s="3">
        <v>5</v>
      </c>
      <c r="P174" s="11">
        <f>Clean_Data[[#This Row],[Quantity]]*Clean_Data[[#This Row],[UnitPrice]]</f>
        <v>580</v>
      </c>
      <c r="Q174" s="11">
        <f>ROUND(Clean_Data[[#This Row],[GrossSales]]*Clean_Data[[#This Row],[DiscountPct]],2)</f>
        <v>87</v>
      </c>
      <c r="R174" s="11">
        <f>IF(Clean_Data[[#This Row],[Status]]="Delivered",ROUND(Clean_Data[[#This Row],[GrossSales]]-Clean_Data[[#This Row],[DiscountAmount]],2),0)</f>
        <v>493</v>
      </c>
      <c r="S174" s="3" t="str">
        <f>IF(Clean_Data[[#This Row],[OrderHour]]&lt;6,"Night",IF(Clean_Data[[#This Row],[OrderHour]]&lt;12,"Morning",IF(Clean_Data[[#This Row],[OrderHour]]&lt;18,"Afternoon","Evening")))</f>
        <v>Evening</v>
      </c>
      <c r="T174" s="3" t="str">
        <f>TEXT(Clean_Data[[#This Row],[OrderDate]],"[$-409]ddd")</f>
        <v>Sun</v>
      </c>
      <c r="U174" s="3">
        <f>WEEKDAY(Clean_Data[[#This Row],[OrderDate]],2)</f>
        <v>7</v>
      </c>
      <c r="V174" s="3">
        <f>INT(Clean_Data[[#This Row],[OrderHour]]/6)+1</f>
        <v>4</v>
      </c>
      <c r="W174" s="3">
        <f>IF(Clean_Data[[#This Row],[Status]]="Delivered",1,0)</f>
        <v>1</v>
      </c>
      <c r="X174" s="3">
        <f>IF(Clean_Data[[#This Row],[Status]]="Delivered",IF(Clean_Data[[#This Row],[DeliveryMinutes]]&lt;=Dashboard!$X$5,1,0),0)</f>
        <v>0</v>
      </c>
      <c r="Y1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4" s="3">
        <f>IF(AND(Clean_Data[[#This Row],[Include]]=1,Clean_Data[[#This Row],[DeliveredFlag]]=1),1,0)</f>
        <v>1</v>
      </c>
      <c r="AA174" s="1">
        <f>IF(COUNTIF($D$2:D174,D174)=1,ROW()-1,ROWS(Clean_Data[OrderID])+1)</f>
        <v>173</v>
      </c>
      <c r="AB174" s="1">
        <f>IF(COUNTIF($F$2:F174,F174)=1,ROW()-1,ROWS(Clean_Data[OrderID])+1)</f>
        <v>901</v>
      </c>
      <c r="AC174" s="1">
        <f>IF(COUNTIF($G$2:G174,G174)=1,ROW()-1,ROWS(Clean_Data[OrderID])+1)</f>
        <v>901</v>
      </c>
      <c r="AD174" s="1">
        <f>IF(COUNTIF($H$2:H174,H174)=1,ROW()-1,ROWS(Clean_Data[OrderID])+1)</f>
        <v>901</v>
      </c>
      <c r="AE174" s="1">
        <f>IF(COUNTIF($V$2:V174,V174)=1,V174,ROWS(Clean_Data[OrderID])+1)</f>
        <v>901</v>
      </c>
      <c r="AF174" s="1">
        <f>IF(COUNTIF($U$2:U174,U174)=1,U174,ROWS(Clean_Data[OrderID])+1)</f>
        <v>901</v>
      </c>
      <c r="AG174" s="1">
        <f>IF(COUNTIF($E$2:E174,E174)=1,ROW()-1,ROWS(Clean_Data[OrderID])+1)</f>
        <v>901</v>
      </c>
    </row>
    <row r="175" spans="1:33" ht="20" customHeight="1">
      <c r="A175" s="3" t="s">
        <v>433</v>
      </c>
      <c r="B175" s="2">
        <v>46271</v>
      </c>
      <c r="C175" s="3">
        <v>15</v>
      </c>
      <c r="D175" s="3" t="s">
        <v>434</v>
      </c>
      <c r="E175" s="3" t="s">
        <v>91</v>
      </c>
      <c r="F175" s="3" t="s">
        <v>121</v>
      </c>
      <c r="G175" s="3" t="s">
        <v>99</v>
      </c>
      <c r="H175" s="3" t="s">
        <v>130</v>
      </c>
      <c r="I175" s="3">
        <v>1</v>
      </c>
      <c r="J175" s="11">
        <v>85</v>
      </c>
      <c r="K175" s="4">
        <v>0.15</v>
      </c>
      <c r="L175" s="3" t="s">
        <v>95</v>
      </c>
      <c r="M175" s="3">
        <v>16</v>
      </c>
      <c r="N175" s="3">
        <v>5</v>
      </c>
      <c r="O175" s="3">
        <v>3</v>
      </c>
      <c r="P175" s="11">
        <f>Clean_Data[[#This Row],[Quantity]]*Clean_Data[[#This Row],[UnitPrice]]</f>
        <v>85</v>
      </c>
      <c r="Q175" s="11">
        <f>ROUND(Clean_Data[[#This Row],[GrossSales]]*Clean_Data[[#This Row],[DiscountPct]],2)</f>
        <v>12.75</v>
      </c>
      <c r="R175" s="11">
        <f>IF(Clean_Data[[#This Row],[Status]]="Delivered",ROUND(Clean_Data[[#This Row],[GrossSales]]-Clean_Data[[#This Row],[DiscountAmount]],2),0)</f>
        <v>72.25</v>
      </c>
      <c r="S175" s="3" t="str">
        <f>IF(Clean_Data[[#This Row],[OrderHour]]&lt;6,"Night",IF(Clean_Data[[#This Row],[OrderHour]]&lt;12,"Morning",IF(Clean_Data[[#This Row],[OrderHour]]&lt;18,"Afternoon","Evening")))</f>
        <v>Afternoon</v>
      </c>
      <c r="T175" s="3" t="str">
        <f>TEXT(Clean_Data[[#This Row],[OrderDate]],"[$-409]ddd")</f>
        <v>Sun</v>
      </c>
      <c r="U175" s="3">
        <f>WEEKDAY(Clean_Data[[#This Row],[OrderDate]],2)</f>
        <v>7</v>
      </c>
      <c r="V175" s="3">
        <f>INT(Clean_Data[[#This Row],[OrderHour]]/6)+1</f>
        <v>3</v>
      </c>
      <c r="W175" s="3">
        <f>IF(Clean_Data[[#This Row],[Status]]="Delivered",1,0)</f>
        <v>1</v>
      </c>
      <c r="X175" s="3">
        <f>IF(Clean_Data[[#This Row],[Status]]="Delivered",IF(Clean_Data[[#This Row],[DeliveryMinutes]]&lt;=Dashboard!$X$5,1,0),0)</f>
        <v>1</v>
      </c>
      <c r="Y1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5" s="3">
        <f>IF(AND(Clean_Data[[#This Row],[Include]]=1,Clean_Data[[#This Row],[DeliveredFlag]]=1),1,0)</f>
        <v>1</v>
      </c>
      <c r="AA175" s="1">
        <f>IF(COUNTIF($D$2:D175,D175)=1,ROW()-1,ROWS(Clean_Data[OrderID])+1)</f>
        <v>174</v>
      </c>
      <c r="AB175" s="1">
        <f>IF(COUNTIF($F$2:F175,F175)=1,ROW()-1,ROWS(Clean_Data[OrderID])+1)</f>
        <v>901</v>
      </c>
      <c r="AC175" s="1">
        <f>IF(COUNTIF($G$2:G175,G175)=1,ROW()-1,ROWS(Clean_Data[OrderID])+1)</f>
        <v>901</v>
      </c>
      <c r="AD175" s="1">
        <f>IF(COUNTIF($H$2:H175,H175)=1,ROW()-1,ROWS(Clean_Data[OrderID])+1)</f>
        <v>901</v>
      </c>
      <c r="AE175" s="1">
        <f>IF(COUNTIF($V$2:V175,V175)=1,V175,ROWS(Clean_Data[OrderID])+1)</f>
        <v>901</v>
      </c>
      <c r="AF175" s="1">
        <f>IF(COUNTIF($U$2:U175,U175)=1,U175,ROWS(Clean_Data[OrderID])+1)</f>
        <v>901</v>
      </c>
      <c r="AG175" s="1">
        <f>IF(COUNTIF($E$2:E175,E175)=1,ROW()-1,ROWS(Clean_Data[OrderID])+1)</f>
        <v>901</v>
      </c>
    </row>
    <row r="176" spans="1:33" ht="20" customHeight="1">
      <c r="A176" s="3" t="s">
        <v>435</v>
      </c>
      <c r="B176" s="2">
        <v>46271</v>
      </c>
      <c r="C176" s="3">
        <v>13</v>
      </c>
      <c r="D176" s="3" t="s">
        <v>436</v>
      </c>
      <c r="E176" s="3" t="s">
        <v>117</v>
      </c>
      <c r="F176" s="3" t="s">
        <v>109</v>
      </c>
      <c r="G176" s="3" t="s">
        <v>174</v>
      </c>
      <c r="H176" s="3" t="s">
        <v>274</v>
      </c>
      <c r="I176" s="3">
        <v>2</v>
      </c>
      <c r="J176" s="11">
        <v>90</v>
      </c>
      <c r="K176" s="4">
        <v>0.15</v>
      </c>
      <c r="L176" s="3" t="s">
        <v>95</v>
      </c>
      <c r="M176" s="3">
        <v>13</v>
      </c>
      <c r="N176" s="3">
        <v>7</v>
      </c>
      <c r="O176" s="3">
        <v>5</v>
      </c>
      <c r="P176" s="11">
        <f>Clean_Data[[#This Row],[Quantity]]*Clean_Data[[#This Row],[UnitPrice]]</f>
        <v>180</v>
      </c>
      <c r="Q176" s="11">
        <f>ROUND(Clean_Data[[#This Row],[GrossSales]]*Clean_Data[[#This Row],[DiscountPct]],2)</f>
        <v>27</v>
      </c>
      <c r="R176" s="11">
        <f>IF(Clean_Data[[#This Row],[Status]]="Delivered",ROUND(Clean_Data[[#This Row],[GrossSales]]-Clean_Data[[#This Row],[DiscountAmount]],2),0)</f>
        <v>153</v>
      </c>
      <c r="S176" s="3" t="str">
        <f>IF(Clean_Data[[#This Row],[OrderHour]]&lt;6,"Night",IF(Clean_Data[[#This Row],[OrderHour]]&lt;12,"Morning",IF(Clean_Data[[#This Row],[OrderHour]]&lt;18,"Afternoon","Evening")))</f>
        <v>Afternoon</v>
      </c>
      <c r="T176" s="3" t="str">
        <f>TEXT(Clean_Data[[#This Row],[OrderDate]],"[$-409]ddd")</f>
        <v>Sun</v>
      </c>
      <c r="U176" s="3">
        <f>WEEKDAY(Clean_Data[[#This Row],[OrderDate]],2)</f>
        <v>7</v>
      </c>
      <c r="V176" s="3">
        <f>INT(Clean_Data[[#This Row],[OrderHour]]/6)+1</f>
        <v>3</v>
      </c>
      <c r="W176" s="3">
        <f>IF(Clean_Data[[#This Row],[Status]]="Delivered",1,0)</f>
        <v>1</v>
      </c>
      <c r="X176" s="3">
        <f>IF(Clean_Data[[#This Row],[Status]]="Delivered",IF(Clean_Data[[#This Row],[DeliveryMinutes]]&lt;=Dashboard!$X$5,1,0),0)</f>
        <v>1</v>
      </c>
      <c r="Y1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6" s="3">
        <f>IF(AND(Clean_Data[[#This Row],[Include]]=1,Clean_Data[[#This Row],[DeliveredFlag]]=1),1,0)</f>
        <v>1</v>
      </c>
      <c r="AA176" s="1">
        <f>IF(COUNTIF($D$2:D176,D176)=1,ROW()-1,ROWS(Clean_Data[OrderID])+1)</f>
        <v>175</v>
      </c>
      <c r="AB176" s="1">
        <f>IF(COUNTIF($F$2:F176,F176)=1,ROW()-1,ROWS(Clean_Data[OrderID])+1)</f>
        <v>901</v>
      </c>
      <c r="AC176" s="1">
        <f>IF(COUNTIF($G$2:G176,G176)=1,ROW()-1,ROWS(Clean_Data[OrderID])+1)</f>
        <v>901</v>
      </c>
      <c r="AD176" s="1">
        <f>IF(COUNTIF($H$2:H176,H176)=1,ROW()-1,ROWS(Clean_Data[OrderID])+1)</f>
        <v>901</v>
      </c>
      <c r="AE176" s="1">
        <f>IF(COUNTIF($V$2:V176,V176)=1,V176,ROWS(Clean_Data[OrderID])+1)</f>
        <v>901</v>
      </c>
      <c r="AF176" s="1">
        <f>IF(COUNTIF($U$2:U176,U176)=1,U176,ROWS(Clean_Data[OrderID])+1)</f>
        <v>901</v>
      </c>
      <c r="AG176" s="1">
        <f>IF(COUNTIF($E$2:E176,E176)=1,ROW()-1,ROWS(Clean_Data[OrderID])+1)</f>
        <v>901</v>
      </c>
    </row>
    <row r="177" spans="1:33" ht="20" customHeight="1">
      <c r="A177" s="3" t="s">
        <v>437</v>
      </c>
      <c r="B177" s="2">
        <v>46271</v>
      </c>
      <c r="C177" s="3">
        <v>15</v>
      </c>
      <c r="D177" s="3" t="s">
        <v>438</v>
      </c>
      <c r="E177" s="3" t="s">
        <v>91</v>
      </c>
      <c r="F177" s="3" t="s">
        <v>98</v>
      </c>
      <c r="G177" s="3" t="s">
        <v>93</v>
      </c>
      <c r="H177" s="3" t="s">
        <v>146</v>
      </c>
      <c r="I177" s="3">
        <v>4</v>
      </c>
      <c r="J177" s="11">
        <v>110</v>
      </c>
      <c r="K177" s="4">
        <v>0</v>
      </c>
      <c r="L177" s="3" t="s">
        <v>95</v>
      </c>
      <c r="M177" s="3">
        <v>24</v>
      </c>
      <c r="N177" s="3">
        <v>7</v>
      </c>
      <c r="O177" s="3">
        <v>3</v>
      </c>
      <c r="P177" s="11">
        <f>Clean_Data[[#This Row],[Quantity]]*Clean_Data[[#This Row],[UnitPrice]]</f>
        <v>440</v>
      </c>
      <c r="Q177" s="11">
        <f>ROUND(Clean_Data[[#This Row],[GrossSales]]*Clean_Data[[#This Row],[DiscountPct]],2)</f>
        <v>0</v>
      </c>
      <c r="R177" s="11">
        <f>IF(Clean_Data[[#This Row],[Status]]="Delivered",ROUND(Clean_Data[[#This Row],[GrossSales]]-Clean_Data[[#This Row],[DiscountAmount]],2),0)</f>
        <v>440</v>
      </c>
      <c r="S177" s="3" t="str">
        <f>IF(Clean_Data[[#This Row],[OrderHour]]&lt;6,"Night",IF(Clean_Data[[#This Row],[OrderHour]]&lt;12,"Morning",IF(Clean_Data[[#This Row],[OrderHour]]&lt;18,"Afternoon","Evening")))</f>
        <v>Afternoon</v>
      </c>
      <c r="T177" s="3" t="str">
        <f>TEXT(Clean_Data[[#This Row],[OrderDate]],"[$-409]ddd")</f>
        <v>Sun</v>
      </c>
      <c r="U177" s="3">
        <f>WEEKDAY(Clean_Data[[#This Row],[OrderDate]],2)</f>
        <v>7</v>
      </c>
      <c r="V177" s="3">
        <f>INT(Clean_Data[[#This Row],[OrderHour]]/6)+1</f>
        <v>3</v>
      </c>
      <c r="W177" s="3">
        <f>IF(Clean_Data[[#This Row],[Status]]="Delivered",1,0)</f>
        <v>1</v>
      </c>
      <c r="X177" s="3">
        <f>IF(Clean_Data[[#This Row],[Status]]="Delivered",IF(Clean_Data[[#This Row],[DeliveryMinutes]]&lt;=Dashboard!$X$5,1,0),0)</f>
        <v>1</v>
      </c>
      <c r="Y1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7" s="3">
        <f>IF(AND(Clean_Data[[#This Row],[Include]]=1,Clean_Data[[#This Row],[DeliveredFlag]]=1),1,0)</f>
        <v>1</v>
      </c>
      <c r="AA177" s="1">
        <f>IF(COUNTIF($D$2:D177,D177)=1,ROW()-1,ROWS(Clean_Data[OrderID])+1)</f>
        <v>176</v>
      </c>
      <c r="AB177" s="1">
        <f>IF(COUNTIF($F$2:F177,F177)=1,ROW()-1,ROWS(Clean_Data[OrderID])+1)</f>
        <v>901</v>
      </c>
      <c r="AC177" s="1">
        <f>IF(COUNTIF($G$2:G177,G177)=1,ROW()-1,ROWS(Clean_Data[OrderID])+1)</f>
        <v>901</v>
      </c>
      <c r="AD177" s="1">
        <f>IF(COUNTIF($H$2:H177,H177)=1,ROW()-1,ROWS(Clean_Data[OrderID])+1)</f>
        <v>901</v>
      </c>
      <c r="AE177" s="1">
        <f>IF(COUNTIF($V$2:V177,V177)=1,V177,ROWS(Clean_Data[OrderID])+1)</f>
        <v>901</v>
      </c>
      <c r="AF177" s="1">
        <f>IF(COUNTIF($U$2:U177,U177)=1,U177,ROWS(Clean_Data[OrderID])+1)</f>
        <v>901</v>
      </c>
      <c r="AG177" s="1">
        <f>IF(COUNTIF($E$2:E177,E177)=1,ROW()-1,ROWS(Clean_Data[OrderID])+1)</f>
        <v>901</v>
      </c>
    </row>
    <row r="178" spans="1:33" ht="20" customHeight="1">
      <c r="A178" s="3" t="s">
        <v>439</v>
      </c>
      <c r="B178" s="2">
        <v>46271</v>
      </c>
      <c r="C178" s="3">
        <v>22</v>
      </c>
      <c r="D178" s="3" t="s">
        <v>440</v>
      </c>
      <c r="E178" s="3" t="s">
        <v>91</v>
      </c>
      <c r="F178" s="3" t="s">
        <v>121</v>
      </c>
      <c r="G178" s="3" t="s">
        <v>122</v>
      </c>
      <c r="H178" s="3" t="s">
        <v>153</v>
      </c>
      <c r="I178" s="3">
        <v>1</v>
      </c>
      <c r="J178" s="11">
        <v>130</v>
      </c>
      <c r="K178" s="4">
        <v>0</v>
      </c>
      <c r="L178" s="3" t="s">
        <v>95</v>
      </c>
      <c r="M178" s="3">
        <v>13</v>
      </c>
      <c r="N178" s="3">
        <v>14</v>
      </c>
      <c r="O178" s="3">
        <v>4</v>
      </c>
      <c r="P178" s="11">
        <f>Clean_Data[[#This Row],[Quantity]]*Clean_Data[[#This Row],[UnitPrice]]</f>
        <v>130</v>
      </c>
      <c r="Q178" s="11">
        <f>ROUND(Clean_Data[[#This Row],[GrossSales]]*Clean_Data[[#This Row],[DiscountPct]],2)</f>
        <v>0</v>
      </c>
      <c r="R178" s="11">
        <f>IF(Clean_Data[[#This Row],[Status]]="Delivered",ROUND(Clean_Data[[#This Row],[GrossSales]]-Clean_Data[[#This Row],[DiscountAmount]],2),0)</f>
        <v>130</v>
      </c>
      <c r="S178" s="3" t="str">
        <f>IF(Clean_Data[[#This Row],[OrderHour]]&lt;6,"Night",IF(Clean_Data[[#This Row],[OrderHour]]&lt;12,"Morning",IF(Clean_Data[[#This Row],[OrderHour]]&lt;18,"Afternoon","Evening")))</f>
        <v>Evening</v>
      </c>
      <c r="T178" s="3" t="str">
        <f>TEXT(Clean_Data[[#This Row],[OrderDate]],"[$-409]ddd")</f>
        <v>Sun</v>
      </c>
      <c r="U178" s="3">
        <f>WEEKDAY(Clean_Data[[#This Row],[OrderDate]],2)</f>
        <v>7</v>
      </c>
      <c r="V178" s="3">
        <f>INT(Clean_Data[[#This Row],[OrderHour]]/6)+1</f>
        <v>4</v>
      </c>
      <c r="W178" s="3">
        <f>IF(Clean_Data[[#This Row],[Status]]="Delivered",1,0)</f>
        <v>1</v>
      </c>
      <c r="X178" s="3">
        <f>IF(Clean_Data[[#This Row],[Status]]="Delivered",IF(Clean_Data[[#This Row],[DeliveryMinutes]]&lt;=Dashboard!$X$5,1,0),0)</f>
        <v>1</v>
      </c>
      <c r="Y1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8" s="3">
        <f>IF(AND(Clean_Data[[#This Row],[Include]]=1,Clean_Data[[#This Row],[DeliveredFlag]]=1),1,0)</f>
        <v>1</v>
      </c>
      <c r="AA178" s="1">
        <f>IF(COUNTIF($D$2:D178,D178)=1,ROW()-1,ROWS(Clean_Data[OrderID])+1)</f>
        <v>177</v>
      </c>
      <c r="AB178" s="1">
        <f>IF(COUNTIF($F$2:F178,F178)=1,ROW()-1,ROWS(Clean_Data[OrderID])+1)</f>
        <v>901</v>
      </c>
      <c r="AC178" s="1">
        <f>IF(COUNTIF($G$2:G178,G178)=1,ROW()-1,ROWS(Clean_Data[OrderID])+1)</f>
        <v>901</v>
      </c>
      <c r="AD178" s="1">
        <f>IF(COUNTIF($H$2:H178,H178)=1,ROW()-1,ROWS(Clean_Data[OrderID])+1)</f>
        <v>901</v>
      </c>
      <c r="AE178" s="1">
        <f>IF(COUNTIF($V$2:V178,V178)=1,V178,ROWS(Clean_Data[OrderID])+1)</f>
        <v>901</v>
      </c>
      <c r="AF178" s="1">
        <f>IF(COUNTIF($U$2:U178,U178)=1,U178,ROWS(Clean_Data[OrderID])+1)</f>
        <v>901</v>
      </c>
      <c r="AG178" s="1">
        <f>IF(COUNTIF($E$2:E178,E178)=1,ROW()-1,ROWS(Clean_Data[OrderID])+1)</f>
        <v>901</v>
      </c>
    </row>
    <row r="179" spans="1:33" ht="20" customHeight="1">
      <c r="A179" s="3" t="s">
        <v>441</v>
      </c>
      <c r="B179" s="2">
        <v>46271</v>
      </c>
      <c r="C179" s="3">
        <v>15</v>
      </c>
      <c r="D179" s="3" t="s">
        <v>171</v>
      </c>
      <c r="E179" s="3" t="s">
        <v>91</v>
      </c>
      <c r="F179" s="3" t="s">
        <v>121</v>
      </c>
      <c r="G179" s="3" t="s">
        <v>122</v>
      </c>
      <c r="H179" s="3" t="s">
        <v>214</v>
      </c>
      <c r="I179" s="3">
        <v>1</v>
      </c>
      <c r="J179" s="11">
        <v>55</v>
      </c>
      <c r="K179" s="4">
        <v>0.1</v>
      </c>
      <c r="L179" s="3" t="s">
        <v>95</v>
      </c>
      <c r="M179" s="3">
        <v>24</v>
      </c>
      <c r="N179" s="3">
        <v>15</v>
      </c>
      <c r="O179" s="3">
        <v>3</v>
      </c>
      <c r="P179" s="11">
        <f>Clean_Data[[#This Row],[Quantity]]*Clean_Data[[#This Row],[UnitPrice]]</f>
        <v>55</v>
      </c>
      <c r="Q179" s="11">
        <f>ROUND(Clean_Data[[#This Row],[GrossSales]]*Clean_Data[[#This Row],[DiscountPct]],2)</f>
        <v>5.5</v>
      </c>
      <c r="R179" s="11">
        <f>IF(Clean_Data[[#This Row],[Status]]="Delivered",ROUND(Clean_Data[[#This Row],[GrossSales]]-Clean_Data[[#This Row],[DiscountAmount]],2),0)</f>
        <v>49.5</v>
      </c>
      <c r="S179" s="3" t="str">
        <f>IF(Clean_Data[[#This Row],[OrderHour]]&lt;6,"Night",IF(Clean_Data[[#This Row],[OrderHour]]&lt;12,"Morning",IF(Clean_Data[[#This Row],[OrderHour]]&lt;18,"Afternoon","Evening")))</f>
        <v>Afternoon</v>
      </c>
      <c r="T179" s="3" t="str">
        <f>TEXT(Clean_Data[[#This Row],[OrderDate]],"[$-409]ddd")</f>
        <v>Sun</v>
      </c>
      <c r="U179" s="3">
        <f>WEEKDAY(Clean_Data[[#This Row],[OrderDate]],2)</f>
        <v>7</v>
      </c>
      <c r="V179" s="3">
        <f>INT(Clean_Data[[#This Row],[OrderHour]]/6)+1</f>
        <v>3</v>
      </c>
      <c r="W179" s="3">
        <f>IF(Clean_Data[[#This Row],[Status]]="Delivered",1,0)</f>
        <v>1</v>
      </c>
      <c r="X179" s="3">
        <f>IF(Clean_Data[[#This Row],[Status]]="Delivered",IF(Clean_Data[[#This Row],[DeliveryMinutes]]&lt;=Dashboard!$X$5,1,0),0)</f>
        <v>1</v>
      </c>
      <c r="Y1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79" s="3">
        <f>IF(AND(Clean_Data[[#This Row],[Include]]=1,Clean_Data[[#This Row],[DeliveredFlag]]=1),1,0)</f>
        <v>1</v>
      </c>
      <c r="AA179" s="1">
        <f>IF(COUNTIF($D$2:D179,D179)=1,ROW()-1,ROWS(Clean_Data[OrderID])+1)</f>
        <v>901</v>
      </c>
      <c r="AB179" s="1">
        <f>IF(COUNTIF($F$2:F179,F179)=1,ROW()-1,ROWS(Clean_Data[OrderID])+1)</f>
        <v>901</v>
      </c>
      <c r="AC179" s="1">
        <f>IF(COUNTIF($G$2:G179,G179)=1,ROW()-1,ROWS(Clean_Data[OrderID])+1)</f>
        <v>901</v>
      </c>
      <c r="AD179" s="1">
        <f>IF(COUNTIF($H$2:H179,H179)=1,ROW()-1,ROWS(Clean_Data[OrderID])+1)</f>
        <v>901</v>
      </c>
      <c r="AE179" s="1">
        <f>IF(COUNTIF($V$2:V179,V179)=1,V179,ROWS(Clean_Data[OrderID])+1)</f>
        <v>901</v>
      </c>
      <c r="AF179" s="1">
        <f>IF(COUNTIF($U$2:U179,U179)=1,U179,ROWS(Clean_Data[OrderID])+1)</f>
        <v>901</v>
      </c>
      <c r="AG179" s="1">
        <f>IF(COUNTIF($E$2:E179,E179)=1,ROW()-1,ROWS(Clean_Data[OrderID])+1)</f>
        <v>901</v>
      </c>
    </row>
    <row r="180" spans="1:33" ht="20" customHeight="1">
      <c r="A180" s="3" t="s">
        <v>442</v>
      </c>
      <c r="B180" s="2">
        <v>46271</v>
      </c>
      <c r="C180" s="3">
        <v>18</v>
      </c>
      <c r="D180" s="3" t="s">
        <v>208</v>
      </c>
      <c r="E180" s="3" t="s">
        <v>117</v>
      </c>
      <c r="F180" s="3" t="s">
        <v>98</v>
      </c>
      <c r="G180" s="3" t="s">
        <v>99</v>
      </c>
      <c r="H180" s="3" t="s">
        <v>104</v>
      </c>
      <c r="I180" s="3">
        <v>6</v>
      </c>
      <c r="J180" s="11">
        <v>240</v>
      </c>
      <c r="K180" s="4">
        <v>0</v>
      </c>
      <c r="L180" s="3" t="s">
        <v>95</v>
      </c>
      <c r="M180" s="3">
        <v>18</v>
      </c>
      <c r="N180" s="3">
        <v>13</v>
      </c>
      <c r="O180" s="3">
        <v>5</v>
      </c>
      <c r="P180" s="11">
        <f>Clean_Data[[#This Row],[Quantity]]*Clean_Data[[#This Row],[UnitPrice]]</f>
        <v>1440</v>
      </c>
      <c r="Q180" s="11">
        <f>ROUND(Clean_Data[[#This Row],[GrossSales]]*Clean_Data[[#This Row],[DiscountPct]],2)</f>
        <v>0</v>
      </c>
      <c r="R180" s="11">
        <f>IF(Clean_Data[[#This Row],[Status]]="Delivered",ROUND(Clean_Data[[#This Row],[GrossSales]]-Clean_Data[[#This Row],[DiscountAmount]],2),0)</f>
        <v>1440</v>
      </c>
      <c r="S180" s="3" t="str">
        <f>IF(Clean_Data[[#This Row],[OrderHour]]&lt;6,"Night",IF(Clean_Data[[#This Row],[OrderHour]]&lt;12,"Morning",IF(Clean_Data[[#This Row],[OrderHour]]&lt;18,"Afternoon","Evening")))</f>
        <v>Evening</v>
      </c>
      <c r="T180" s="3" t="str">
        <f>TEXT(Clean_Data[[#This Row],[OrderDate]],"[$-409]ddd")</f>
        <v>Sun</v>
      </c>
      <c r="U180" s="3">
        <f>WEEKDAY(Clean_Data[[#This Row],[OrderDate]],2)</f>
        <v>7</v>
      </c>
      <c r="V180" s="3">
        <f>INT(Clean_Data[[#This Row],[OrderHour]]/6)+1</f>
        <v>4</v>
      </c>
      <c r="W180" s="3">
        <f>IF(Clean_Data[[#This Row],[Status]]="Delivered",1,0)</f>
        <v>1</v>
      </c>
      <c r="X180" s="3">
        <f>IF(Clean_Data[[#This Row],[Status]]="Delivered",IF(Clean_Data[[#This Row],[DeliveryMinutes]]&lt;=Dashboard!$X$5,1,0),0)</f>
        <v>1</v>
      </c>
      <c r="Y1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0" s="3">
        <f>IF(AND(Clean_Data[[#This Row],[Include]]=1,Clean_Data[[#This Row],[DeliveredFlag]]=1),1,0)</f>
        <v>1</v>
      </c>
      <c r="AA180" s="1">
        <f>IF(COUNTIF($D$2:D180,D180)=1,ROW()-1,ROWS(Clean_Data[OrderID])+1)</f>
        <v>901</v>
      </c>
      <c r="AB180" s="1">
        <f>IF(COUNTIF($F$2:F180,F180)=1,ROW()-1,ROWS(Clean_Data[OrderID])+1)</f>
        <v>901</v>
      </c>
      <c r="AC180" s="1">
        <f>IF(COUNTIF($G$2:G180,G180)=1,ROW()-1,ROWS(Clean_Data[OrderID])+1)</f>
        <v>901</v>
      </c>
      <c r="AD180" s="1">
        <f>IF(COUNTIF($H$2:H180,H180)=1,ROW()-1,ROWS(Clean_Data[OrderID])+1)</f>
        <v>901</v>
      </c>
      <c r="AE180" s="1">
        <f>IF(COUNTIF($V$2:V180,V180)=1,V180,ROWS(Clean_Data[OrderID])+1)</f>
        <v>901</v>
      </c>
      <c r="AF180" s="1">
        <f>IF(COUNTIF($U$2:U180,U180)=1,U180,ROWS(Clean_Data[OrderID])+1)</f>
        <v>901</v>
      </c>
      <c r="AG180" s="1">
        <f>IF(COUNTIF($E$2:E180,E180)=1,ROW()-1,ROWS(Clean_Data[OrderID])+1)</f>
        <v>901</v>
      </c>
    </row>
    <row r="181" spans="1:33" ht="20" customHeight="1">
      <c r="A181" s="3" t="s">
        <v>443</v>
      </c>
      <c r="B181" s="2">
        <v>46271</v>
      </c>
      <c r="C181" s="3">
        <v>9</v>
      </c>
      <c r="D181" s="3" t="s">
        <v>444</v>
      </c>
      <c r="E181" s="3" t="s">
        <v>91</v>
      </c>
      <c r="F181" s="3" t="s">
        <v>98</v>
      </c>
      <c r="G181" s="3" t="s">
        <v>174</v>
      </c>
      <c r="H181" s="3" t="s">
        <v>175</v>
      </c>
      <c r="I181" s="3">
        <v>2</v>
      </c>
      <c r="J181" s="11">
        <v>155</v>
      </c>
      <c r="K181" s="4">
        <v>0</v>
      </c>
      <c r="L181" s="3" t="s">
        <v>101</v>
      </c>
      <c r="M181" s="3"/>
      <c r="N181" s="3"/>
      <c r="O181" s="3"/>
      <c r="P181" s="11">
        <f>Clean_Data[[#This Row],[Quantity]]*Clean_Data[[#This Row],[UnitPrice]]</f>
        <v>310</v>
      </c>
      <c r="Q181" s="11">
        <f>ROUND(Clean_Data[[#This Row],[GrossSales]]*Clean_Data[[#This Row],[DiscountPct]],2)</f>
        <v>0</v>
      </c>
      <c r="R181" s="11">
        <f>IF(Clean_Data[[#This Row],[Status]]="Delivered",ROUND(Clean_Data[[#This Row],[GrossSales]]-Clean_Data[[#This Row],[DiscountAmount]],2),0)</f>
        <v>0</v>
      </c>
      <c r="S181" s="3" t="str">
        <f>IF(Clean_Data[[#This Row],[OrderHour]]&lt;6,"Night",IF(Clean_Data[[#This Row],[OrderHour]]&lt;12,"Morning",IF(Clean_Data[[#This Row],[OrderHour]]&lt;18,"Afternoon","Evening")))</f>
        <v>Morning</v>
      </c>
      <c r="T181" s="3" t="str">
        <f>TEXT(Clean_Data[[#This Row],[OrderDate]],"[$-409]ddd")</f>
        <v>Sun</v>
      </c>
      <c r="U181" s="3">
        <f>WEEKDAY(Clean_Data[[#This Row],[OrderDate]],2)</f>
        <v>7</v>
      </c>
      <c r="V181" s="3">
        <f>INT(Clean_Data[[#This Row],[OrderHour]]/6)+1</f>
        <v>2</v>
      </c>
      <c r="W181" s="3">
        <f>IF(Clean_Data[[#This Row],[Status]]="Delivered",1,0)</f>
        <v>0</v>
      </c>
      <c r="X181" s="3">
        <f>IF(Clean_Data[[#This Row],[Status]]="Delivered",IF(Clean_Data[[#This Row],[DeliveryMinutes]]&lt;=Dashboard!$X$5,1,0),0)</f>
        <v>0</v>
      </c>
      <c r="Y1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1" s="3">
        <f>IF(AND(Clean_Data[[#This Row],[Include]]=1,Clean_Data[[#This Row],[DeliveredFlag]]=1),1,0)</f>
        <v>0</v>
      </c>
      <c r="AA181" s="1">
        <f>IF(COUNTIF($D$2:D181,D181)=1,ROW()-1,ROWS(Clean_Data[OrderID])+1)</f>
        <v>180</v>
      </c>
      <c r="AB181" s="1">
        <f>IF(COUNTIF($F$2:F181,F181)=1,ROW()-1,ROWS(Clean_Data[OrderID])+1)</f>
        <v>901</v>
      </c>
      <c r="AC181" s="1">
        <f>IF(COUNTIF($G$2:G181,G181)=1,ROW()-1,ROWS(Clean_Data[OrderID])+1)</f>
        <v>901</v>
      </c>
      <c r="AD181" s="1">
        <f>IF(COUNTIF($H$2:H181,H181)=1,ROW()-1,ROWS(Clean_Data[OrderID])+1)</f>
        <v>901</v>
      </c>
      <c r="AE181" s="1">
        <f>IF(COUNTIF($V$2:V181,V181)=1,V181,ROWS(Clean_Data[OrderID])+1)</f>
        <v>901</v>
      </c>
      <c r="AF181" s="1">
        <f>IF(COUNTIF($U$2:U181,U181)=1,U181,ROWS(Clean_Data[OrderID])+1)</f>
        <v>901</v>
      </c>
      <c r="AG181" s="1">
        <f>IF(COUNTIF($E$2:E181,E181)=1,ROW()-1,ROWS(Clean_Data[OrderID])+1)</f>
        <v>901</v>
      </c>
    </row>
    <row r="182" spans="1:33" ht="20" customHeight="1">
      <c r="A182" s="3" t="s">
        <v>445</v>
      </c>
      <c r="B182" s="2">
        <v>46272</v>
      </c>
      <c r="C182" s="3">
        <v>12</v>
      </c>
      <c r="D182" s="3" t="s">
        <v>446</v>
      </c>
      <c r="E182" s="3" t="s">
        <v>91</v>
      </c>
      <c r="F182" s="3" t="s">
        <v>98</v>
      </c>
      <c r="G182" s="3" t="s">
        <v>99</v>
      </c>
      <c r="H182" s="3" t="s">
        <v>100</v>
      </c>
      <c r="I182" s="3">
        <v>2</v>
      </c>
      <c r="J182" s="11">
        <v>120</v>
      </c>
      <c r="K182" s="4">
        <v>0</v>
      </c>
      <c r="L182" s="3" t="s">
        <v>95</v>
      </c>
      <c r="M182" s="3">
        <v>24</v>
      </c>
      <c r="N182" s="3">
        <v>9</v>
      </c>
      <c r="O182" s="3">
        <v>4</v>
      </c>
      <c r="P182" s="11">
        <f>Clean_Data[[#This Row],[Quantity]]*Clean_Data[[#This Row],[UnitPrice]]</f>
        <v>240</v>
      </c>
      <c r="Q182" s="11">
        <f>ROUND(Clean_Data[[#This Row],[GrossSales]]*Clean_Data[[#This Row],[DiscountPct]],2)</f>
        <v>0</v>
      </c>
      <c r="R182" s="11">
        <f>IF(Clean_Data[[#This Row],[Status]]="Delivered",ROUND(Clean_Data[[#This Row],[GrossSales]]-Clean_Data[[#This Row],[DiscountAmount]],2),0)</f>
        <v>240</v>
      </c>
      <c r="S182" s="3" t="str">
        <f>IF(Clean_Data[[#This Row],[OrderHour]]&lt;6,"Night",IF(Clean_Data[[#This Row],[OrderHour]]&lt;12,"Morning",IF(Clean_Data[[#This Row],[OrderHour]]&lt;18,"Afternoon","Evening")))</f>
        <v>Afternoon</v>
      </c>
      <c r="T182" s="3" t="str">
        <f>TEXT(Clean_Data[[#This Row],[OrderDate]],"[$-409]ddd")</f>
        <v>Mon</v>
      </c>
      <c r="U182" s="3">
        <f>WEEKDAY(Clean_Data[[#This Row],[OrderDate]],2)</f>
        <v>1</v>
      </c>
      <c r="V182" s="3">
        <f>INT(Clean_Data[[#This Row],[OrderHour]]/6)+1</f>
        <v>3</v>
      </c>
      <c r="W182" s="3">
        <f>IF(Clean_Data[[#This Row],[Status]]="Delivered",1,0)</f>
        <v>1</v>
      </c>
      <c r="X182" s="3">
        <f>IF(Clean_Data[[#This Row],[Status]]="Delivered",IF(Clean_Data[[#This Row],[DeliveryMinutes]]&lt;=Dashboard!$X$5,1,0),0)</f>
        <v>1</v>
      </c>
      <c r="Y1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2" s="3">
        <f>IF(AND(Clean_Data[[#This Row],[Include]]=1,Clean_Data[[#This Row],[DeliveredFlag]]=1),1,0)</f>
        <v>1</v>
      </c>
      <c r="AA182" s="1">
        <f>IF(COUNTIF($D$2:D182,D182)=1,ROW()-1,ROWS(Clean_Data[OrderID])+1)</f>
        <v>181</v>
      </c>
      <c r="AB182" s="1">
        <f>IF(COUNTIF($F$2:F182,F182)=1,ROW()-1,ROWS(Clean_Data[OrderID])+1)</f>
        <v>901</v>
      </c>
      <c r="AC182" s="1">
        <f>IF(COUNTIF($G$2:G182,G182)=1,ROW()-1,ROWS(Clean_Data[OrderID])+1)</f>
        <v>901</v>
      </c>
      <c r="AD182" s="1">
        <f>IF(COUNTIF($H$2:H182,H182)=1,ROW()-1,ROWS(Clean_Data[OrderID])+1)</f>
        <v>901</v>
      </c>
      <c r="AE182" s="1">
        <f>IF(COUNTIF($V$2:V182,V182)=1,V182,ROWS(Clean_Data[OrderID])+1)</f>
        <v>901</v>
      </c>
      <c r="AF182" s="1">
        <f>IF(COUNTIF($U$2:U182,U182)=1,U182,ROWS(Clean_Data[OrderID])+1)</f>
        <v>1</v>
      </c>
      <c r="AG182" s="1">
        <f>IF(COUNTIF($E$2:E182,E182)=1,ROW()-1,ROWS(Clean_Data[OrderID])+1)</f>
        <v>901</v>
      </c>
    </row>
    <row r="183" spans="1:33" ht="20" customHeight="1">
      <c r="A183" s="3" t="s">
        <v>447</v>
      </c>
      <c r="B183" s="2">
        <v>46272</v>
      </c>
      <c r="C183" s="3">
        <v>6</v>
      </c>
      <c r="D183" s="3" t="s">
        <v>448</v>
      </c>
      <c r="E183" s="3" t="s">
        <v>91</v>
      </c>
      <c r="F183" s="3" t="s">
        <v>121</v>
      </c>
      <c r="G183" s="3" t="s">
        <v>174</v>
      </c>
      <c r="H183" s="3" t="s">
        <v>175</v>
      </c>
      <c r="I183" s="3">
        <v>3</v>
      </c>
      <c r="J183" s="11">
        <v>155</v>
      </c>
      <c r="K183" s="4">
        <v>0</v>
      </c>
      <c r="L183" s="3" t="s">
        <v>95</v>
      </c>
      <c r="M183" s="3">
        <v>19</v>
      </c>
      <c r="N183" s="3">
        <v>9</v>
      </c>
      <c r="O183" s="3">
        <v>5</v>
      </c>
      <c r="P183" s="11">
        <f>Clean_Data[[#This Row],[Quantity]]*Clean_Data[[#This Row],[UnitPrice]]</f>
        <v>465</v>
      </c>
      <c r="Q183" s="11">
        <f>ROUND(Clean_Data[[#This Row],[GrossSales]]*Clean_Data[[#This Row],[DiscountPct]],2)</f>
        <v>0</v>
      </c>
      <c r="R183" s="11">
        <f>IF(Clean_Data[[#This Row],[Status]]="Delivered",ROUND(Clean_Data[[#This Row],[GrossSales]]-Clean_Data[[#This Row],[DiscountAmount]],2),0)</f>
        <v>465</v>
      </c>
      <c r="S183" s="3" t="str">
        <f>IF(Clean_Data[[#This Row],[OrderHour]]&lt;6,"Night",IF(Clean_Data[[#This Row],[OrderHour]]&lt;12,"Morning",IF(Clean_Data[[#This Row],[OrderHour]]&lt;18,"Afternoon","Evening")))</f>
        <v>Morning</v>
      </c>
      <c r="T183" s="3" t="str">
        <f>TEXT(Clean_Data[[#This Row],[OrderDate]],"[$-409]ddd")</f>
        <v>Mon</v>
      </c>
      <c r="U183" s="3">
        <f>WEEKDAY(Clean_Data[[#This Row],[OrderDate]],2)</f>
        <v>1</v>
      </c>
      <c r="V183" s="3">
        <f>INT(Clean_Data[[#This Row],[OrderHour]]/6)+1</f>
        <v>2</v>
      </c>
      <c r="W183" s="3">
        <f>IF(Clean_Data[[#This Row],[Status]]="Delivered",1,0)</f>
        <v>1</v>
      </c>
      <c r="X183" s="3">
        <f>IF(Clean_Data[[#This Row],[Status]]="Delivered",IF(Clean_Data[[#This Row],[DeliveryMinutes]]&lt;=Dashboard!$X$5,1,0),0)</f>
        <v>1</v>
      </c>
      <c r="Y1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3" s="3">
        <f>IF(AND(Clean_Data[[#This Row],[Include]]=1,Clean_Data[[#This Row],[DeliveredFlag]]=1),1,0)</f>
        <v>1</v>
      </c>
      <c r="AA183" s="1">
        <f>IF(COUNTIF($D$2:D183,D183)=1,ROW()-1,ROWS(Clean_Data[OrderID])+1)</f>
        <v>182</v>
      </c>
      <c r="AB183" s="1">
        <f>IF(COUNTIF($F$2:F183,F183)=1,ROW()-1,ROWS(Clean_Data[OrderID])+1)</f>
        <v>901</v>
      </c>
      <c r="AC183" s="1">
        <f>IF(COUNTIF($G$2:G183,G183)=1,ROW()-1,ROWS(Clean_Data[OrderID])+1)</f>
        <v>901</v>
      </c>
      <c r="AD183" s="1">
        <f>IF(COUNTIF($H$2:H183,H183)=1,ROW()-1,ROWS(Clean_Data[OrderID])+1)</f>
        <v>901</v>
      </c>
      <c r="AE183" s="1">
        <f>IF(COUNTIF($V$2:V183,V183)=1,V183,ROWS(Clean_Data[OrderID])+1)</f>
        <v>901</v>
      </c>
      <c r="AF183" s="1">
        <f>IF(COUNTIF($U$2:U183,U183)=1,U183,ROWS(Clean_Data[OrderID])+1)</f>
        <v>901</v>
      </c>
      <c r="AG183" s="1">
        <f>IF(COUNTIF($E$2:E183,E183)=1,ROW()-1,ROWS(Clean_Data[OrderID])+1)</f>
        <v>901</v>
      </c>
    </row>
    <row r="184" spans="1:33" ht="20" customHeight="1">
      <c r="A184" s="3" t="s">
        <v>449</v>
      </c>
      <c r="B184" s="2">
        <v>46272</v>
      </c>
      <c r="C184" s="3">
        <v>19</v>
      </c>
      <c r="D184" s="3" t="s">
        <v>234</v>
      </c>
      <c r="E184" s="3" t="s">
        <v>91</v>
      </c>
      <c r="F184" s="3" t="s">
        <v>109</v>
      </c>
      <c r="G184" s="3" t="s">
        <v>93</v>
      </c>
      <c r="H184" s="3" t="s">
        <v>118</v>
      </c>
      <c r="I184" s="3">
        <v>5</v>
      </c>
      <c r="J184" s="11">
        <v>45</v>
      </c>
      <c r="K184" s="4">
        <v>0</v>
      </c>
      <c r="L184" s="3" t="s">
        <v>95</v>
      </c>
      <c r="M184" s="3">
        <v>30</v>
      </c>
      <c r="N184" s="3">
        <v>9</v>
      </c>
      <c r="O184" s="3">
        <v>5</v>
      </c>
      <c r="P184" s="11">
        <f>Clean_Data[[#This Row],[Quantity]]*Clean_Data[[#This Row],[UnitPrice]]</f>
        <v>225</v>
      </c>
      <c r="Q184" s="11">
        <f>ROUND(Clean_Data[[#This Row],[GrossSales]]*Clean_Data[[#This Row],[DiscountPct]],2)</f>
        <v>0</v>
      </c>
      <c r="R184" s="11">
        <f>IF(Clean_Data[[#This Row],[Status]]="Delivered",ROUND(Clean_Data[[#This Row],[GrossSales]]-Clean_Data[[#This Row],[DiscountAmount]],2),0)</f>
        <v>225</v>
      </c>
      <c r="S184" s="3" t="str">
        <f>IF(Clean_Data[[#This Row],[OrderHour]]&lt;6,"Night",IF(Clean_Data[[#This Row],[OrderHour]]&lt;12,"Morning",IF(Clean_Data[[#This Row],[OrderHour]]&lt;18,"Afternoon","Evening")))</f>
        <v>Evening</v>
      </c>
      <c r="T184" s="3" t="str">
        <f>TEXT(Clean_Data[[#This Row],[OrderDate]],"[$-409]ddd")</f>
        <v>Mon</v>
      </c>
      <c r="U184" s="3">
        <f>WEEKDAY(Clean_Data[[#This Row],[OrderDate]],2)</f>
        <v>1</v>
      </c>
      <c r="V184" s="3">
        <f>INT(Clean_Data[[#This Row],[OrderHour]]/6)+1</f>
        <v>4</v>
      </c>
      <c r="W184" s="3">
        <f>IF(Clean_Data[[#This Row],[Status]]="Delivered",1,0)</f>
        <v>1</v>
      </c>
      <c r="X184" s="3">
        <f>IF(Clean_Data[[#This Row],[Status]]="Delivered",IF(Clean_Data[[#This Row],[DeliveryMinutes]]&lt;=Dashboard!$X$5,1,0),0)</f>
        <v>1</v>
      </c>
      <c r="Y1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4" s="3">
        <f>IF(AND(Clean_Data[[#This Row],[Include]]=1,Clean_Data[[#This Row],[DeliveredFlag]]=1),1,0)</f>
        <v>1</v>
      </c>
      <c r="AA184" s="1">
        <f>IF(COUNTIF($D$2:D184,D184)=1,ROW()-1,ROWS(Clean_Data[OrderID])+1)</f>
        <v>901</v>
      </c>
      <c r="AB184" s="1">
        <f>IF(COUNTIF($F$2:F184,F184)=1,ROW()-1,ROWS(Clean_Data[OrderID])+1)</f>
        <v>901</v>
      </c>
      <c r="AC184" s="1">
        <f>IF(COUNTIF($G$2:G184,G184)=1,ROW()-1,ROWS(Clean_Data[OrderID])+1)</f>
        <v>901</v>
      </c>
      <c r="AD184" s="1">
        <f>IF(COUNTIF($H$2:H184,H184)=1,ROW()-1,ROWS(Clean_Data[OrderID])+1)</f>
        <v>901</v>
      </c>
      <c r="AE184" s="1">
        <f>IF(COUNTIF($V$2:V184,V184)=1,V184,ROWS(Clean_Data[OrderID])+1)</f>
        <v>901</v>
      </c>
      <c r="AF184" s="1">
        <f>IF(COUNTIF($U$2:U184,U184)=1,U184,ROWS(Clean_Data[OrderID])+1)</f>
        <v>901</v>
      </c>
      <c r="AG184" s="1">
        <f>IF(COUNTIF($E$2:E184,E184)=1,ROW()-1,ROWS(Clean_Data[OrderID])+1)</f>
        <v>901</v>
      </c>
    </row>
    <row r="185" spans="1:33" ht="20" customHeight="1">
      <c r="A185" s="3" t="s">
        <v>450</v>
      </c>
      <c r="B185" s="2">
        <v>46272</v>
      </c>
      <c r="C185" s="3">
        <v>6</v>
      </c>
      <c r="D185" s="3" t="s">
        <v>440</v>
      </c>
      <c r="E185" s="3" t="s">
        <v>91</v>
      </c>
      <c r="F185" s="3" t="s">
        <v>109</v>
      </c>
      <c r="G185" s="3" t="s">
        <v>135</v>
      </c>
      <c r="H185" s="3" t="s">
        <v>217</v>
      </c>
      <c r="I185" s="3">
        <v>1</v>
      </c>
      <c r="J185" s="11">
        <v>65</v>
      </c>
      <c r="K185" s="4">
        <v>0</v>
      </c>
      <c r="L185" s="3" t="s">
        <v>95</v>
      </c>
      <c r="M185" s="3">
        <v>15</v>
      </c>
      <c r="N185" s="3">
        <v>12</v>
      </c>
      <c r="O185" s="3">
        <v>4</v>
      </c>
      <c r="P185" s="11">
        <f>Clean_Data[[#This Row],[Quantity]]*Clean_Data[[#This Row],[UnitPrice]]</f>
        <v>65</v>
      </c>
      <c r="Q185" s="11">
        <f>ROUND(Clean_Data[[#This Row],[GrossSales]]*Clean_Data[[#This Row],[DiscountPct]],2)</f>
        <v>0</v>
      </c>
      <c r="R185" s="11">
        <f>IF(Clean_Data[[#This Row],[Status]]="Delivered",ROUND(Clean_Data[[#This Row],[GrossSales]]-Clean_Data[[#This Row],[DiscountAmount]],2),0)</f>
        <v>65</v>
      </c>
      <c r="S185" s="3" t="str">
        <f>IF(Clean_Data[[#This Row],[OrderHour]]&lt;6,"Night",IF(Clean_Data[[#This Row],[OrderHour]]&lt;12,"Morning",IF(Clean_Data[[#This Row],[OrderHour]]&lt;18,"Afternoon","Evening")))</f>
        <v>Morning</v>
      </c>
      <c r="T185" s="3" t="str">
        <f>TEXT(Clean_Data[[#This Row],[OrderDate]],"[$-409]ddd")</f>
        <v>Mon</v>
      </c>
      <c r="U185" s="3">
        <f>WEEKDAY(Clean_Data[[#This Row],[OrderDate]],2)</f>
        <v>1</v>
      </c>
      <c r="V185" s="3">
        <f>INT(Clean_Data[[#This Row],[OrderHour]]/6)+1</f>
        <v>2</v>
      </c>
      <c r="W185" s="3">
        <f>IF(Clean_Data[[#This Row],[Status]]="Delivered",1,0)</f>
        <v>1</v>
      </c>
      <c r="X185" s="3">
        <f>IF(Clean_Data[[#This Row],[Status]]="Delivered",IF(Clean_Data[[#This Row],[DeliveryMinutes]]&lt;=Dashboard!$X$5,1,0),0)</f>
        <v>1</v>
      </c>
      <c r="Y1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5" s="3">
        <f>IF(AND(Clean_Data[[#This Row],[Include]]=1,Clean_Data[[#This Row],[DeliveredFlag]]=1),1,0)</f>
        <v>1</v>
      </c>
      <c r="AA185" s="1">
        <f>IF(COUNTIF($D$2:D185,D185)=1,ROW()-1,ROWS(Clean_Data[OrderID])+1)</f>
        <v>901</v>
      </c>
      <c r="AB185" s="1">
        <f>IF(COUNTIF($F$2:F185,F185)=1,ROW()-1,ROWS(Clean_Data[OrderID])+1)</f>
        <v>901</v>
      </c>
      <c r="AC185" s="1">
        <f>IF(COUNTIF($G$2:G185,G185)=1,ROW()-1,ROWS(Clean_Data[OrderID])+1)</f>
        <v>901</v>
      </c>
      <c r="AD185" s="1">
        <f>IF(COUNTIF($H$2:H185,H185)=1,ROW()-1,ROWS(Clean_Data[OrderID])+1)</f>
        <v>901</v>
      </c>
      <c r="AE185" s="1">
        <f>IF(COUNTIF($V$2:V185,V185)=1,V185,ROWS(Clean_Data[OrderID])+1)</f>
        <v>901</v>
      </c>
      <c r="AF185" s="1">
        <f>IF(COUNTIF($U$2:U185,U185)=1,U185,ROWS(Clean_Data[OrderID])+1)</f>
        <v>901</v>
      </c>
      <c r="AG185" s="1">
        <f>IF(COUNTIF($E$2:E185,E185)=1,ROW()-1,ROWS(Clean_Data[OrderID])+1)</f>
        <v>901</v>
      </c>
    </row>
    <row r="186" spans="1:33" ht="20" customHeight="1">
      <c r="A186" s="3" t="s">
        <v>451</v>
      </c>
      <c r="B186" s="2">
        <v>46272</v>
      </c>
      <c r="C186" s="3">
        <v>12</v>
      </c>
      <c r="D186" s="3" t="s">
        <v>452</v>
      </c>
      <c r="E186" s="3" t="s">
        <v>91</v>
      </c>
      <c r="F186" s="3" t="s">
        <v>121</v>
      </c>
      <c r="G186" s="3" t="s">
        <v>93</v>
      </c>
      <c r="H186" s="3" t="s">
        <v>118</v>
      </c>
      <c r="I186" s="3">
        <v>3</v>
      </c>
      <c r="J186" s="11">
        <v>45</v>
      </c>
      <c r="K186" s="4">
        <v>0</v>
      </c>
      <c r="L186" s="3" t="s">
        <v>95</v>
      </c>
      <c r="M186" s="3">
        <v>14</v>
      </c>
      <c r="N186" s="3">
        <v>10</v>
      </c>
      <c r="O186" s="3">
        <v>4</v>
      </c>
      <c r="P186" s="11">
        <f>Clean_Data[[#This Row],[Quantity]]*Clean_Data[[#This Row],[UnitPrice]]</f>
        <v>135</v>
      </c>
      <c r="Q186" s="11">
        <f>ROUND(Clean_Data[[#This Row],[GrossSales]]*Clean_Data[[#This Row],[DiscountPct]],2)</f>
        <v>0</v>
      </c>
      <c r="R186" s="11">
        <f>IF(Clean_Data[[#This Row],[Status]]="Delivered",ROUND(Clean_Data[[#This Row],[GrossSales]]-Clean_Data[[#This Row],[DiscountAmount]],2),0)</f>
        <v>135</v>
      </c>
      <c r="S186" s="3" t="str">
        <f>IF(Clean_Data[[#This Row],[OrderHour]]&lt;6,"Night",IF(Clean_Data[[#This Row],[OrderHour]]&lt;12,"Morning",IF(Clean_Data[[#This Row],[OrderHour]]&lt;18,"Afternoon","Evening")))</f>
        <v>Afternoon</v>
      </c>
      <c r="T186" s="3" t="str">
        <f>TEXT(Clean_Data[[#This Row],[OrderDate]],"[$-409]ddd")</f>
        <v>Mon</v>
      </c>
      <c r="U186" s="3">
        <f>WEEKDAY(Clean_Data[[#This Row],[OrderDate]],2)</f>
        <v>1</v>
      </c>
      <c r="V186" s="3">
        <f>INT(Clean_Data[[#This Row],[OrderHour]]/6)+1</f>
        <v>3</v>
      </c>
      <c r="W186" s="3">
        <f>IF(Clean_Data[[#This Row],[Status]]="Delivered",1,0)</f>
        <v>1</v>
      </c>
      <c r="X186" s="3">
        <f>IF(Clean_Data[[#This Row],[Status]]="Delivered",IF(Clean_Data[[#This Row],[DeliveryMinutes]]&lt;=Dashboard!$X$5,1,0),0)</f>
        <v>1</v>
      </c>
      <c r="Y1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6" s="3">
        <f>IF(AND(Clean_Data[[#This Row],[Include]]=1,Clean_Data[[#This Row],[DeliveredFlag]]=1),1,0)</f>
        <v>1</v>
      </c>
      <c r="AA186" s="1">
        <f>IF(COUNTIF($D$2:D186,D186)=1,ROW()-1,ROWS(Clean_Data[OrderID])+1)</f>
        <v>185</v>
      </c>
      <c r="AB186" s="1">
        <f>IF(COUNTIF($F$2:F186,F186)=1,ROW()-1,ROWS(Clean_Data[OrderID])+1)</f>
        <v>901</v>
      </c>
      <c r="AC186" s="1">
        <f>IF(COUNTIF($G$2:G186,G186)=1,ROW()-1,ROWS(Clean_Data[OrderID])+1)</f>
        <v>901</v>
      </c>
      <c r="AD186" s="1">
        <f>IF(COUNTIF($H$2:H186,H186)=1,ROW()-1,ROWS(Clean_Data[OrderID])+1)</f>
        <v>901</v>
      </c>
      <c r="AE186" s="1">
        <f>IF(COUNTIF($V$2:V186,V186)=1,V186,ROWS(Clean_Data[OrderID])+1)</f>
        <v>901</v>
      </c>
      <c r="AF186" s="1">
        <f>IF(COUNTIF($U$2:U186,U186)=1,U186,ROWS(Clean_Data[OrderID])+1)</f>
        <v>901</v>
      </c>
      <c r="AG186" s="1">
        <f>IF(COUNTIF($E$2:E186,E186)=1,ROW()-1,ROWS(Clean_Data[OrderID])+1)</f>
        <v>901</v>
      </c>
    </row>
    <row r="187" spans="1:33" ht="20" customHeight="1">
      <c r="A187" s="3" t="s">
        <v>453</v>
      </c>
      <c r="B187" s="2">
        <v>46272</v>
      </c>
      <c r="C187" s="3">
        <v>21</v>
      </c>
      <c r="D187" s="3" t="s">
        <v>454</v>
      </c>
      <c r="E187" s="3" t="s">
        <v>91</v>
      </c>
      <c r="F187" s="3" t="s">
        <v>139</v>
      </c>
      <c r="G187" s="3" t="s">
        <v>135</v>
      </c>
      <c r="H187" s="3" t="s">
        <v>217</v>
      </c>
      <c r="I187" s="3">
        <v>5</v>
      </c>
      <c r="J187" s="11">
        <v>65</v>
      </c>
      <c r="K187" s="4">
        <v>0.15</v>
      </c>
      <c r="L187" s="3" t="s">
        <v>95</v>
      </c>
      <c r="M187" s="3">
        <v>34</v>
      </c>
      <c r="N187" s="3">
        <v>9</v>
      </c>
      <c r="O187" s="3">
        <v>5</v>
      </c>
      <c r="P187" s="11">
        <f>Clean_Data[[#This Row],[Quantity]]*Clean_Data[[#This Row],[UnitPrice]]</f>
        <v>325</v>
      </c>
      <c r="Q187" s="11">
        <f>ROUND(Clean_Data[[#This Row],[GrossSales]]*Clean_Data[[#This Row],[DiscountPct]],2)</f>
        <v>48.75</v>
      </c>
      <c r="R187" s="11">
        <f>IF(Clean_Data[[#This Row],[Status]]="Delivered",ROUND(Clean_Data[[#This Row],[GrossSales]]-Clean_Data[[#This Row],[DiscountAmount]],2),0)</f>
        <v>276.25</v>
      </c>
      <c r="S187" s="3" t="str">
        <f>IF(Clean_Data[[#This Row],[OrderHour]]&lt;6,"Night",IF(Clean_Data[[#This Row],[OrderHour]]&lt;12,"Morning",IF(Clean_Data[[#This Row],[OrderHour]]&lt;18,"Afternoon","Evening")))</f>
        <v>Evening</v>
      </c>
      <c r="T187" s="3" t="str">
        <f>TEXT(Clean_Data[[#This Row],[OrderDate]],"[$-409]ddd")</f>
        <v>Mon</v>
      </c>
      <c r="U187" s="3">
        <f>WEEKDAY(Clean_Data[[#This Row],[OrderDate]],2)</f>
        <v>1</v>
      </c>
      <c r="V187" s="3">
        <f>INT(Clean_Data[[#This Row],[OrderHour]]/6)+1</f>
        <v>4</v>
      </c>
      <c r="W187" s="3">
        <f>IF(Clean_Data[[#This Row],[Status]]="Delivered",1,0)</f>
        <v>1</v>
      </c>
      <c r="X187" s="3">
        <f>IF(Clean_Data[[#This Row],[Status]]="Delivered",IF(Clean_Data[[#This Row],[DeliveryMinutes]]&lt;=Dashboard!$X$5,1,0),0)</f>
        <v>0</v>
      </c>
      <c r="Y1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7" s="3">
        <f>IF(AND(Clean_Data[[#This Row],[Include]]=1,Clean_Data[[#This Row],[DeliveredFlag]]=1),1,0)</f>
        <v>1</v>
      </c>
      <c r="AA187" s="1">
        <f>IF(COUNTIF($D$2:D187,D187)=1,ROW()-1,ROWS(Clean_Data[OrderID])+1)</f>
        <v>186</v>
      </c>
      <c r="AB187" s="1">
        <f>IF(COUNTIF($F$2:F187,F187)=1,ROW()-1,ROWS(Clean_Data[OrderID])+1)</f>
        <v>901</v>
      </c>
      <c r="AC187" s="1">
        <f>IF(COUNTIF($G$2:G187,G187)=1,ROW()-1,ROWS(Clean_Data[OrderID])+1)</f>
        <v>901</v>
      </c>
      <c r="AD187" s="1">
        <f>IF(COUNTIF($H$2:H187,H187)=1,ROW()-1,ROWS(Clean_Data[OrderID])+1)</f>
        <v>901</v>
      </c>
      <c r="AE187" s="1">
        <f>IF(COUNTIF($V$2:V187,V187)=1,V187,ROWS(Clean_Data[OrderID])+1)</f>
        <v>901</v>
      </c>
      <c r="AF187" s="1">
        <f>IF(COUNTIF($U$2:U187,U187)=1,U187,ROWS(Clean_Data[OrderID])+1)</f>
        <v>901</v>
      </c>
      <c r="AG187" s="1">
        <f>IF(COUNTIF($E$2:E187,E187)=1,ROW()-1,ROWS(Clean_Data[OrderID])+1)</f>
        <v>901</v>
      </c>
    </row>
    <row r="188" spans="1:33" ht="20" customHeight="1">
      <c r="A188" s="3" t="s">
        <v>455</v>
      </c>
      <c r="B188" s="2">
        <v>46272</v>
      </c>
      <c r="C188" s="3">
        <v>18</v>
      </c>
      <c r="D188" s="3" t="s">
        <v>456</v>
      </c>
      <c r="E188" s="3" t="s">
        <v>117</v>
      </c>
      <c r="F188" s="3" t="s">
        <v>98</v>
      </c>
      <c r="G188" s="3" t="s">
        <v>93</v>
      </c>
      <c r="H188" s="3" t="s">
        <v>146</v>
      </c>
      <c r="I188" s="3">
        <v>2</v>
      </c>
      <c r="J188" s="11">
        <v>110</v>
      </c>
      <c r="K188" s="4">
        <v>0</v>
      </c>
      <c r="L188" s="3" t="s">
        <v>101</v>
      </c>
      <c r="M188" s="3"/>
      <c r="N188" s="3"/>
      <c r="O188" s="3"/>
      <c r="P188" s="11">
        <f>Clean_Data[[#This Row],[Quantity]]*Clean_Data[[#This Row],[UnitPrice]]</f>
        <v>220</v>
      </c>
      <c r="Q188" s="11">
        <f>ROUND(Clean_Data[[#This Row],[GrossSales]]*Clean_Data[[#This Row],[DiscountPct]],2)</f>
        <v>0</v>
      </c>
      <c r="R188" s="11">
        <f>IF(Clean_Data[[#This Row],[Status]]="Delivered",ROUND(Clean_Data[[#This Row],[GrossSales]]-Clean_Data[[#This Row],[DiscountAmount]],2),0)</f>
        <v>0</v>
      </c>
      <c r="S188" s="3" t="str">
        <f>IF(Clean_Data[[#This Row],[OrderHour]]&lt;6,"Night",IF(Clean_Data[[#This Row],[OrderHour]]&lt;12,"Morning",IF(Clean_Data[[#This Row],[OrderHour]]&lt;18,"Afternoon","Evening")))</f>
        <v>Evening</v>
      </c>
      <c r="T188" s="3" t="str">
        <f>TEXT(Clean_Data[[#This Row],[OrderDate]],"[$-409]ddd")</f>
        <v>Mon</v>
      </c>
      <c r="U188" s="3">
        <f>WEEKDAY(Clean_Data[[#This Row],[OrderDate]],2)</f>
        <v>1</v>
      </c>
      <c r="V188" s="3">
        <f>INT(Clean_Data[[#This Row],[OrderHour]]/6)+1</f>
        <v>4</v>
      </c>
      <c r="W188" s="3">
        <f>IF(Clean_Data[[#This Row],[Status]]="Delivered",1,0)</f>
        <v>0</v>
      </c>
      <c r="X188" s="3">
        <f>IF(Clean_Data[[#This Row],[Status]]="Delivered",IF(Clean_Data[[#This Row],[DeliveryMinutes]]&lt;=Dashboard!$X$5,1,0),0)</f>
        <v>0</v>
      </c>
      <c r="Y1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8" s="3">
        <f>IF(AND(Clean_Data[[#This Row],[Include]]=1,Clean_Data[[#This Row],[DeliveredFlag]]=1),1,0)</f>
        <v>0</v>
      </c>
      <c r="AA188" s="1">
        <f>IF(COUNTIF($D$2:D188,D188)=1,ROW()-1,ROWS(Clean_Data[OrderID])+1)</f>
        <v>187</v>
      </c>
      <c r="AB188" s="1">
        <f>IF(COUNTIF($F$2:F188,F188)=1,ROW()-1,ROWS(Clean_Data[OrderID])+1)</f>
        <v>901</v>
      </c>
      <c r="AC188" s="1">
        <f>IF(COUNTIF($G$2:G188,G188)=1,ROW()-1,ROWS(Clean_Data[OrderID])+1)</f>
        <v>901</v>
      </c>
      <c r="AD188" s="1">
        <f>IF(COUNTIF($H$2:H188,H188)=1,ROW()-1,ROWS(Clean_Data[OrderID])+1)</f>
        <v>901</v>
      </c>
      <c r="AE188" s="1">
        <f>IF(COUNTIF($V$2:V188,V188)=1,V188,ROWS(Clean_Data[OrderID])+1)</f>
        <v>901</v>
      </c>
      <c r="AF188" s="1">
        <f>IF(COUNTIF($U$2:U188,U188)=1,U188,ROWS(Clean_Data[OrderID])+1)</f>
        <v>901</v>
      </c>
      <c r="AG188" s="1">
        <f>IF(COUNTIF($E$2:E188,E188)=1,ROW()-1,ROWS(Clean_Data[OrderID])+1)</f>
        <v>901</v>
      </c>
    </row>
    <row r="189" spans="1:33" ht="20" customHeight="1">
      <c r="A189" s="3" t="s">
        <v>457</v>
      </c>
      <c r="B189" s="2">
        <v>46272</v>
      </c>
      <c r="C189" s="3">
        <v>6</v>
      </c>
      <c r="D189" s="3" t="s">
        <v>242</v>
      </c>
      <c r="E189" s="3" t="s">
        <v>91</v>
      </c>
      <c r="F189" s="3" t="s">
        <v>121</v>
      </c>
      <c r="G189" s="3" t="s">
        <v>135</v>
      </c>
      <c r="H189" s="3" t="s">
        <v>162</v>
      </c>
      <c r="I189" s="3">
        <v>2</v>
      </c>
      <c r="J189" s="11">
        <v>180</v>
      </c>
      <c r="K189" s="4">
        <v>0</v>
      </c>
      <c r="L189" s="3" t="s">
        <v>95</v>
      </c>
      <c r="M189" s="3">
        <v>30</v>
      </c>
      <c r="N189" s="3">
        <v>9</v>
      </c>
      <c r="O189" s="3">
        <v>4</v>
      </c>
      <c r="P189" s="11">
        <f>Clean_Data[[#This Row],[Quantity]]*Clean_Data[[#This Row],[UnitPrice]]</f>
        <v>360</v>
      </c>
      <c r="Q189" s="11">
        <f>ROUND(Clean_Data[[#This Row],[GrossSales]]*Clean_Data[[#This Row],[DiscountPct]],2)</f>
        <v>0</v>
      </c>
      <c r="R189" s="11">
        <f>IF(Clean_Data[[#This Row],[Status]]="Delivered",ROUND(Clean_Data[[#This Row],[GrossSales]]-Clean_Data[[#This Row],[DiscountAmount]],2),0)</f>
        <v>360</v>
      </c>
      <c r="S189" s="3" t="str">
        <f>IF(Clean_Data[[#This Row],[OrderHour]]&lt;6,"Night",IF(Clean_Data[[#This Row],[OrderHour]]&lt;12,"Morning",IF(Clean_Data[[#This Row],[OrderHour]]&lt;18,"Afternoon","Evening")))</f>
        <v>Morning</v>
      </c>
      <c r="T189" s="3" t="str">
        <f>TEXT(Clean_Data[[#This Row],[OrderDate]],"[$-409]ddd")</f>
        <v>Mon</v>
      </c>
      <c r="U189" s="3">
        <f>WEEKDAY(Clean_Data[[#This Row],[OrderDate]],2)</f>
        <v>1</v>
      </c>
      <c r="V189" s="3">
        <f>INT(Clean_Data[[#This Row],[OrderHour]]/6)+1</f>
        <v>2</v>
      </c>
      <c r="W189" s="3">
        <f>IF(Clean_Data[[#This Row],[Status]]="Delivered",1,0)</f>
        <v>1</v>
      </c>
      <c r="X189" s="3">
        <f>IF(Clean_Data[[#This Row],[Status]]="Delivered",IF(Clean_Data[[#This Row],[DeliveryMinutes]]&lt;=Dashboard!$X$5,1,0),0)</f>
        <v>1</v>
      </c>
      <c r="Y1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89" s="3">
        <f>IF(AND(Clean_Data[[#This Row],[Include]]=1,Clean_Data[[#This Row],[DeliveredFlag]]=1),1,0)</f>
        <v>1</v>
      </c>
      <c r="AA189" s="1">
        <f>IF(COUNTIF($D$2:D189,D189)=1,ROW()-1,ROWS(Clean_Data[OrderID])+1)</f>
        <v>901</v>
      </c>
      <c r="AB189" s="1">
        <f>IF(COUNTIF($F$2:F189,F189)=1,ROW()-1,ROWS(Clean_Data[OrderID])+1)</f>
        <v>901</v>
      </c>
      <c r="AC189" s="1">
        <f>IF(COUNTIF($G$2:G189,G189)=1,ROW()-1,ROWS(Clean_Data[OrderID])+1)</f>
        <v>901</v>
      </c>
      <c r="AD189" s="1">
        <f>IF(COUNTIF($H$2:H189,H189)=1,ROW()-1,ROWS(Clean_Data[OrderID])+1)</f>
        <v>901</v>
      </c>
      <c r="AE189" s="1">
        <f>IF(COUNTIF($V$2:V189,V189)=1,V189,ROWS(Clean_Data[OrderID])+1)</f>
        <v>901</v>
      </c>
      <c r="AF189" s="1">
        <f>IF(COUNTIF($U$2:U189,U189)=1,U189,ROWS(Clean_Data[OrderID])+1)</f>
        <v>901</v>
      </c>
      <c r="AG189" s="1">
        <f>IF(COUNTIF($E$2:E189,E189)=1,ROW()-1,ROWS(Clean_Data[OrderID])+1)</f>
        <v>901</v>
      </c>
    </row>
    <row r="190" spans="1:33" ht="20" customHeight="1">
      <c r="A190" s="3" t="s">
        <v>458</v>
      </c>
      <c r="B190" s="2">
        <v>46272</v>
      </c>
      <c r="C190" s="3">
        <v>18</v>
      </c>
      <c r="D190" s="3" t="s">
        <v>199</v>
      </c>
      <c r="E190" s="3" t="s">
        <v>117</v>
      </c>
      <c r="F190" s="3" t="s">
        <v>98</v>
      </c>
      <c r="G190" s="3" t="s">
        <v>99</v>
      </c>
      <c r="H190" s="3" t="s">
        <v>130</v>
      </c>
      <c r="I190" s="3">
        <v>6</v>
      </c>
      <c r="J190" s="11">
        <v>85</v>
      </c>
      <c r="K190" s="4">
        <v>0.1</v>
      </c>
      <c r="L190" s="3" t="s">
        <v>95</v>
      </c>
      <c r="M190" s="3">
        <v>26</v>
      </c>
      <c r="N190" s="3">
        <v>15</v>
      </c>
      <c r="O190" s="3">
        <v>5</v>
      </c>
      <c r="P190" s="11">
        <f>Clean_Data[[#This Row],[Quantity]]*Clean_Data[[#This Row],[UnitPrice]]</f>
        <v>510</v>
      </c>
      <c r="Q190" s="11">
        <f>ROUND(Clean_Data[[#This Row],[GrossSales]]*Clean_Data[[#This Row],[DiscountPct]],2)</f>
        <v>51</v>
      </c>
      <c r="R190" s="11">
        <f>IF(Clean_Data[[#This Row],[Status]]="Delivered",ROUND(Clean_Data[[#This Row],[GrossSales]]-Clean_Data[[#This Row],[DiscountAmount]],2),0)</f>
        <v>459</v>
      </c>
      <c r="S190" s="3" t="str">
        <f>IF(Clean_Data[[#This Row],[OrderHour]]&lt;6,"Night",IF(Clean_Data[[#This Row],[OrderHour]]&lt;12,"Morning",IF(Clean_Data[[#This Row],[OrderHour]]&lt;18,"Afternoon","Evening")))</f>
        <v>Evening</v>
      </c>
      <c r="T190" s="3" t="str">
        <f>TEXT(Clean_Data[[#This Row],[OrderDate]],"[$-409]ddd")</f>
        <v>Mon</v>
      </c>
      <c r="U190" s="3">
        <f>WEEKDAY(Clean_Data[[#This Row],[OrderDate]],2)</f>
        <v>1</v>
      </c>
      <c r="V190" s="3">
        <f>INT(Clean_Data[[#This Row],[OrderHour]]/6)+1</f>
        <v>4</v>
      </c>
      <c r="W190" s="3">
        <f>IF(Clean_Data[[#This Row],[Status]]="Delivered",1,0)</f>
        <v>1</v>
      </c>
      <c r="X190" s="3">
        <f>IF(Clean_Data[[#This Row],[Status]]="Delivered",IF(Clean_Data[[#This Row],[DeliveryMinutes]]&lt;=Dashboard!$X$5,1,0),0)</f>
        <v>1</v>
      </c>
      <c r="Y1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0" s="3">
        <f>IF(AND(Clean_Data[[#This Row],[Include]]=1,Clean_Data[[#This Row],[DeliveredFlag]]=1),1,0)</f>
        <v>1</v>
      </c>
      <c r="AA190" s="1">
        <f>IF(COUNTIF($D$2:D190,D190)=1,ROW()-1,ROWS(Clean_Data[OrderID])+1)</f>
        <v>901</v>
      </c>
      <c r="AB190" s="1">
        <f>IF(COUNTIF($F$2:F190,F190)=1,ROW()-1,ROWS(Clean_Data[OrderID])+1)</f>
        <v>901</v>
      </c>
      <c r="AC190" s="1">
        <f>IF(COUNTIF($G$2:G190,G190)=1,ROW()-1,ROWS(Clean_Data[OrderID])+1)</f>
        <v>901</v>
      </c>
      <c r="AD190" s="1">
        <f>IF(COUNTIF($H$2:H190,H190)=1,ROW()-1,ROWS(Clean_Data[OrderID])+1)</f>
        <v>901</v>
      </c>
      <c r="AE190" s="1">
        <f>IF(COUNTIF($V$2:V190,V190)=1,V190,ROWS(Clean_Data[OrderID])+1)</f>
        <v>901</v>
      </c>
      <c r="AF190" s="1">
        <f>IF(COUNTIF($U$2:U190,U190)=1,U190,ROWS(Clean_Data[OrderID])+1)</f>
        <v>901</v>
      </c>
      <c r="AG190" s="1">
        <f>IF(COUNTIF($E$2:E190,E190)=1,ROW()-1,ROWS(Clean_Data[OrderID])+1)</f>
        <v>901</v>
      </c>
    </row>
    <row r="191" spans="1:33" ht="20" customHeight="1">
      <c r="A191" s="3" t="s">
        <v>459</v>
      </c>
      <c r="B191" s="2">
        <v>46272</v>
      </c>
      <c r="C191" s="3">
        <v>17</v>
      </c>
      <c r="D191" s="3" t="s">
        <v>460</v>
      </c>
      <c r="E191" s="3" t="s">
        <v>117</v>
      </c>
      <c r="F191" s="3" t="s">
        <v>92</v>
      </c>
      <c r="G191" s="3" t="s">
        <v>99</v>
      </c>
      <c r="H191" s="3" t="s">
        <v>100</v>
      </c>
      <c r="I191" s="3">
        <v>4</v>
      </c>
      <c r="J191" s="11">
        <v>120</v>
      </c>
      <c r="K191" s="4">
        <v>0</v>
      </c>
      <c r="L191" s="3" t="s">
        <v>95</v>
      </c>
      <c r="M191" s="3">
        <v>23</v>
      </c>
      <c r="N191" s="3">
        <v>10</v>
      </c>
      <c r="O191" s="3">
        <v>4</v>
      </c>
      <c r="P191" s="11">
        <f>Clean_Data[[#This Row],[Quantity]]*Clean_Data[[#This Row],[UnitPrice]]</f>
        <v>480</v>
      </c>
      <c r="Q191" s="11">
        <f>ROUND(Clean_Data[[#This Row],[GrossSales]]*Clean_Data[[#This Row],[DiscountPct]],2)</f>
        <v>0</v>
      </c>
      <c r="R191" s="11">
        <f>IF(Clean_Data[[#This Row],[Status]]="Delivered",ROUND(Clean_Data[[#This Row],[GrossSales]]-Clean_Data[[#This Row],[DiscountAmount]],2),0)</f>
        <v>480</v>
      </c>
      <c r="S191" s="3" t="str">
        <f>IF(Clean_Data[[#This Row],[OrderHour]]&lt;6,"Night",IF(Clean_Data[[#This Row],[OrderHour]]&lt;12,"Morning",IF(Clean_Data[[#This Row],[OrderHour]]&lt;18,"Afternoon","Evening")))</f>
        <v>Afternoon</v>
      </c>
      <c r="T191" s="3" t="str">
        <f>TEXT(Clean_Data[[#This Row],[OrderDate]],"[$-409]ddd")</f>
        <v>Mon</v>
      </c>
      <c r="U191" s="3">
        <f>WEEKDAY(Clean_Data[[#This Row],[OrderDate]],2)</f>
        <v>1</v>
      </c>
      <c r="V191" s="3">
        <f>INT(Clean_Data[[#This Row],[OrderHour]]/6)+1</f>
        <v>3</v>
      </c>
      <c r="W191" s="3">
        <f>IF(Clean_Data[[#This Row],[Status]]="Delivered",1,0)</f>
        <v>1</v>
      </c>
      <c r="X191" s="3">
        <f>IF(Clean_Data[[#This Row],[Status]]="Delivered",IF(Clean_Data[[#This Row],[DeliveryMinutes]]&lt;=Dashboard!$X$5,1,0),0)</f>
        <v>1</v>
      </c>
      <c r="Y1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1" s="3">
        <f>IF(AND(Clean_Data[[#This Row],[Include]]=1,Clean_Data[[#This Row],[DeliveredFlag]]=1),1,0)</f>
        <v>1</v>
      </c>
      <c r="AA191" s="1">
        <f>IF(COUNTIF($D$2:D191,D191)=1,ROW()-1,ROWS(Clean_Data[OrderID])+1)</f>
        <v>190</v>
      </c>
      <c r="AB191" s="1">
        <f>IF(COUNTIF($F$2:F191,F191)=1,ROW()-1,ROWS(Clean_Data[OrderID])+1)</f>
        <v>901</v>
      </c>
      <c r="AC191" s="1">
        <f>IF(COUNTIF($G$2:G191,G191)=1,ROW()-1,ROWS(Clean_Data[OrderID])+1)</f>
        <v>901</v>
      </c>
      <c r="AD191" s="1">
        <f>IF(COUNTIF($H$2:H191,H191)=1,ROW()-1,ROWS(Clean_Data[OrderID])+1)</f>
        <v>901</v>
      </c>
      <c r="AE191" s="1">
        <f>IF(COUNTIF($V$2:V191,V191)=1,V191,ROWS(Clean_Data[OrderID])+1)</f>
        <v>901</v>
      </c>
      <c r="AF191" s="1">
        <f>IF(COUNTIF($U$2:U191,U191)=1,U191,ROWS(Clean_Data[OrderID])+1)</f>
        <v>901</v>
      </c>
      <c r="AG191" s="1">
        <f>IF(COUNTIF($E$2:E191,E191)=1,ROW()-1,ROWS(Clean_Data[OrderID])+1)</f>
        <v>901</v>
      </c>
    </row>
    <row r="192" spans="1:33" ht="20" customHeight="1">
      <c r="A192" s="3" t="s">
        <v>461</v>
      </c>
      <c r="B192" s="2">
        <v>46272</v>
      </c>
      <c r="C192" s="3">
        <v>18</v>
      </c>
      <c r="D192" s="3" t="s">
        <v>462</v>
      </c>
      <c r="E192" s="3" t="s">
        <v>91</v>
      </c>
      <c r="F192" s="3" t="s">
        <v>109</v>
      </c>
      <c r="G192" s="3" t="s">
        <v>110</v>
      </c>
      <c r="H192" s="3" t="s">
        <v>111</v>
      </c>
      <c r="I192" s="3">
        <v>4</v>
      </c>
      <c r="J192" s="11">
        <v>115</v>
      </c>
      <c r="K192" s="4">
        <v>0.05</v>
      </c>
      <c r="L192" s="3" t="s">
        <v>101</v>
      </c>
      <c r="M192" s="3"/>
      <c r="N192" s="3"/>
      <c r="O192" s="3"/>
      <c r="P192" s="11">
        <f>Clean_Data[[#This Row],[Quantity]]*Clean_Data[[#This Row],[UnitPrice]]</f>
        <v>460</v>
      </c>
      <c r="Q192" s="11">
        <f>ROUND(Clean_Data[[#This Row],[GrossSales]]*Clean_Data[[#This Row],[DiscountPct]],2)</f>
        <v>23</v>
      </c>
      <c r="R192" s="11">
        <f>IF(Clean_Data[[#This Row],[Status]]="Delivered",ROUND(Clean_Data[[#This Row],[GrossSales]]-Clean_Data[[#This Row],[DiscountAmount]],2),0)</f>
        <v>0</v>
      </c>
      <c r="S192" s="3" t="str">
        <f>IF(Clean_Data[[#This Row],[OrderHour]]&lt;6,"Night",IF(Clean_Data[[#This Row],[OrderHour]]&lt;12,"Morning",IF(Clean_Data[[#This Row],[OrderHour]]&lt;18,"Afternoon","Evening")))</f>
        <v>Evening</v>
      </c>
      <c r="T192" s="3" t="str">
        <f>TEXT(Clean_Data[[#This Row],[OrderDate]],"[$-409]ddd")</f>
        <v>Mon</v>
      </c>
      <c r="U192" s="3">
        <f>WEEKDAY(Clean_Data[[#This Row],[OrderDate]],2)</f>
        <v>1</v>
      </c>
      <c r="V192" s="3">
        <f>INT(Clean_Data[[#This Row],[OrderHour]]/6)+1</f>
        <v>4</v>
      </c>
      <c r="W192" s="3">
        <f>IF(Clean_Data[[#This Row],[Status]]="Delivered",1,0)</f>
        <v>0</v>
      </c>
      <c r="X192" s="3">
        <f>IF(Clean_Data[[#This Row],[Status]]="Delivered",IF(Clean_Data[[#This Row],[DeliveryMinutes]]&lt;=Dashboard!$X$5,1,0),0)</f>
        <v>0</v>
      </c>
      <c r="Y1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2" s="3">
        <f>IF(AND(Clean_Data[[#This Row],[Include]]=1,Clean_Data[[#This Row],[DeliveredFlag]]=1),1,0)</f>
        <v>0</v>
      </c>
      <c r="AA192" s="1">
        <f>IF(COUNTIF($D$2:D192,D192)=1,ROW()-1,ROWS(Clean_Data[OrderID])+1)</f>
        <v>191</v>
      </c>
      <c r="AB192" s="1">
        <f>IF(COUNTIF($F$2:F192,F192)=1,ROW()-1,ROWS(Clean_Data[OrderID])+1)</f>
        <v>901</v>
      </c>
      <c r="AC192" s="1">
        <f>IF(COUNTIF($G$2:G192,G192)=1,ROW()-1,ROWS(Clean_Data[OrderID])+1)</f>
        <v>901</v>
      </c>
      <c r="AD192" s="1">
        <f>IF(COUNTIF($H$2:H192,H192)=1,ROW()-1,ROWS(Clean_Data[OrderID])+1)</f>
        <v>901</v>
      </c>
      <c r="AE192" s="1">
        <f>IF(COUNTIF($V$2:V192,V192)=1,V192,ROWS(Clean_Data[OrderID])+1)</f>
        <v>901</v>
      </c>
      <c r="AF192" s="1">
        <f>IF(COUNTIF($U$2:U192,U192)=1,U192,ROWS(Clean_Data[OrderID])+1)</f>
        <v>901</v>
      </c>
      <c r="AG192" s="1">
        <f>IF(COUNTIF($E$2:E192,E192)=1,ROW()-1,ROWS(Clean_Data[OrderID])+1)</f>
        <v>901</v>
      </c>
    </row>
    <row r="193" spans="1:33" ht="20" customHeight="1">
      <c r="A193" s="3" t="s">
        <v>463</v>
      </c>
      <c r="B193" s="2">
        <v>46272</v>
      </c>
      <c r="C193" s="3">
        <v>12</v>
      </c>
      <c r="D193" s="3" t="s">
        <v>464</v>
      </c>
      <c r="E193" s="3" t="s">
        <v>91</v>
      </c>
      <c r="F193" s="3" t="s">
        <v>92</v>
      </c>
      <c r="G193" s="3" t="s">
        <v>135</v>
      </c>
      <c r="H193" s="3" t="s">
        <v>136</v>
      </c>
      <c r="I193" s="3">
        <v>4</v>
      </c>
      <c r="J193" s="11">
        <v>40</v>
      </c>
      <c r="K193" s="4">
        <v>0</v>
      </c>
      <c r="L193" s="3" t="s">
        <v>95</v>
      </c>
      <c r="M193" s="3">
        <v>35</v>
      </c>
      <c r="N193" s="3">
        <v>14</v>
      </c>
      <c r="O193" s="3">
        <v>5</v>
      </c>
      <c r="P193" s="11">
        <f>Clean_Data[[#This Row],[Quantity]]*Clean_Data[[#This Row],[UnitPrice]]</f>
        <v>160</v>
      </c>
      <c r="Q193" s="11">
        <f>ROUND(Clean_Data[[#This Row],[GrossSales]]*Clean_Data[[#This Row],[DiscountPct]],2)</f>
        <v>0</v>
      </c>
      <c r="R193" s="11">
        <f>IF(Clean_Data[[#This Row],[Status]]="Delivered",ROUND(Clean_Data[[#This Row],[GrossSales]]-Clean_Data[[#This Row],[DiscountAmount]],2),0)</f>
        <v>160</v>
      </c>
      <c r="S193" s="3" t="str">
        <f>IF(Clean_Data[[#This Row],[OrderHour]]&lt;6,"Night",IF(Clean_Data[[#This Row],[OrderHour]]&lt;12,"Morning",IF(Clean_Data[[#This Row],[OrderHour]]&lt;18,"Afternoon","Evening")))</f>
        <v>Afternoon</v>
      </c>
      <c r="T193" s="3" t="str">
        <f>TEXT(Clean_Data[[#This Row],[OrderDate]],"[$-409]ddd")</f>
        <v>Mon</v>
      </c>
      <c r="U193" s="3">
        <f>WEEKDAY(Clean_Data[[#This Row],[OrderDate]],2)</f>
        <v>1</v>
      </c>
      <c r="V193" s="3">
        <f>INT(Clean_Data[[#This Row],[OrderHour]]/6)+1</f>
        <v>3</v>
      </c>
      <c r="W193" s="3">
        <f>IF(Clean_Data[[#This Row],[Status]]="Delivered",1,0)</f>
        <v>1</v>
      </c>
      <c r="X193" s="3">
        <f>IF(Clean_Data[[#This Row],[Status]]="Delivered",IF(Clean_Data[[#This Row],[DeliveryMinutes]]&lt;=Dashboard!$X$5,1,0),0)</f>
        <v>0</v>
      </c>
      <c r="Y1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3" s="3">
        <f>IF(AND(Clean_Data[[#This Row],[Include]]=1,Clean_Data[[#This Row],[DeliveredFlag]]=1),1,0)</f>
        <v>1</v>
      </c>
      <c r="AA193" s="1">
        <f>IF(COUNTIF($D$2:D193,D193)=1,ROW()-1,ROWS(Clean_Data[OrderID])+1)</f>
        <v>192</v>
      </c>
      <c r="AB193" s="1">
        <f>IF(COUNTIF($F$2:F193,F193)=1,ROW()-1,ROWS(Clean_Data[OrderID])+1)</f>
        <v>901</v>
      </c>
      <c r="AC193" s="1">
        <f>IF(COUNTIF($G$2:G193,G193)=1,ROW()-1,ROWS(Clean_Data[OrderID])+1)</f>
        <v>901</v>
      </c>
      <c r="AD193" s="1">
        <f>IF(COUNTIF($H$2:H193,H193)=1,ROW()-1,ROWS(Clean_Data[OrderID])+1)</f>
        <v>901</v>
      </c>
      <c r="AE193" s="1">
        <f>IF(COUNTIF($V$2:V193,V193)=1,V193,ROWS(Clean_Data[OrderID])+1)</f>
        <v>901</v>
      </c>
      <c r="AF193" s="1">
        <f>IF(COUNTIF($U$2:U193,U193)=1,U193,ROWS(Clean_Data[OrderID])+1)</f>
        <v>901</v>
      </c>
      <c r="AG193" s="1">
        <f>IF(COUNTIF($E$2:E193,E193)=1,ROW()-1,ROWS(Clean_Data[OrderID])+1)</f>
        <v>901</v>
      </c>
    </row>
    <row r="194" spans="1:33" ht="20" customHeight="1">
      <c r="A194" s="3" t="s">
        <v>465</v>
      </c>
      <c r="B194" s="2">
        <v>46272</v>
      </c>
      <c r="C194" s="3">
        <v>18</v>
      </c>
      <c r="D194" s="3" t="s">
        <v>265</v>
      </c>
      <c r="E194" s="3" t="s">
        <v>117</v>
      </c>
      <c r="F194" s="3" t="s">
        <v>92</v>
      </c>
      <c r="G194" s="3" t="s">
        <v>135</v>
      </c>
      <c r="H194" s="3" t="s">
        <v>162</v>
      </c>
      <c r="I194" s="3">
        <v>6</v>
      </c>
      <c r="J194" s="11">
        <v>180</v>
      </c>
      <c r="K194" s="4">
        <v>0.05</v>
      </c>
      <c r="L194" s="3" t="s">
        <v>95</v>
      </c>
      <c r="M194" s="3">
        <v>18</v>
      </c>
      <c r="N194" s="3">
        <v>5</v>
      </c>
      <c r="O194" s="3">
        <v>5</v>
      </c>
      <c r="P194" s="11">
        <f>Clean_Data[[#This Row],[Quantity]]*Clean_Data[[#This Row],[UnitPrice]]</f>
        <v>1080</v>
      </c>
      <c r="Q194" s="11">
        <f>ROUND(Clean_Data[[#This Row],[GrossSales]]*Clean_Data[[#This Row],[DiscountPct]],2)</f>
        <v>54</v>
      </c>
      <c r="R194" s="11">
        <f>IF(Clean_Data[[#This Row],[Status]]="Delivered",ROUND(Clean_Data[[#This Row],[GrossSales]]-Clean_Data[[#This Row],[DiscountAmount]],2),0)</f>
        <v>1026</v>
      </c>
      <c r="S194" s="3" t="str">
        <f>IF(Clean_Data[[#This Row],[OrderHour]]&lt;6,"Night",IF(Clean_Data[[#This Row],[OrderHour]]&lt;12,"Morning",IF(Clean_Data[[#This Row],[OrderHour]]&lt;18,"Afternoon","Evening")))</f>
        <v>Evening</v>
      </c>
      <c r="T194" s="3" t="str">
        <f>TEXT(Clean_Data[[#This Row],[OrderDate]],"[$-409]ddd")</f>
        <v>Mon</v>
      </c>
      <c r="U194" s="3">
        <f>WEEKDAY(Clean_Data[[#This Row],[OrderDate]],2)</f>
        <v>1</v>
      </c>
      <c r="V194" s="3">
        <f>INT(Clean_Data[[#This Row],[OrderHour]]/6)+1</f>
        <v>4</v>
      </c>
      <c r="W194" s="3">
        <f>IF(Clean_Data[[#This Row],[Status]]="Delivered",1,0)</f>
        <v>1</v>
      </c>
      <c r="X194" s="3">
        <f>IF(Clean_Data[[#This Row],[Status]]="Delivered",IF(Clean_Data[[#This Row],[DeliveryMinutes]]&lt;=Dashboard!$X$5,1,0),0)</f>
        <v>1</v>
      </c>
      <c r="Y1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4" s="3">
        <f>IF(AND(Clean_Data[[#This Row],[Include]]=1,Clean_Data[[#This Row],[DeliveredFlag]]=1),1,0)</f>
        <v>1</v>
      </c>
      <c r="AA194" s="1">
        <f>IF(COUNTIF($D$2:D194,D194)=1,ROW()-1,ROWS(Clean_Data[OrderID])+1)</f>
        <v>901</v>
      </c>
      <c r="AB194" s="1">
        <f>IF(COUNTIF($F$2:F194,F194)=1,ROW()-1,ROWS(Clean_Data[OrderID])+1)</f>
        <v>901</v>
      </c>
      <c r="AC194" s="1">
        <f>IF(COUNTIF($G$2:G194,G194)=1,ROW()-1,ROWS(Clean_Data[OrderID])+1)</f>
        <v>901</v>
      </c>
      <c r="AD194" s="1">
        <f>IF(COUNTIF($H$2:H194,H194)=1,ROW()-1,ROWS(Clean_Data[OrderID])+1)</f>
        <v>901</v>
      </c>
      <c r="AE194" s="1">
        <f>IF(COUNTIF($V$2:V194,V194)=1,V194,ROWS(Clean_Data[OrderID])+1)</f>
        <v>901</v>
      </c>
      <c r="AF194" s="1">
        <f>IF(COUNTIF($U$2:U194,U194)=1,U194,ROWS(Clean_Data[OrderID])+1)</f>
        <v>901</v>
      </c>
      <c r="AG194" s="1">
        <f>IF(COUNTIF($E$2:E194,E194)=1,ROW()-1,ROWS(Clean_Data[OrderID])+1)</f>
        <v>901</v>
      </c>
    </row>
    <row r="195" spans="1:33" ht="20" customHeight="1">
      <c r="A195" s="3" t="s">
        <v>466</v>
      </c>
      <c r="B195" s="2">
        <v>46272</v>
      </c>
      <c r="C195" s="3">
        <v>19</v>
      </c>
      <c r="D195" s="3" t="s">
        <v>191</v>
      </c>
      <c r="E195" s="3" t="s">
        <v>91</v>
      </c>
      <c r="F195" s="3" t="s">
        <v>109</v>
      </c>
      <c r="G195" s="3" t="s">
        <v>93</v>
      </c>
      <c r="H195" s="3" t="s">
        <v>146</v>
      </c>
      <c r="I195" s="3">
        <v>2</v>
      </c>
      <c r="J195" s="11">
        <v>110</v>
      </c>
      <c r="K195" s="4">
        <v>0</v>
      </c>
      <c r="L195" s="3" t="s">
        <v>95</v>
      </c>
      <c r="M195" s="3">
        <v>17</v>
      </c>
      <c r="N195" s="3">
        <v>14</v>
      </c>
      <c r="O195" s="3">
        <v>5</v>
      </c>
      <c r="P195" s="11">
        <f>Clean_Data[[#This Row],[Quantity]]*Clean_Data[[#This Row],[UnitPrice]]</f>
        <v>220</v>
      </c>
      <c r="Q195" s="11">
        <f>ROUND(Clean_Data[[#This Row],[GrossSales]]*Clean_Data[[#This Row],[DiscountPct]],2)</f>
        <v>0</v>
      </c>
      <c r="R195" s="11">
        <f>IF(Clean_Data[[#This Row],[Status]]="Delivered",ROUND(Clean_Data[[#This Row],[GrossSales]]-Clean_Data[[#This Row],[DiscountAmount]],2),0)</f>
        <v>220</v>
      </c>
      <c r="S195" s="3" t="str">
        <f>IF(Clean_Data[[#This Row],[OrderHour]]&lt;6,"Night",IF(Clean_Data[[#This Row],[OrderHour]]&lt;12,"Morning",IF(Clean_Data[[#This Row],[OrderHour]]&lt;18,"Afternoon","Evening")))</f>
        <v>Evening</v>
      </c>
      <c r="T195" s="3" t="str">
        <f>TEXT(Clean_Data[[#This Row],[OrderDate]],"[$-409]ddd")</f>
        <v>Mon</v>
      </c>
      <c r="U195" s="3">
        <f>WEEKDAY(Clean_Data[[#This Row],[OrderDate]],2)</f>
        <v>1</v>
      </c>
      <c r="V195" s="3">
        <f>INT(Clean_Data[[#This Row],[OrderHour]]/6)+1</f>
        <v>4</v>
      </c>
      <c r="W195" s="3">
        <f>IF(Clean_Data[[#This Row],[Status]]="Delivered",1,0)</f>
        <v>1</v>
      </c>
      <c r="X195" s="3">
        <f>IF(Clean_Data[[#This Row],[Status]]="Delivered",IF(Clean_Data[[#This Row],[DeliveryMinutes]]&lt;=Dashboard!$X$5,1,0),0)</f>
        <v>1</v>
      </c>
      <c r="Y1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5" s="3">
        <f>IF(AND(Clean_Data[[#This Row],[Include]]=1,Clean_Data[[#This Row],[DeliveredFlag]]=1),1,0)</f>
        <v>1</v>
      </c>
      <c r="AA195" s="1">
        <f>IF(COUNTIF($D$2:D195,D195)=1,ROW()-1,ROWS(Clean_Data[OrderID])+1)</f>
        <v>901</v>
      </c>
      <c r="AB195" s="1">
        <f>IF(COUNTIF($F$2:F195,F195)=1,ROW()-1,ROWS(Clean_Data[OrderID])+1)</f>
        <v>901</v>
      </c>
      <c r="AC195" s="1">
        <f>IF(COUNTIF($G$2:G195,G195)=1,ROW()-1,ROWS(Clean_Data[OrderID])+1)</f>
        <v>901</v>
      </c>
      <c r="AD195" s="1">
        <f>IF(COUNTIF($H$2:H195,H195)=1,ROW()-1,ROWS(Clean_Data[OrderID])+1)</f>
        <v>901</v>
      </c>
      <c r="AE195" s="1">
        <f>IF(COUNTIF($V$2:V195,V195)=1,V195,ROWS(Clean_Data[OrderID])+1)</f>
        <v>901</v>
      </c>
      <c r="AF195" s="1">
        <f>IF(COUNTIF($U$2:U195,U195)=1,U195,ROWS(Clean_Data[OrderID])+1)</f>
        <v>901</v>
      </c>
      <c r="AG195" s="1">
        <f>IF(COUNTIF($E$2:E195,E195)=1,ROW()-1,ROWS(Clean_Data[OrderID])+1)</f>
        <v>901</v>
      </c>
    </row>
    <row r="196" spans="1:33" ht="20" customHeight="1">
      <c r="A196" s="3" t="s">
        <v>467</v>
      </c>
      <c r="B196" s="2">
        <v>46272</v>
      </c>
      <c r="C196" s="3">
        <v>9</v>
      </c>
      <c r="D196" s="3" t="s">
        <v>468</v>
      </c>
      <c r="E196" s="3" t="s">
        <v>117</v>
      </c>
      <c r="F196" s="3" t="s">
        <v>98</v>
      </c>
      <c r="G196" s="3" t="s">
        <v>93</v>
      </c>
      <c r="H196" s="3" t="s">
        <v>146</v>
      </c>
      <c r="I196" s="3">
        <v>3</v>
      </c>
      <c r="J196" s="11">
        <v>110</v>
      </c>
      <c r="K196" s="4">
        <v>0</v>
      </c>
      <c r="L196" s="3" t="s">
        <v>95</v>
      </c>
      <c r="M196" s="3">
        <v>35</v>
      </c>
      <c r="N196" s="3">
        <v>7</v>
      </c>
      <c r="O196" s="3">
        <v>4</v>
      </c>
      <c r="P196" s="11">
        <f>Clean_Data[[#This Row],[Quantity]]*Clean_Data[[#This Row],[UnitPrice]]</f>
        <v>330</v>
      </c>
      <c r="Q196" s="11">
        <f>ROUND(Clean_Data[[#This Row],[GrossSales]]*Clean_Data[[#This Row],[DiscountPct]],2)</f>
        <v>0</v>
      </c>
      <c r="R196" s="11">
        <f>IF(Clean_Data[[#This Row],[Status]]="Delivered",ROUND(Clean_Data[[#This Row],[GrossSales]]-Clean_Data[[#This Row],[DiscountAmount]],2),0)</f>
        <v>330</v>
      </c>
      <c r="S196" s="3" t="str">
        <f>IF(Clean_Data[[#This Row],[OrderHour]]&lt;6,"Night",IF(Clean_Data[[#This Row],[OrderHour]]&lt;12,"Morning",IF(Clean_Data[[#This Row],[OrderHour]]&lt;18,"Afternoon","Evening")))</f>
        <v>Morning</v>
      </c>
      <c r="T196" s="3" t="str">
        <f>TEXT(Clean_Data[[#This Row],[OrderDate]],"[$-409]ddd")</f>
        <v>Mon</v>
      </c>
      <c r="U196" s="3">
        <f>WEEKDAY(Clean_Data[[#This Row],[OrderDate]],2)</f>
        <v>1</v>
      </c>
      <c r="V196" s="3">
        <f>INT(Clean_Data[[#This Row],[OrderHour]]/6)+1</f>
        <v>2</v>
      </c>
      <c r="W196" s="3">
        <f>IF(Clean_Data[[#This Row],[Status]]="Delivered",1,0)</f>
        <v>1</v>
      </c>
      <c r="X196" s="3">
        <f>IF(Clean_Data[[#This Row],[Status]]="Delivered",IF(Clean_Data[[#This Row],[DeliveryMinutes]]&lt;=Dashboard!$X$5,1,0),0)</f>
        <v>0</v>
      </c>
      <c r="Y1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6" s="3">
        <f>IF(AND(Clean_Data[[#This Row],[Include]]=1,Clean_Data[[#This Row],[DeliveredFlag]]=1),1,0)</f>
        <v>1</v>
      </c>
      <c r="AA196" s="1">
        <f>IF(COUNTIF($D$2:D196,D196)=1,ROW()-1,ROWS(Clean_Data[OrderID])+1)</f>
        <v>195</v>
      </c>
      <c r="AB196" s="1">
        <f>IF(COUNTIF($F$2:F196,F196)=1,ROW()-1,ROWS(Clean_Data[OrderID])+1)</f>
        <v>901</v>
      </c>
      <c r="AC196" s="1">
        <f>IF(COUNTIF($G$2:G196,G196)=1,ROW()-1,ROWS(Clean_Data[OrderID])+1)</f>
        <v>901</v>
      </c>
      <c r="AD196" s="1">
        <f>IF(COUNTIF($H$2:H196,H196)=1,ROW()-1,ROWS(Clean_Data[OrderID])+1)</f>
        <v>901</v>
      </c>
      <c r="AE196" s="1">
        <f>IF(COUNTIF($V$2:V196,V196)=1,V196,ROWS(Clean_Data[OrderID])+1)</f>
        <v>901</v>
      </c>
      <c r="AF196" s="1">
        <f>IF(COUNTIF($U$2:U196,U196)=1,U196,ROWS(Clean_Data[OrderID])+1)</f>
        <v>901</v>
      </c>
      <c r="AG196" s="1">
        <f>IF(COUNTIF($E$2:E196,E196)=1,ROW()-1,ROWS(Clean_Data[OrderID])+1)</f>
        <v>901</v>
      </c>
    </row>
    <row r="197" spans="1:33" ht="20" customHeight="1">
      <c r="A197" s="3" t="s">
        <v>469</v>
      </c>
      <c r="B197" s="2">
        <v>46272</v>
      </c>
      <c r="C197" s="3">
        <v>7</v>
      </c>
      <c r="D197" s="3" t="s">
        <v>152</v>
      </c>
      <c r="E197" s="3" t="s">
        <v>117</v>
      </c>
      <c r="F197" s="3" t="s">
        <v>121</v>
      </c>
      <c r="G197" s="3" t="s">
        <v>93</v>
      </c>
      <c r="H197" s="3" t="s">
        <v>118</v>
      </c>
      <c r="I197" s="3">
        <v>5</v>
      </c>
      <c r="J197" s="11">
        <v>45</v>
      </c>
      <c r="K197" s="4">
        <v>0.1</v>
      </c>
      <c r="L197" s="3" t="s">
        <v>95</v>
      </c>
      <c r="M197" s="3">
        <v>28</v>
      </c>
      <c r="N197" s="3">
        <v>7</v>
      </c>
      <c r="O197" s="3">
        <v>4</v>
      </c>
      <c r="P197" s="11">
        <f>Clean_Data[[#This Row],[Quantity]]*Clean_Data[[#This Row],[UnitPrice]]</f>
        <v>225</v>
      </c>
      <c r="Q197" s="11">
        <f>ROUND(Clean_Data[[#This Row],[GrossSales]]*Clean_Data[[#This Row],[DiscountPct]],2)</f>
        <v>22.5</v>
      </c>
      <c r="R197" s="11">
        <f>IF(Clean_Data[[#This Row],[Status]]="Delivered",ROUND(Clean_Data[[#This Row],[GrossSales]]-Clean_Data[[#This Row],[DiscountAmount]],2),0)</f>
        <v>202.5</v>
      </c>
      <c r="S197" s="3" t="str">
        <f>IF(Clean_Data[[#This Row],[OrderHour]]&lt;6,"Night",IF(Clean_Data[[#This Row],[OrderHour]]&lt;12,"Morning",IF(Clean_Data[[#This Row],[OrderHour]]&lt;18,"Afternoon","Evening")))</f>
        <v>Morning</v>
      </c>
      <c r="T197" s="3" t="str">
        <f>TEXT(Clean_Data[[#This Row],[OrderDate]],"[$-409]ddd")</f>
        <v>Mon</v>
      </c>
      <c r="U197" s="3">
        <f>WEEKDAY(Clean_Data[[#This Row],[OrderDate]],2)</f>
        <v>1</v>
      </c>
      <c r="V197" s="3">
        <f>INT(Clean_Data[[#This Row],[OrderHour]]/6)+1</f>
        <v>2</v>
      </c>
      <c r="W197" s="3">
        <f>IF(Clean_Data[[#This Row],[Status]]="Delivered",1,0)</f>
        <v>1</v>
      </c>
      <c r="X197" s="3">
        <f>IF(Clean_Data[[#This Row],[Status]]="Delivered",IF(Clean_Data[[#This Row],[DeliveryMinutes]]&lt;=Dashboard!$X$5,1,0),0)</f>
        <v>1</v>
      </c>
      <c r="Y1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7" s="3">
        <f>IF(AND(Clean_Data[[#This Row],[Include]]=1,Clean_Data[[#This Row],[DeliveredFlag]]=1),1,0)</f>
        <v>1</v>
      </c>
      <c r="AA197" s="1">
        <f>IF(COUNTIF($D$2:D197,D197)=1,ROW()-1,ROWS(Clean_Data[OrderID])+1)</f>
        <v>901</v>
      </c>
      <c r="AB197" s="1">
        <f>IF(COUNTIF($F$2:F197,F197)=1,ROW()-1,ROWS(Clean_Data[OrderID])+1)</f>
        <v>901</v>
      </c>
      <c r="AC197" s="1">
        <f>IF(COUNTIF($G$2:G197,G197)=1,ROW()-1,ROWS(Clean_Data[OrderID])+1)</f>
        <v>901</v>
      </c>
      <c r="AD197" s="1">
        <f>IF(COUNTIF($H$2:H197,H197)=1,ROW()-1,ROWS(Clean_Data[OrderID])+1)</f>
        <v>901</v>
      </c>
      <c r="AE197" s="1">
        <f>IF(COUNTIF($V$2:V197,V197)=1,V197,ROWS(Clean_Data[OrderID])+1)</f>
        <v>901</v>
      </c>
      <c r="AF197" s="1">
        <f>IF(COUNTIF($U$2:U197,U197)=1,U197,ROWS(Clean_Data[OrderID])+1)</f>
        <v>901</v>
      </c>
      <c r="AG197" s="1">
        <f>IF(COUNTIF($E$2:E197,E197)=1,ROW()-1,ROWS(Clean_Data[OrderID])+1)</f>
        <v>901</v>
      </c>
    </row>
    <row r="198" spans="1:33" ht="20" customHeight="1">
      <c r="A198" s="3" t="s">
        <v>470</v>
      </c>
      <c r="B198" s="2">
        <v>46272</v>
      </c>
      <c r="C198" s="3">
        <v>18</v>
      </c>
      <c r="D198" s="3" t="s">
        <v>332</v>
      </c>
      <c r="E198" s="3" t="s">
        <v>91</v>
      </c>
      <c r="F198" s="3" t="s">
        <v>98</v>
      </c>
      <c r="G198" s="3" t="s">
        <v>110</v>
      </c>
      <c r="H198" s="3" t="s">
        <v>111</v>
      </c>
      <c r="I198" s="3">
        <v>4</v>
      </c>
      <c r="J198" s="11">
        <v>115</v>
      </c>
      <c r="K198" s="4">
        <v>0</v>
      </c>
      <c r="L198" s="3" t="s">
        <v>95</v>
      </c>
      <c r="M198" s="3">
        <v>29</v>
      </c>
      <c r="N198" s="3">
        <v>5</v>
      </c>
      <c r="O198" s="3">
        <v>4</v>
      </c>
      <c r="P198" s="11">
        <f>Clean_Data[[#This Row],[Quantity]]*Clean_Data[[#This Row],[UnitPrice]]</f>
        <v>460</v>
      </c>
      <c r="Q198" s="11">
        <f>ROUND(Clean_Data[[#This Row],[GrossSales]]*Clean_Data[[#This Row],[DiscountPct]],2)</f>
        <v>0</v>
      </c>
      <c r="R198" s="11">
        <f>IF(Clean_Data[[#This Row],[Status]]="Delivered",ROUND(Clean_Data[[#This Row],[GrossSales]]-Clean_Data[[#This Row],[DiscountAmount]],2),0)</f>
        <v>460</v>
      </c>
      <c r="S198" s="3" t="str">
        <f>IF(Clean_Data[[#This Row],[OrderHour]]&lt;6,"Night",IF(Clean_Data[[#This Row],[OrderHour]]&lt;12,"Morning",IF(Clean_Data[[#This Row],[OrderHour]]&lt;18,"Afternoon","Evening")))</f>
        <v>Evening</v>
      </c>
      <c r="T198" s="3" t="str">
        <f>TEXT(Clean_Data[[#This Row],[OrderDate]],"[$-409]ddd")</f>
        <v>Mon</v>
      </c>
      <c r="U198" s="3">
        <f>WEEKDAY(Clean_Data[[#This Row],[OrderDate]],2)</f>
        <v>1</v>
      </c>
      <c r="V198" s="3">
        <f>INT(Clean_Data[[#This Row],[OrderHour]]/6)+1</f>
        <v>4</v>
      </c>
      <c r="W198" s="3">
        <f>IF(Clean_Data[[#This Row],[Status]]="Delivered",1,0)</f>
        <v>1</v>
      </c>
      <c r="X198" s="3">
        <f>IF(Clean_Data[[#This Row],[Status]]="Delivered",IF(Clean_Data[[#This Row],[DeliveryMinutes]]&lt;=Dashboard!$X$5,1,0),0)</f>
        <v>1</v>
      </c>
      <c r="Y1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8" s="3">
        <f>IF(AND(Clean_Data[[#This Row],[Include]]=1,Clean_Data[[#This Row],[DeliveredFlag]]=1),1,0)</f>
        <v>1</v>
      </c>
      <c r="AA198" s="1">
        <f>IF(COUNTIF($D$2:D198,D198)=1,ROW()-1,ROWS(Clean_Data[OrderID])+1)</f>
        <v>901</v>
      </c>
      <c r="AB198" s="1">
        <f>IF(COUNTIF($F$2:F198,F198)=1,ROW()-1,ROWS(Clean_Data[OrderID])+1)</f>
        <v>901</v>
      </c>
      <c r="AC198" s="1">
        <f>IF(COUNTIF($G$2:G198,G198)=1,ROW()-1,ROWS(Clean_Data[OrderID])+1)</f>
        <v>901</v>
      </c>
      <c r="AD198" s="1">
        <f>IF(COUNTIF($H$2:H198,H198)=1,ROW()-1,ROWS(Clean_Data[OrderID])+1)</f>
        <v>901</v>
      </c>
      <c r="AE198" s="1">
        <f>IF(COUNTIF($V$2:V198,V198)=1,V198,ROWS(Clean_Data[OrderID])+1)</f>
        <v>901</v>
      </c>
      <c r="AF198" s="1">
        <f>IF(COUNTIF($U$2:U198,U198)=1,U198,ROWS(Clean_Data[OrderID])+1)</f>
        <v>901</v>
      </c>
      <c r="AG198" s="1">
        <f>IF(COUNTIF($E$2:E198,E198)=1,ROW()-1,ROWS(Clean_Data[OrderID])+1)</f>
        <v>901</v>
      </c>
    </row>
    <row r="199" spans="1:33" ht="20" customHeight="1">
      <c r="A199" s="3" t="s">
        <v>471</v>
      </c>
      <c r="B199" s="2">
        <v>46272</v>
      </c>
      <c r="C199" s="3">
        <v>19</v>
      </c>
      <c r="D199" s="3" t="s">
        <v>392</v>
      </c>
      <c r="E199" s="3" t="s">
        <v>91</v>
      </c>
      <c r="F199" s="3" t="s">
        <v>139</v>
      </c>
      <c r="G199" s="3" t="s">
        <v>93</v>
      </c>
      <c r="H199" s="3" t="s">
        <v>118</v>
      </c>
      <c r="I199" s="3">
        <v>2</v>
      </c>
      <c r="J199" s="11">
        <v>45</v>
      </c>
      <c r="K199" s="4">
        <v>0</v>
      </c>
      <c r="L199" s="3" t="s">
        <v>95</v>
      </c>
      <c r="M199" s="3">
        <v>20</v>
      </c>
      <c r="N199" s="3">
        <v>8</v>
      </c>
      <c r="O199" s="3">
        <v>4</v>
      </c>
      <c r="P199" s="11">
        <f>Clean_Data[[#This Row],[Quantity]]*Clean_Data[[#This Row],[UnitPrice]]</f>
        <v>90</v>
      </c>
      <c r="Q199" s="11">
        <f>ROUND(Clean_Data[[#This Row],[GrossSales]]*Clean_Data[[#This Row],[DiscountPct]],2)</f>
        <v>0</v>
      </c>
      <c r="R199" s="11">
        <f>IF(Clean_Data[[#This Row],[Status]]="Delivered",ROUND(Clean_Data[[#This Row],[GrossSales]]-Clean_Data[[#This Row],[DiscountAmount]],2),0)</f>
        <v>90</v>
      </c>
      <c r="S199" s="3" t="str">
        <f>IF(Clean_Data[[#This Row],[OrderHour]]&lt;6,"Night",IF(Clean_Data[[#This Row],[OrderHour]]&lt;12,"Morning",IF(Clean_Data[[#This Row],[OrderHour]]&lt;18,"Afternoon","Evening")))</f>
        <v>Evening</v>
      </c>
      <c r="T199" s="3" t="str">
        <f>TEXT(Clean_Data[[#This Row],[OrderDate]],"[$-409]ddd")</f>
        <v>Mon</v>
      </c>
      <c r="U199" s="3">
        <f>WEEKDAY(Clean_Data[[#This Row],[OrderDate]],2)</f>
        <v>1</v>
      </c>
      <c r="V199" s="3">
        <f>INT(Clean_Data[[#This Row],[OrderHour]]/6)+1</f>
        <v>4</v>
      </c>
      <c r="W199" s="3">
        <f>IF(Clean_Data[[#This Row],[Status]]="Delivered",1,0)</f>
        <v>1</v>
      </c>
      <c r="X199" s="3">
        <f>IF(Clean_Data[[#This Row],[Status]]="Delivered",IF(Clean_Data[[#This Row],[DeliveryMinutes]]&lt;=Dashboard!$X$5,1,0),0)</f>
        <v>1</v>
      </c>
      <c r="Y1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199" s="3">
        <f>IF(AND(Clean_Data[[#This Row],[Include]]=1,Clean_Data[[#This Row],[DeliveredFlag]]=1),1,0)</f>
        <v>1</v>
      </c>
      <c r="AA199" s="1">
        <f>IF(COUNTIF($D$2:D199,D199)=1,ROW()-1,ROWS(Clean_Data[OrderID])+1)</f>
        <v>901</v>
      </c>
      <c r="AB199" s="1">
        <f>IF(COUNTIF($F$2:F199,F199)=1,ROW()-1,ROWS(Clean_Data[OrderID])+1)</f>
        <v>901</v>
      </c>
      <c r="AC199" s="1">
        <f>IF(COUNTIF($G$2:G199,G199)=1,ROW()-1,ROWS(Clean_Data[OrderID])+1)</f>
        <v>901</v>
      </c>
      <c r="AD199" s="1">
        <f>IF(COUNTIF($H$2:H199,H199)=1,ROW()-1,ROWS(Clean_Data[OrderID])+1)</f>
        <v>901</v>
      </c>
      <c r="AE199" s="1">
        <f>IF(COUNTIF($V$2:V199,V199)=1,V199,ROWS(Clean_Data[OrderID])+1)</f>
        <v>901</v>
      </c>
      <c r="AF199" s="1">
        <f>IF(COUNTIF($U$2:U199,U199)=1,U199,ROWS(Clean_Data[OrderID])+1)</f>
        <v>901</v>
      </c>
      <c r="AG199" s="1">
        <f>IF(COUNTIF($E$2:E199,E199)=1,ROW()-1,ROWS(Clean_Data[OrderID])+1)</f>
        <v>901</v>
      </c>
    </row>
    <row r="200" spans="1:33" ht="20" customHeight="1">
      <c r="A200" s="3" t="s">
        <v>472</v>
      </c>
      <c r="B200" s="2">
        <v>46272</v>
      </c>
      <c r="C200" s="3">
        <v>6</v>
      </c>
      <c r="D200" s="3" t="s">
        <v>337</v>
      </c>
      <c r="E200" s="3" t="s">
        <v>117</v>
      </c>
      <c r="F200" s="3" t="s">
        <v>109</v>
      </c>
      <c r="G200" s="3" t="s">
        <v>135</v>
      </c>
      <c r="H200" s="3" t="s">
        <v>217</v>
      </c>
      <c r="I200" s="3">
        <v>4</v>
      </c>
      <c r="J200" s="11">
        <v>65</v>
      </c>
      <c r="K200" s="4">
        <v>0.15</v>
      </c>
      <c r="L200" s="3" t="s">
        <v>95</v>
      </c>
      <c r="M200" s="3">
        <v>17</v>
      </c>
      <c r="N200" s="3">
        <v>11</v>
      </c>
      <c r="O200" s="3">
        <v>4</v>
      </c>
      <c r="P200" s="11">
        <f>Clean_Data[[#This Row],[Quantity]]*Clean_Data[[#This Row],[UnitPrice]]</f>
        <v>260</v>
      </c>
      <c r="Q200" s="11">
        <f>ROUND(Clean_Data[[#This Row],[GrossSales]]*Clean_Data[[#This Row],[DiscountPct]],2)</f>
        <v>39</v>
      </c>
      <c r="R200" s="11">
        <f>IF(Clean_Data[[#This Row],[Status]]="Delivered",ROUND(Clean_Data[[#This Row],[GrossSales]]-Clean_Data[[#This Row],[DiscountAmount]],2),0)</f>
        <v>221</v>
      </c>
      <c r="S200" s="3" t="str">
        <f>IF(Clean_Data[[#This Row],[OrderHour]]&lt;6,"Night",IF(Clean_Data[[#This Row],[OrderHour]]&lt;12,"Morning",IF(Clean_Data[[#This Row],[OrderHour]]&lt;18,"Afternoon","Evening")))</f>
        <v>Morning</v>
      </c>
      <c r="T200" s="3" t="str">
        <f>TEXT(Clean_Data[[#This Row],[OrderDate]],"[$-409]ddd")</f>
        <v>Mon</v>
      </c>
      <c r="U200" s="3">
        <f>WEEKDAY(Clean_Data[[#This Row],[OrderDate]],2)</f>
        <v>1</v>
      </c>
      <c r="V200" s="3">
        <f>INT(Clean_Data[[#This Row],[OrderHour]]/6)+1</f>
        <v>2</v>
      </c>
      <c r="W200" s="3">
        <f>IF(Clean_Data[[#This Row],[Status]]="Delivered",1,0)</f>
        <v>1</v>
      </c>
      <c r="X200" s="3">
        <f>IF(Clean_Data[[#This Row],[Status]]="Delivered",IF(Clean_Data[[#This Row],[DeliveryMinutes]]&lt;=Dashboard!$X$5,1,0),0)</f>
        <v>1</v>
      </c>
      <c r="Y2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0" s="3">
        <f>IF(AND(Clean_Data[[#This Row],[Include]]=1,Clean_Data[[#This Row],[DeliveredFlag]]=1),1,0)</f>
        <v>1</v>
      </c>
      <c r="AA200" s="1">
        <f>IF(COUNTIF($D$2:D200,D200)=1,ROW()-1,ROWS(Clean_Data[OrderID])+1)</f>
        <v>901</v>
      </c>
      <c r="AB200" s="1">
        <f>IF(COUNTIF($F$2:F200,F200)=1,ROW()-1,ROWS(Clean_Data[OrderID])+1)</f>
        <v>901</v>
      </c>
      <c r="AC200" s="1">
        <f>IF(COUNTIF($G$2:G200,G200)=1,ROW()-1,ROWS(Clean_Data[OrderID])+1)</f>
        <v>901</v>
      </c>
      <c r="AD200" s="1">
        <f>IF(COUNTIF($H$2:H200,H200)=1,ROW()-1,ROWS(Clean_Data[OrderID])+1)</f>
        <v>901</v>
      </c>
      <c r="AE200" s="1">
        <f>IF(COUNTIF($V$2:V200,V200)=1,V200,ROWS(Clean_Data[OrderID])+1)</f>
        <v>901</v>
      </c>
      <c r="AF200" s="1">
        <f>IF(COUNTIF($U$2:U200,U200)=1,U200,ROWS(Clean_Data[OrderID])+1)</f>
        <v>901</v>
      </c>
      <c r="AG200" s="1">
        <f>IF(COUNTIF($E$2:E200,E200)=1,ROW()-1,ROWS(Clean_Data[OrderID])+1)</f>
        <v>901</v>
      </c>
    </row>
    <row r="201" spans="1:33" ht="20" customHeight="1">
      <c r="A201" s="3" t="s">
        <v>473</v>
      </c>
      <c r="B201" s="2">
        <v>46272</v>
      </c>
      <c r="C201" s="3">
        <v>19</v>
      </c>
      <c r="D201" s="3" t="s">
        <v>474</v>
      </c>
      <c r="E201" s="3" t="s">
        <v>91</v>
      </c>
      <c r="F201" s="3" t="s">
        <v>109</v>
      </c>
      <c r="G201" s="3" t="s">
        <v>110</v>
      </c>
      <c r="H201" s="3" t="s">
        <v>114</v>
      </c>
      <c r="I201" s="3">
        <v>3</v>
      </c>
      <c r="J201" s="11">
        <v>145</v>
      </c>
      <c r="K201" s="4">
        <v>0</v>
      </c>
      <c r="L201" s="3" t="s">
        <v>95</v>
      </c>
      <c r="M201" s="3">
        <v>30</v>
      </c>
      <c r="N201" s="3">
        <v>7</v>
      </c>
      <c r="O201" s="3">
        <v>4</v>
      </c>
      <c r="P201" s="11">
        <f>Clean_Data[[#This Row],[Quantity]]*Clean_Data[[#This Row],[UnitPrice]]</f>
        <v>435</v>
      </c>
      <c r="Q201" s="11">
        <f>ROUND(Clean_Data[[#This Row],[GrossSales]]*Clean_Data[[#This Row],[DiscountPct]],2)</f>
        <v>0</v>
      </c>
      <c r="R201" s="11">
        <f>IF(Clean_Data[[#This Row],[Status]]="Delivered",ROUND(Clean_Data[[#This Row],[GrossSales]]-Clean_Data[[#This Row],[DiscountAmount]],2),0)</f>
        <v>435</v>
      </c>
      <c r="S201" s="3" t="str">
        <f>IF(Clean_Data[[#This Row],[OrderHour]]&lt;6,"Night",IF(Clean_Data[[#This Row],[OrderHour]]&lt;12,"Morning",IF(Clean_Data[[#This Row],[OrderHour]]&lt;18,"Afternoon","Evening")))</f>
        <v>Evening</v>
      </c>
      <c r="T201" s="3" t="str">
        <f>TEXT(Clean_Data[[#This Row],[OrderDate]],"[$-409]ddd")</f>
        <v>Mon</v>
      </c>
      <c r="U201" s="3">
        <f>WEEKDAY(Clean_Data[[#This Row],[OrderDate]],2)</f>
        <v>1</v>
      </c>
      <c r="V201" s="3">
        <f>INT(Clean_Data[[#This Row],[OrderHour]]/6)+1</f>
        <v>4</v>
      </c>
      <c r="W201" s="3">
        <f>IF(Clean_Data[[#This Row],[Status]]="Delivered",1,0)</f>
        <v>1</v>
      </c>
      <c r="X201" s="3">
        <f>IF(Clean_Data[[#This Row],[Status]]="Delivered",IF(Clean_Data[[#This Row],[DeliveryMinutes]]&lt;=Dashboard!$X$5,1,0),0)</f>
        <v>1</v>
      </c>
      <c r="Y2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1" s="3">
        <f>IF(AND(Clean_Data[[#This Row],[Include]]=1,Clean_Data[[#This Row],[DeliveredFlag]]=1),1,0)</f>
        <v>1</v>
      </c>
      <c r="AA201" s="1">
        <f>IF(COUNTIF($D$2:D201,D201)=1,ROW()-1,ROWS(Clean_Data[OrderID])+1)</f>
        <v>200</v>
      </c>
      <c r="AB201" s="1">
        <f>IF(COUNTIF($F$2:F201,F201)=1,ROW()-1,ROWS(Clean_Data[OrderID])+1)</f>
        <v>901</v>
      </c>
      <c r="AC201" s="1">
        <f>IF(COUNTIF($G$2:G201,G201)=1,ROW()-1,ROWS(Clean_Data[OrderID])+1)</f>
        <v>901</v>
      </c>
      <c r="AD201" s="1">
        <f>IF(COUNTIF($H$2:H201,H201)=1,ROW()-1,ROWS(Clean_Data[OrderID])+1)</f>
        <v>901</v>
      </c>
      <c r="AE201" s="1">
        <f>IF(COUNTIF($V$2:V201,V201)=1,V201,ROWS(Clean_Data[OrderID])+1)</f>
        <v>901</v>
      </c>
      <c r="AF201" s="1">
        <f>IF(COUNTIF($U$2:U201,U201)=1,U201,ROWS(Clean_Data[OrderID])+1)</f>
        <v>901</v>
      </c>
      <c r="AG201" s="1">
        <f>IF(COUNTIF($E$2:E201,E201)=1,ROW()-1,ROWS(Clean_Data[OrderID])+1)</f>
        <v>901</v>
      </c>
    </row>
    <row r="202" spans="1:33" ht="20" customHeight="1">
      <c r="A202" s="3" t="s">
        <v>475</v>
      </c>
      <c r="B202" s="2">
        <v>46272</v>
      </c>
      <c r="C202" s="3">
        <v>16</v>
      </c>
      <c r="D202" s="3" t="s">
        <v>287</v>
      </c>
      <c r="E202" s="3" t="s">
        <v>91</v>
      </c>
      <c r="F202" s="3" t="s">
        <v>92</v>
      </c>
      <c r="G202" s="3" t="s">
        <v>122</v>
      </c>
      <c r="H202" s="3" t="s">
        <v>153</v>
      </c>
      <c r="I202" s="3">
        <v>3</v>
      </c>
      <c r="J202" s="11">
        <v>130</v>
      </c>
      <c r="K202" s="4">
        <v>0</v>
      </c>
      <c r="L202" s="3" t="s">
        <v>95</v>
      </c>
      <c r="M202" s="3">
        <v>31</v>
      </c>
      <c r="N202" s="3">
        <v>10</v>
      </c>
      <c r="O202" s="3">
        <v>5</v>
      </c>
      <c r="P202" s="11">
        <f>Clean_Data[[#This Row],[Quantity]]*Clean_Data[[#This Row],[UnitPrice]]</f>
        <v>390</v>
      </c>
      <c r="Q202" s="11">
        <f>ROUND(Clean_Data[[#This Row],[GrossSales]]*Clean_Data[[#This Row],[DiscountPct]],2)</f>
        <v>0</v>
      </c>
      <c r="R202" s="11">
        <f>IF(Clean_Data[[#This Row],[Status]]="Delivered",ROUND(Clean_Data[[#This Row],[GrossSales]]-Clean_Data[[#This Row],[DiscountAmount]],2),0)</f>
        <v>390</v>
      </c>
      <c r="S202" s="3" t="str">
        <f>IF(Clean_Data[[#This Row],[OrderHour]]&lt;6,"Night",IF(Clean_Data[[#This Row],[OrderHour]]&lt;12,"Morning",IF(Clean_Data[[#This Row],[OrderHour]]&lt;18,"Afternoon","Evening")))</f>
        <v>Afternoon</v>
      </c>
      <c r="T202" s="3" t="str">
        <f>TEXT(Clean_Data[[#This Row],[OrderDate]],"[$-409]ddd")</f>
        <v>Mon</v>
      </c>
      <c r="U202" s="3">
        <f>WEEKDAY(Clean_Data[[#This Row],[OrderDate]],2)</f>
        <v>1</v>
      </c>
      <c r="V202" s="3">
        <f>INT(Clean_Data[[#This Row],[OrderHour]]/6)+1</f>
        <v>3</v>
      </c>
      <c r="W202" s="3">
        <f>IF(Clean_Data[[#This Row],[Status]]="Delivered",1,0)</f>
        <v>1</v>
      </c>
      <c r="X202" s="3">
        <f>IF(Clean_Data[[#This Row],[Status]]="Delivered",IF(Clean_Data[[#This Row],[DeliveryMinutes]]&lt;=Dashboard!$X$5,1,0),0)</f>
        <v>0</v>
      </c>
      <c r="Y2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2" s="3">
        <f>IF(AND(Clean_Data[[#This Row],[Include]]=1,Clean_Data[[#This Row],[DeliveredFlag]]=1),1,0)</f>
        <v>1</v>
      </c>
      <c r="AA202" s="1">
        <f>IF(COUNTIF($D$2:D202,D202)=1,ROW()-1,ROWS(Clean_Data[OrderID])+1)</f>
        <v>901</v>
      </c>
      <c r="AB202" s="1">
        <f>IF(COUNTIF($F$2:F202,F202)=1,ROW()-1,ROWS(Clean_Data[OrderID])+1)</f>
        <v>901</v>
      </c>
      <c r="AC202" s="1">
        <f>IF(COUNTIF($G$2:G202,G202)=1,ROW()-1,ROWS(Clean_Data[OrderID])+1)</f>
        <v>901</v>
      </c>
      <c r="AD202" s="1">
        <f>IF(COUNTIF($H$2:H202,H202)=1,ROW()-1,ROWS(Clean_Data[OrderID])+1)</f>
        <v>901</v>
      </c>
      <c r="AE202" s="1">
        <f>IF(COUNTIF($V$2:V202,V202)=1,V202,ROWS(Clean_Data[OrderID])+1)</f>
        <v>901</v>
      </c>
      <c r="AF202" s="1">
        <f>IF(COUNTIF($U$2:U202,U202)=1,U202,ROWS(Clean_Data[OrderID])+1)</f>
        <v>901</v>
      </c>
      <c r="AG202" s="1">
        <f>IF(COUNTIF($E$2:E202,E202)=1,ROW()-1,ROWS(Clean_Data[OrderID])+1)</f>
        <v>901</v>
      </c>
    </row>
    <row r="203" spans="1:33" ht="20" customHeight="1">
      <c r="A203" s="3" t="s">
        <v>476</v>
      </c>
      <c r="B203" s="2">
        <v>46272</v>
      </c>
      <c r="C203" s="3">
        <v>10</v>
      </c>
      <c r="D203" s="3" t="s">
        <v>477</v>
      </c>
      <c r="E203" s="3" t="s">
        <v>91</v>
      </c>
      <c r="F203" s="3" t="s">
        <v>98</v>
      </c>
      <c r="G203" s="3" t="s">
        <v>122</v>
      </c>
      <c r="H203" s="3" t="s">
        <v>123</v>
      </c>
      <c r="I203" s="3">
        <v>5</v>
      </c>
      <c r="J203" s="11">
        <v>45</v>
      </c>
      <c r="K203" s="4">
        <v>0</v>
      </c>
      <c r="L203" s="3" t="s">
        <v>101</v>
      </c>
      <c r="M203" s="3"/>
      <c r="N203" s="3"/>
      <c r="O203" s="3"/>
      <c r="P203" s="11">
        <f>Clean_Data[[#This Row],[Quantity]]*Clean_Data[[#This Row],[UnitPrice]]</f>
        <v>225</v>
      </c>
      <c r="Q203" s="11">
        <f>ROUND(Clean_Data[[#This Row],[GrossSales]]*Clean_Data[[#This Row],[DiscountPct]],2)</f>
        <v>0</v>
      </c>
      <c r="R203" s="11">
        <f>IF(Clean_Data[[#This Row],[Status]]="Delivered",ROUND(Clean_Data[[#This Row],[GrossSales]]-Clean_Data[[#This Row],[DiscountAmount]],2),0)</f>
        <v>0</v>
      </c>
      <c r="S203" s="3" t="str">
        <f>IF(Clean_Data[[#This Row],[OrderHour]]&lt;6,"Night",IF(Clean_Data[[#This Row],[OrderHour]]&lt;12,"Morning",IF(Clean_Data[[#This Row],[OrderHour]]&lt;18,"Afternoon","Evening")))</f>
        <v>Morning</v>
      </c>
      <c r="T203" s="3" t="str">
        <f>TEXT(Clean_Data[[#This Row],[OrderDate]],"[$-409]ddd")</f>
        <v>Mon</v>
      </c>
      <c r="U203" s="3">
        <f>WEEKDAY(Clean_Data[[#This Row],[OrderDate]],2)</f>
        <v>1</v>
      </c>
      <c r="V203" s="3">
        <f>INT(Clean_Data[[#This Row],[OrderHour]]/6)+1</f>
        <v>2</v>
      </c>
      <c r="W203" s="3">
        <f>IF(Clean_Data[[#This Row],[Status]]="Delivered",1,0)</f>
        <v>0</v>
      </c>
      <c r="X203" s="3">
        <f>IF(Clean_Data[[#This Row],[Status]]="Delivered",IF(Clean_Data[[#This Row],[DeliveryMinutes]]&lt;=Dashboard!$X$5,1,0),0)</f>
        <v>0</v>
      </c>
      <c r="Y2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3" s="3">
        <f>IF(AND(Clean_Data[[#This Row],[Include]]=1,Clean_Data[[#This Row],[DeliveredFlag]]=1),1,0)</f>
        <v>0</v>
      </c>
      <c r="AA203" s="1">
        <f>IF(COUNTIF($D$2:D203,D203)=1,ROW()-1,ROWS(Clean_Data[OrderID])+1)</f>
        <v>202</v>
      </c>
      <c r="AB203" s="1">
        <f>IF(COUNTIF($F$2:F203,F203)=1,ROW()-1,ROWS(Clean_Data[OrderID])+1)</f>
        <v>901</v>
      </c>
      <c r="AC203" s="1">
        <f>IF(COUNTIF($G$2:G203,G203)=1,ROW()-1,ROWS(Clean_Data[OrderID])+1)</f>
        <v>901</v>
      </c>
      <c r="AD203" s="1">
        <f>IF(COUNTIF($H$2:H203,H203)=1,ROW()-1,ROWS(Clean_Data[OrderID])+1)</f>
        <v>901</v>
      </c>
      <c r="AE203" s="1">
        <f>IF(COUNTIF($V$2:V203,V203)=1,V203,ROWS(Clean_Data[OrderID])+1)</f>
        <v>901</v>
      </c>
      <c r="AF203" s="1">
        <f>IF(COUNTIF($U$2:U203,U203)=1,U203,ROWS(Clean_Data[OrderID])+1)</f>
        <v>901</v>
      </c>
      <c r="AG203" s="1">
        <f>IF(COUNTIF($E$2:E203,E203)=1,ROW()-1,ROWS(Clean_Data[OrderID])+1)</f>
        <v>901</v>
      </c>
    </row>
    <row r="204" spans="1:33" ht="20" customHeight="1">
      <c r="A204" s="3" t="s">
        <v>478</v>
      </c>
      <c r="B204" s="2">
        <v>46272</v>
      </c>
      <c r="C204" s="3">
        <v>14</v>
      </c>
      <c r="D204" s="3" t="s">
        <v>479</v>
      </c>
      <c r="E204" s="3" t="s">
        <v>117</v>
      </c>
      <c r="F204" s="3" t="s">
        <v>92</v>
      </c>
      <c r="G204" s="3" t="s">
        <v>93</v>
      </c>
      <c r="H204" s="3" t="s">
        <v>118</v>
      </c>
      <c r="I204" s="3">
        <v>4</v>
      </c>
      <c r="J204" s="11">
        <v>45</v>
      </c>
      <c r="K204" s="4">
        <v>0.05</v>
      </c>
      <c r="L204" s="3" t="s">
        <v>95</v>
      </c>
      <c r="M204" s="3">
        <v>31</v>
      </c>
      <c r="N204" s="3">
        <v>8</v>
      </c>
      <c r="O204" s="3">
        <v>5</v>
      </c>
      <c r="P204" s="11">
        <f>Clean_Data[[#This Row],[Quantity]]*Clean_Data[[#This Row],[UnitPrice]]</f>
        <v>180</v>
      </c>
      <c r="Q204" s="11">
        <f>ROUND(Clean_Data[[#This Row],[GrossSales]]*Clean_Data[[#This Row],[DiscountPct]],2)</f>
        <v>9</v>
      </c>
      <c r="R204" s="11">
        <f>IF(Clean_Data[[#This Row],[Status]]="Delivered",ROUND(Clean_Data[[#This Row],[GrossSales]]-Clean_Data[[#This Row],[DiscountAmount]],2),0)</f>
        <v>171</v>
      </c>
      <c r="S204" s="3" t="str">
        <f>IF(Clean_Data[[#This Row],[OrderHour]]&lt;6,"Night",IF(Clean_Data[[#This Row],[OrderHour]]&lt;12,"Morning",IF(Clean_Data[[#This Row],[OrderHour]]&lt;18,"Afternoon","Evening")))</f>
        <v>Afternoon</v>
      </c>
      <c r="T204" s="3" t="str">
        <f>TEXT(Clean_Data[[#This Row],[OrderDate]],"[$-409]ddd")</f>
        <v>Mon</v>
      </c>
      <c r="U204" s="3">
        <f>WEEKDAY(Clean_Data[[#This Row],[OrderDate]],2)</f>
        <v>1</v>
      </c>
      <c r="V204" s="3">
        <f>INT(Clean_Data[[#This Row],[OrderHour]]/6)+1</f>
        <v>3</v>
      </c>
      <c r="W204" s="3">
        <f>IF(Clean_Data[[#This Row],[Status]]="Delivered",1,0)</f>
        <v>1</v>
      </c>
      <c r="X204" s="3">
        <f>IF(Clean_Data[[#This Row],[Status]]="Delivered",IF(Clean_Data[[#This Row],[DeliveryMinutes]]&lt;=Dashboard!$X$5,1,0),0)</f>
        <v>0</v>
      </c>
      <c r="Y2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4" s="3">
        <f>IF(AND(Clean_Data[[#This Row],[Include]]=1,Clean_Data[[#This Row],[DeliveredFlag]]=1),1,0)</f>
        <v>1</v>
      </c>
      <c r="AA204" s="1">
        <f>IF(COUNTIF($D$2:D204,D204)=1,ROW()-1,ROWS(Clean_Data[OrderID])+1)</f>
        <v>203</v>
      </c>
      <c r="AB204" s="1">
        <f>IF(COUNTIF($F$2:F204,F204)=1,ROW()-1,ROWS(Clean_Data[OrderID])+1)</f>
        <v>901</v>
      </c>
      <c r="AC204" s="1">
        <f>IF(COUNTIF($G$2:G204,G204)=1,ROW()-1,ROWS(Clean_Data[OrderID])+1)</f>
        <v>901</v>
      </c>
      <c r="AD204" s="1">
        <f>IF(COUNTIF($H$2:H204,H204)=1,ROW()-1,ROWS(Clean_Data[OrderID])+1)</f>
        <v>901</v>
      </c>
      <c r="AE204" s="1">
        <f>IF(COUNTIF($V$2:V204,V204)=1,V204,ROWS(Clean_Data[OrderID])+1)</f>
        <v>901</v>
      </c>
      <c r="AF204" s="1">
        <f>IF(COUNTIF($U$2:U204,U204)=1,U204,ROWS(Clean_Data[OrderID])+1)</f>
        <v>901</v>
      </c>
      <c r="AG204" s="1">
        <f>IF(COUNTIF($E$2:E204,E204)=1,ROW()-1,ROWS(Clean_Data[OrderID])+1)</f>
        <v>901</v>
      </c>
    </row>
    <row r="205" spans="1:33" ht="20" customHeight="1">
      <c r="A205" s="3" t="s">
        <v>480</v>
      </c>
      <c r="B205" s="2">
        <v>46272</v>
      </c>
      <c r="C205" s="3">
        <v>12</v>
      </c>
      <c r="D205" s="3" t="s">
        <v>446</v>
      </c>
      <c r="E205" s="3" t="s">
        <v>91</v>
      </c>
      <c r="F205" s="3" t="s">
        <v>139</v>
      </c>
      <c r="G205" s="3" t="s">
        <v>110</v>
      </c>
      <c r="H205" s="3" t="s">
        <v>111</v>
      </c>
      <c r="I205" s="3">
        <v>5</v>
      </c>
      <c r="J205" s="11">
        <v>115</v>
      </c>
      <c r="K205" s="4">
        <v>0</v>
      </c>
      <c r="L205" s="3" t="s">
        <v>95</v>
      </c>
      <c r="M205" s="3">
        <v>12</v>
      </c>
      <c r="N205" s="3">
        <v>10</v>
      </c>
      <c r="O205" s="3">
        <v>4</v>
      </c>
      <c r="P205" s="11">
        <f>Clean_Data[[#This Row],[Quantity]]*Clean_Data[[#This Row],[UnitPrice]]</f>
        <v>575</v>
      </c>
      <c r="Q205" s="11">
        <f>ROUND(Clean_Data[[#This Row],[GrossSales]]*Clean_Data[[#This Row],[DiscountPct]],2)</f>
        <v>0</v>
      </c>
      <c r="R205" s="11">
        <f>IF(Clean_Data[[#This Row],[Status]]="Delivered",ROUND(Clean_Data[[#This Row],[GrossSales]]-Clean_Data[[#This Row],[DiscountAmount]],2),0)</f>
        <v>575</v>
      </c>
      <c r="S205" s="3" t="str">
        <f>IF(Clean_Data[[#This Row],[OrderHour]]&lt;6,"Night",IF(Clean_Data[[#This Row],[OrderHour]]&lt;12,"Morning",IF(Clean_Data[[#This Row],[OrderHour]]&lt;18,"Afternoon","Evening")))</f>
        <v>Afternoon</v>
      </c>
      <c r="T205" s="3" t="str">
        <f>TEXT(Clean_Data[[#This Row],[OrderDate]],"[$-409]ddd")</f>
        <v>Mon</v>
      </c>
      <c r="U205" s="3">
        <f>WEEKDAY(Clean_Data[[#This Row],[OrderDate]],2)</f>
        <v>1</v>
      </c>
      <c r="V205" s="3">
        <f>INT(Clean_Data[[#This Row],[OrderHour]]/6)+1</f>
        <v>3</v>
      </c>
      <c r="W205" s="3">
        <f>IF(Clean_Data[[#This Row],[Status]]="Delivered",1,0)</f>
        <v>1</v>
      </c>
      <c r="X205" s="3">
        <f>IF(Clean_Data[[#This Row],[Status]]="Delivered",IF(Clean_Data[[#This Row],[DeliveryMinutes]]&lt;=Dashboard!$X$5,1,0),0)</f>
        <v>1</v>
      </c>
      <c r="Y2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5" s="3">
        <f>IF(AND(Clean_Data[[#This Row],[Include]]=1,Clean_Data[[#This Row],[DeliveredFlag]]=1),1,0)</f>
        <v>1</v>
      </c>
      <c r="AA205" s="1">
        <f>IF(COUNTIF($D$2:D205,D205)=1,ROW()-1,ROWS(Clean_Data[OrderID])+1)</f>
        <v>901</v>
      </c>
      <c r="AB205" s="1">
        <f>IF(COUNTIF($F$2:F205,F205)=1,ROW()-1,ROWS(Clean_Data[OrderID])+1)</f>
        <v>901</v>
      </c>
      <c r="AC205" s="1">
        <f>IF(COUNTIF($G$2:G205,G205)=1,ROW()-1,ROWS(Clean_Data[OrderID])+1)</f>
        <v>901</v>
      </c>
      <c r="AD205" s="1">
        <f>IF(COUNTIF($H$2:H205,H205)=1,ROW()-1,ROWS(Clean_Data[OrderID])+1)</f>
        <v>901</v>
      </c>
      <c r="AE205" s="1">
        <f>IF(COUNTIF($V$2:V205,V205)=1,V205,ROWS(Clean_Data[OrderID])+1)</f>
        <v>901</v>
      </c>
      <c r="AF205" s="1">
        <f>IF(COUNTIF($U$2:U205,U205)=1,U205,ROWS(Clean_Data[OrderID])+1)</f>
        <v>901</v>
      </c>
      <c r="AG205" s="1">
        <f>IF(COUNTIF($E$2:E205,E205)=1,ROW()-1,ROWS(Clean_Data[OrderID])+1)</f>
        <v>901</v>
      </c>
    </row>
    <row r="206" spans="1:33" ht="20" customHeight="1">
      <c r="A206" s="3" t="s">
        <v>481</v>
      </c>
      <c r="B206" s="2">
        <v>46272</v>
      </c>
      <c r="C206" s="3">
        <v>11</v>
      </c>
      <c r="D206" s="3" t="s">
        <v>265</v>
      </c>
      <c r="E206" s="3" t="s">
        <v>117</v>
      </c>
      <c r="F206" s="3" t="s">
        <v>92</v>
      </c>
      <c r="G206" s="3" t="s">
        <v>135</v>
      </c>
      <c r="H206" s="3" t="s">
        <v>136</v>
      </c>
      <c r="I206" s="3">
        <v>1</v>
      </c>
      <c r="J206" s="11">
        <v>40</v>
      </c>
      <c r="K206" s="4">
        <v>0</v>
      </c>
      <c r="L206" s="3" t="s">
        <v>95</v>
      </c>
      <c r="M206" s="3">
        <v>33</v>
      </c>
      <c r="N206" s="3">
        <v>7</v>
      </c>
      <c r="O206" s="3">
        <v>5</v>
      </c>
      <c r="P206" s="11">
        <f>Clean_Data[[#This Row],[Quantity]]*Clean_Data[[#This Row],[UnitPrice]]</f>
        <v>40</v>
      </c>
      <c r="Q206" s="11">
        <f>ROUND(Clean_Data[[#This Row],[GrossSales]]*Clean_Data[[#This Row],[DiscountPct]],2)</f>
        <v>0</v>
      </c>
      <c r="R206" s="11">
        <f>IF(Clean_Data[[#This Row],[Status]]="Delivered",ROUND(Clean_Data[[#This Row],[GrossSales]]-Clean_Data[[#This Row],[DiscountAmount]],2),0)</f>
        <v>40</v>
      </c>
      <c r="S206" s="3" t="str">
        <f>IF(Clean_Data[[#This Row],[OrderHour]]&lt;6,"Night",IF(Clean_Data[[#This Row],[OrderHour]]&lt;12,"Morning",IF(Clean_Data[[#This Row],[OrderHour]]&lt;18,"Afternoon","Evening")))</f>
        <v>Morning</v>
      </c>
      <c r="T206" s="3" t="str">
        <f>TEXT(Clean_Data[[#This Row],[OrderDate]],"[$-409]ddd")</f>
        <v>Mon</v>
      </c>
      <c r="U206" s="3">
        <f>WEEKDAY(Clean_Data[[#This Row],[OrderDate]],2)</f>
        <v>1</v>
      </c>
      <c r="V206" s="3">
        <f>INT(Clean_Data[[#This Row],[OrderHour]]/6)+1</f>
        <v>2</v>
      </c>
      <c r="W206" s="3">
        <f>IF(Clean_Data[[#This Row],[Status]]="Delivered",1,0)</f>
        <v>1</v>
      </c>
      <c r="X206" s="3">
        <f>IF(Clean_Data[[#This Row],[Status]]="Delivered",IF(Clean_Data[[#This Row],[DeliveryMinutes]]&lt;=Dashboard!$X$5,1,0),0)</f>
        <v>0</v>
      </c>
      <c r="Y2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6" s="3">
        <f>IF(AND(Clean_Data[[#This Row],[Include]]=1,Clean_Data[[#This Row],[DeliveredFlag]]=1),1,0)</f>
        <v>1</v>
      </c>
      <c r="AA206" s="1">
        <f>IF(COUNTIF($D$2:D206,D206)=1,ROW()-1,ROWS(Clean_Data[OrderID])+1)</f>
        <v>901</v>
      </c>
      <c r="AB206" s="1">
        <f>IF(COUNTIF($F$2:F206,F206)=1,ROW()-1,ROWS(Clean_Data[OrderID])+1)</f>
        <v>901</v>
      </c>
      <c r="AC206" s="1">
        <f>IF(COUNTIF($G$2:G206,G206)=1,ROW()-1,ROWS(Clean_Data[OrderID])+1)</f>
        <v>901</v>
      </c>
      <c r="AD206" s="1">
        <f>IF(COUNTIF($H$2:H206,H206)=1,ROW()-1,ROWS(Clean_Data[OrderID])+1)</f>
        <v>901</v>
      </c>
      <c r="AE206" s="1">
        <f>IF(COUNTIF($V$2:V206,V206)=1,V206,ROWS(Clean_Data[OrderID])+1)</f>
        <v>901</v>
      </c>
      <c r="AF206" s="1">
        <f>IF(COUNTIF($U$2:U206,U206)=1,U206,ROWS(Clean_Data[OrderID])+1)</f>
        <v>901</v>
      </c>
      <c r="AG206" s="1">
        <f>IF(COUNTIF($E$2:E206,E206)=1,ROW()-1,ROWS(Clean_Data[OrderID])+1)</f>
        <v>901</v>
      </c>
    </row>
    <row r="207" spans="1:33" ht="20" customHeight="1">
      <c r="A207" s="3" t="s">
        <v>482</v>
      </c>
      <c r="B207" s="2">
        <v>46272</v>
      </c>
      <c r="C207" s="3">
        <v>10</v>
      </c>
      <c r="D207" s="3" t="s">
        <v>159</v>
      </c>
      <c r="E207" s="3" t="s">
        <v>117</v>
      </c>
      <c r="F207" s="3" t="s">
        <v>121</v>
      </c>
      <c r="G207" s="3" t="s">
        <v>93</v>
      </c>
      <c r="H207" s="3" t="s">
        <v>94</v>
      </c>
      <c r="I207" s="3">
        <v>3</v>
      </c>
      <c r="J207" s="11">
        <v>95</v>
      </c>
      <c r="K207" s="4">
        <v>0</v>
      </c>
      <c r="L207" s="3" t="s">
        <v>95</v>
      </c>
      <c r="M207" s="3">
        <v>22</v>
      </c>
      <c r="N207" s="3">
        <v>9</v>
      </c>
      <c r="O207" s="3">
        <v>4</v>
      </c>
      <c r="P207" s="11">
        <f>Clean_Data[[#This Row],[Quantity]]*Clean_Data[[#This Row],[UnitPrice]]</f>
        <v>285</v>
      </c>
      <c r="Q207" s="11">
        <f>ROUND(Clean_Data[[#This Row],[GrossSales]]*Clean_Data[[#This Row],[DiscountPct]],2)</f>
        <v>0</v>
      </c>
      <c r="R207" s="11">
        <f>IF(Clean_Data[[#This Row],[Status]]="Delivered",ROUND(Clean_Data[[#This Row],[GrossSales]]-Clean_Data[[#This Row],[DiscountAmount]],2),0)</f>
        <v>285</v>
      </c>
      <c r="S207" s="3" t="str">
        <f>IF(Clean_Data[[#This Row],[OrderHour]]&lt;6,"Night",IF(Clean_Data[[#This Row],[OrderHour]]&lt;12,"Morning",IF(Clean_Data[[#This Row],[OrderHour]]&lt;18,"Afternoon","Evening")))</f>
        <v>Morning</v>
      </c>
      <c r="T207" s="3" t="str">
        <f>TEXT(Clean_Data[[#This Row],[OrderDate]],"[$-409]ddd")</f>
        <v>Mon</v>
      </c>
      <c r="U207" s="3">
        <f>WEEKDAY(Clean_Data[[#This Row],[OrderDate]],2)</f>
        <v>1</v>
      </c>
      <c r="V207" s="3">
        <f>INT(Clean_Data[[#This Row],[OrderHour]]/6)+1</f>
        <v>2</v>
      </c>
      <c r="W207" s="3">
        <f>IF(Clean_Data[[#This Row],[Status]]="Delivered",1,0)</f>
        <v>1</v>
      </c>
      <c r="X207" s="3">
        <f>IF(Clean_Data[[#This Row],[Status]]="Delivered",IF(Clean_Data[[#This Row],[DeliveryMinutes]]&lt;=Dashboard!$X$5,1,0),0)</f>
        <v>1</v>
      </c>
      <c r="Y2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7" s="3">
        <f>IF(AND(Clean_Data[[#This Row],[Include]]=1,Clean_Data[[#This Row],[DeliveredFlag]]=1),1,0)</f>
        <v>1</v>
      </c>
      <c r="AA207" s="1">
        <f>IF(COUNTIF($D$2:D207,D207)=1,ROW()-1,ROWS(Clean_Data[OrderID])+1)</f>
        <v>901</v>
      </c>
      <c r="AB207" s="1">
        <f>IF(COUNTIF($F$2:F207,F207)=1,ROW()-1,ROWS(Clean_Data[OrderID])+1)</f>
        <v>901</v>
      </c>
      <c r="AC207" s="1">
        <f>IF(COUNTIF($G$2:G207,G207)=1,ROW()-1,ROWS(Clean_Data[OrderID])+1)</f>
        <v>901</v>
      </c>
      <c r="AD207" s="1">
        <f>IF(COUNTIF($H$2:H207,H207)=1,ROW()-1,ROWS(Clean_Data[OrderID])+1)</f>
        <v>901</v>
      </c>
      <c r="AE207" s="1">
        <f>IF(COUNTIF($V$2:V207,V207)=1,V207,ROWS(Clean_Data[OrderID])+1)</f>
        <v>901</v>
      </c>
      <c r="AF207" s="1">
        <f>IF(COUNTIF($U$2:U207,U207)=1,U207,ROWS(Clean_Data[OrderID])+1)</f>
        <v>901</v>
      </c>
      <c r="AG207" s="1">
        <f>IF(COUNTIF($E$2:E207,E207)=1,ROW()-1,ROWS(Clean_Data[OrderID])+1)</f>
        <v>901</v>
      </c>
    </row>
    <row r="208" spans="1:33" ht="20" customHeight="1">
      <c r="A208" s="3" t="s">
        <v>483</v>
      </c>
      <c r="B208" s="2">
        <v>46272</v>
      </c>
      <c r="C208" s="3">
        <v>7</v>
      </c>
      <c r="D208" s="3" t="s">
        <v>108</v>
      </c>
      <c r="E208" s="3" t="s">
        <v>91</v>
      </c>
      <c r="F208" s="3" t="s">
        <v>109</v>
      </c>
      <c r="G208" s="3" t="s">
        <v>99</v>
      </c>
      <c r="H208" s="3" t="s">
        <v>104</v>
      </c>
      <c r="I208" s="3">
        <v>1</v>
      </c>
      <c r="J208" s="11">
        <v>240</v>
      </c>
      <c r="K208" s="4">
        <v>0</v>
      </c>
      <c r="L208" s="3" t="s">
        <v>95</v>
      </c>
      <c r="M208" s="3">
        <v>30</v>
      </c>
      <c r="N208" s="3">
        <v>12</v>
      </c>
      <c r="O208" s="3">
        <v>5</v>
      </c>
      <c r="P208" s="11">
        <f>Clean_Data[[#This Row],[Quantity]]*Clean_Data[[#This Row],[UnitPrice]]</f>
        <v>240</v>
      </c>
      <c r="Q208" s="11">
        <f>ROUND(Clean_Data[[#This Row],[GrossSales]]*Clean_Data[[#This Row],[DiscountPct]],2)</f>
        <v>0</v>
      </c>
      <c r="R208" s="11">
        <f>IF(Clean_Data[[#This Row],[Status]]="Delivered",ROUND(Clean_Data[[#This Row],[GrossSales]]-Clean_Data[[#This Row],[DiscountAmount]],2),0)</f>
        <v>240</v>
      </c>
      <c r="S208" s="3" t="str">
        <f>IF(Clean_Data[[#This Row],[OrderHour]]&lt;6,"Night",IF(Clean_Data[[#This Row],[OrderHour]]&lt;12,"Morning",IF(Clean_Data[[#This Row],[OrderHour]]&lt;18,"Afternoon","Evening")))</f>
        <v>Morning</v>
      </c>
      <c r="T208" s="3" t="str">
        <f>TEXT(Clean_Data[[#This Row],[OrderDate]],"[$-409]ddd")</f>
        <v>Mon</v>
      </c>
      <c r="U208" s="3">
        <f>WEEKDAY(Clean_Data[[#This Row],[OrderDate]],2)</f>
        <v>1</v>
      </c>
      <c r="V208" s="3">
        <f>INT(Clean_Data[[#This Row],[OrderHour]]/6)+1</f>
        <v>2</v>
      </c>
      <c r="W208" s="3">
        <f>IF(Clean_Data[[#This Row],[Status]]="Delivered",1,0)</f>
        <v>1</v>
      </c>
      <c r="X208" s="3">
        <f>IF(Clean_Data[[#This Row],[Status]]="Delivered",IF(Clean_Data[[#This Row],[DeliveryMinutes]]&lt;=Dashboard!$X$5,1,0),0)</f>
        <v>1</v>
      </c>
      <c r="Y2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8" s="3">
        <f>IF(AND(Clean_Data[[#This Row],[Include]]=1,Clean_Data[[#This Row],[DeliveredFlag]]=1),1,0)</f>
        <v>1</v>
      </c>
      <c r="AA208" s="1">
        <f>IF(COUNTIF($D$2:D208,D208)=1,ROW()-1,ROWS(Clean_Data[OrderID])+1)</f>
        <v>901</v>
      </c>
      <c r="AB208" s="1">
        <f>IF(COUNTIF($F$2:F208,F208)=1,ROW()-1,ROWS(Clean_Data[OrderID])+1)</f>
        <v>901</v>
      </c>
      <c r="AC208" s="1">
        <f>IF(COUNTIF($G$2:G208,G208)=1,ROW()-1,ROWS(Clean_Data[OrderID])+1)</f>
        <v>901</v>
      </c>
      <c r="AD208" s="1">
        <f>IF(COUNTIF($H$2:H208,H208)=1,ROW()-1,ROWS(Clean_Data[OrderID])+1)</f>
        <v>901</v>
      </c>
      <c r="AE208" s="1">
        <f>IF(COUNTIF($V$2:V208,V208)=1,V208,ROWS(Clean_Data[OrderID])+1)</f>
        <v>901</v>
      </c>
      <c r="AF208" s="1">
        <f>IF(COUNTIF($U$2:U208,U208)=1,U208,ROWS(Clean_Data[OrderID])+1)</f>
        <v>901</v>
      </c>
      <c r="AG208" s="1">
        <f>IF(COUNTIF($E$2:E208,E208)=1,ROW()-1,ROWS(Clean_Data[OrderID])+1)</f>
        <v>901</v>
      </c>
    </row>
    <row r="209" spans="1:33" ht="20" customHeight="1">
      <c r="A209" s="3" t="s">
        <v>484</v>
      </c>
      <c r="B209" s="2">
        <v>46272</v>
      </c>
      <c r="C209" s="3">
        <v>19</v>
      </c>
      <c r="D209" s="3" t="s">
        <v>485</v>
      </c>
      <c r="E209" s="3" t="s">
        <v>91</v>
      </c>
      <c r="F209" s="3" t="s">
        <v>109</v>
      </c>
      <c r="G209" s="3" t="s">
        <v>174</v>
      </c>
      <c r="H209" s="3" t="s">
        <v>274</v>
      </c>
      <c r="I209" s="3">
        <v>5</v>
      </c>
      <c r="J209" s="11">
        <v>90</v>
      </c>
      <c r="K209" s="4">
        <v>0.05</v>
      </c>
      <c r="L209" s="3" t="s">
        <v>95</v>
      </c>
      <c r="M209" s="3">
        <v>29</v>
      </c>
      <c r="N209" s="3">
        <v>5</v>
      </c>
      <c r="O209" s="3">
        <v>4</v>
      </c>
      <c r="P209" s="11">
        <f>Clean_Data[[#This Row],[Quantity]]*Clean_Data[[#This Row],[UnitPrice]]</f>
        <v>450</v>
      </c>
      <c r="Q209" s="11">
        <f>ROUND(Clean_Data[[#This Row],[GrossSales]]*Clean_Data[[#This Row],[DiscountPct]],2)</f>
        <v>22.5</v>
      </c>
      <c r="R209" s="11">
        <f>IF(Clean_Data[[#This Row],[Status]]="Delivered",ROUND(Clean_Data[[#This Row],[GrossSales]]-Clean_Data[[#This Row],[DiscountAmount]],2),0)</f>
        <v>427.5</v>
      </c>
      <c r="S209" s="3" t="str">
        <f>IF(Clean_Data[[#This Row],[OrderHour]]&lt;6,"Night",IF(Clean_Data[[#This Row],[OrderHour]]&lt;12,"Morning",IF(Clean_Data[[#This Row],[OrderHour]]&lt;18,"Afternoon","Evening")))</f>
        <v>Evening</v>
      </c>
      <c r="T209" s="3" t="str">
        <f>TEXT(Clean_Data[[#This Row],[OrderDate]],"[$-409]ddd")</f>
        <v>Mon</v>
      </c>
      <c r="U209" s="3">
        <f>WEEKDAY(Clean_Data[[#This Row],[OrderDate]],2)</f>
        <v>1</v>
      </c>
      <c r="V209" s="3">
        <f>INT(Clean_Data[[#This Row],[OrderHour]]/6)+1</f>
        <v>4</v>
      </c>
      <c r="W209" s="3">
        <f>IF(Clean_Data[[#This Row],[Status]]="Delivered",1,0)</f>
        <v>1</v>
      </c>
      <c r="X209" s="3">
        <f>IF(Clean_Data[[#This Row],[Status]]="Delivered",IF(Clean_Data[[#This Row],[DeliveryMinutes]]&lt;=Dashboard!$X$5,1,0),0)</f>
        <v>1</v>
      </c>
      <c r="Y2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09" s="3">
        <f>IF(AND(Clean_Data[[#This Row],[Include]]=1,Clean_Data[[#This Row],[DeliveredFlag]]=1),1,0)</f>
        <v>1</v>
      </c>
      <c r="AA209" s="1">
        <f>IF(COUNTIF($D$2:D209,D209)=1,ROW()-1,ROWS(Clean_Data[OrderID])+1)</f>
        <v>208</v>
      </c>
      <c r="AB209" s="1">
        <f>IF(COUNTIF($F$2:F209,F209)=1,ROW()-1,ROWS(Clean_Data[OrderID])+1)</f>
        <v>901</v>
      </c>
      <c r="AC209" s="1">
        <f>IF(COUNTIF($G$2:G209,G209)=1,ROW()-1,ROWS(Clean_Data[OrderID])+1)</f>
        <v>901</v>
      </c>
      <c r="AD209" s="1">
        <f>IF(COUNTIF($H$2:H209,H209)=1,ROW()-1,ROWS(Clean_Data[OrderID])+1)</f>
        <v>901</v>
      </c>
      <c r="AE209" s="1">
        <f>IF(COUNTIF($V$2:V209,V209)=1,V209,ROWS(Clean_Data[OrderID])+1)</f>
        <v>901</v>
      </c>
      <c r="AF209" s="1">
        <f>IF(COUNTIF($U$2:U209,U209)=1,U209,ROWS(Clean_Data[OrderID])+1)</f>
        <v>901</v>
      </c>
      <c r="AG209" s="1">
        <f>IF(COUNTIF($E$2:E209,E209)=1,ROW()-1,ROWS(Clean_Data[OrderID])+1)</f>
        <v>901</v>
      </c>
    </row>
    <row r="210" spans="1:33" ht="20" customHeight="1">
      <c r="A210" s="3" t="s">
        <v>486</v>
      </c>
      <c r="B210" s="2">
        <v>46272</v>
      </c>
      <c r="C210" s="3">
        <v>20</v>
      </c>
      <c r="D210" s="3" t="s">
        <v>487</v>
      </c>
      <c r="E210" s="3" t="s">
        <v>91</v>
      </c>
      <c r="F210" s="3" t="s">
        <v>109</v>
      </c>
      <c r="G210" s="3" t="s">
        <v>122</v>
      </c>
      <c r="H210" s="3" t="s">
        <v>123</v>
      </c>
      <c r="I210" s="3">
        <v>4</v>
      </c>
      <c r="J210" s="11">
        <v>45</v>
      </c>
      <c r="K210" s="4">
        <v>0</v>
      </c>
      <c r="L210" s="3" t="s">
        <v>95</v>
      </c>
      <c r="M210" s="3">
        <v>19</v>
      </c>
      <c r="N210" s="3">
        <v>14</v>
      </c>
      <c r="O210" s="3">
        <v>5</v>
      </c>
      <c r="P210" s="11">
        <f>Clean_Data[[#This Row],[Quantity]]*Clean_Data[[#This Row],[UnitPrice]]</f>
        <v>180</v>
      </c>
      <c r="Q210" s="11">
        <f>ROUND(Clean_Data[[#This Row],[GrossSales]]*Clean_Data[[#This Row],[DiscountPct]],2)</f>
        <v>0</v>
      </c>
      <c r="R210" s="11">
        <f>IF(Clean_Data[[#This Row],[Status]]="Delivered",ROUND(Clean_Data[[#This Row],[GrossSales]]-Clean_Data[[#This Row],[DiscountAmount]],2),0)</f>
        <v>180</v>
      </c>
      <c r="S210" s="3" t="str">
        <f>IF(Clean_Data[[#This Row],[OrderHour]]&lt;6,"Night",IF(Clean_Data[[#This Row],[OrderHour]]&lt;12,"Morning",IF(Clean_Data[[#This Row],[OrderHour]]&lt;18,"Afternoon","Evening")))</f>
        <v>Evening</v>
      </c>
      <c r="T210" s="3" t="str">
        <f>TEXT(Clean_Data[[#This Row],[OrderDate]],"[$-409]ddd")</f>
        <v>Mon</v>
      </c>
      <c r="U210" s="3">
        <f>WEEKDAY(Clean_Data[[#This Row],[OrderDate]],2)</f>
        <v>1</v>
      </c>
      <c r="V210" s="3">
        <f>INT(Clean_Data[[#This Row],[OrderHour]]/6)+1</f>
        <v>4</v>
      </c>
      <c r="W210" s="3">
        <f>IF(Clean_Data[[#This Row],[Status]]="Delivered",1,0)</f>
        <v>1</v>
      </c>
      <c r="X210" s="3">
        <f>IF(Clean_Data[[#This Row],[Status]]="Delivered",IF(Clean_Data[[#This Row],[DeliveryMinutes]]&lt;=Dashboard!$X$5,1,0),0)</f>
        <v>1</v>
      </c>
      <c r="Y2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0" s="3">
        <f>IF(AND(Clean_Data[[#This Row],[Include]]=1,Clean_Data[[#This Row],[DeliveredFlag]]=1),1,0)</f>
        <v>1</v>
      </c>
      <c r="AA210" s="1">
        <f>IF(COUNTIF($D$2:D210,D210)=1,ROW()-1,ROWS(Clean_Data[OrderID])+1)</f>
        <v>209</v>
      </c>
      <c r="AB210" s="1">
        <f>IF(COUNTIF($F$2:F210,F210)=1,ROW()-1,ROWS(Clean_Data[OrderID])+1)</f>
        <v>901</v>
      </c>
      <c r="AC210" s="1">
        <f>IF(COUNTIF($G$2:G210,G210)=1,ROW()-1,ROWS(Clean_Data[OrderID])+1)</f>
        <v>901</v>
      </c>
      <c r="AD210" s="1">
        <f>IF(COUNTIF($H$2:H210,H210)=1,ROW()-1,ROWS(Clean_Data[OrderID])+1)</f>
        <v>901</v>
      </c>
      <c r="AE210" s="1">
        <f>IF(COUNTIF($V$2:V210,V210)=1,V210,ROWS(Clean_Data[OrderID])+1)</f>
        <v>901</v>
      </c>
      <c r="AF210" s="1">
        <f>IF(COUNTIF($U$2:U210,U210)=1,U210,ROWS(Clean_Data[OrderID])+1)</f>
        <v>901</v>
      </c>
      <c r="AG210" s="1">
        <f>IF(COUNTIF($E$2:E210,E210)=1,ROW()-1,ROWS(Clean_Data[OrderID])+1)</f>
        <v>901</v>
      </c>
    </row>
    <row r="211" spans="1:33" ht="20" customHeight="1">
      <c r="A211" s="3" t="s">
        <v>488</v>
      </c>
      <c r="B211" s="2">
        <v>46272</v>
      </c>
      <c r="C211" s="3">
        <v>18</v>
      </c>
      <c r="D211" s="3" t="s">
        <v>489</v>
      </c>
      <c r="E211" s="3" t="s">
        <v>117</v>
      </c>
      <c r="F211" s="3" t="s">
        <v>121</v>
      </c>
      <c r="G211" s="3" t="s">
        <v>110</v>
      </c>
      <c r="H211" s="3" t="s">
        <v>111</v>
      </c>
      <c r="I211" s="3">
        <v>1</v>
      </c>
      <c r="J211" s="11">
        <v>115</v>
      </c>
      <c r="K211" s="4">
        <v>0.05</v>
      </c>
      <c r="L211" s="3" t="s">
        <v>95</v>
      </c>
      <c r="M211" s="3">
        <v>27</v>
      </c>
      <c r="N211" s="3">
        <v>14</v>
      </c>
      <c r="O211" s="3">
        <v>3</v>
      </c>
      <c r="P211" s="11">
        <f>Clean_Data[[#This Row],[Quantity]]*Clean_Data[[#This Row],[UnitPrice]]</f>
        <v>115</v>
      </c>
      <c r="Q211" s="11">
        <f>ROUND(Clean_Data[[#This Row],[GrossSales]]*Clean_Data[[#This Row],[DiscountPct]],2)</f>
        <v>5.75</v>
      </c>
      <c r="R211" s="11">
        <f>IF(Clean_Data[[#This Row],[Status]]="Delivered",ROUND(Clean_Data[[#This Row],[GrossSales]]-Clean_Data[[#This Row],[DiscountAmount]],2),0)</f>
        <v>109.25</v>
      </c>
      <c r="S211" s="3" t="str">
        <f>IF(Clean_Data[[#This Row],[OrderHour]]&lt;6,"Night",IF(Clean_Data[[#This Row],[OrderHour]]&lt;12,"Morning",IF(Clean_Data[[#This Row],[OrderHour]]&lt;18,"Afternoon","Evening")))</f>
        <v>Evening</v>
      </c>
      <c r="T211" s="3" t="str">
        <f>TEXT(Clean_Data[[#This Row],[OrderDate]],"[$-409]ddd")</f>
        <v>Mon</v>
      </c>
      <c r="U211" s="3">
        <f>WEEKDAY(Clean_Data[[#This Row],[OrderDate]],2)</f>
        <v>1</v>
      </c>
      <c r="V211" s="3">
        <f>INT(Clean_Data[[#This Row],[OrderHour]]/6)+1</f>
        <v>4</v>
      </c>
      <c r="W211" s="3">
        <f>IF(Clean_Data[[#This Row],[Status]]="Delivered",1,0)</f>
        <v>1</v>
      </c>
      <c r="X211" s="3">
        <f>IF(Clean_Data[[#This Row],[Status]]="Delivered",IF(Clean_Data[[#This Row],[DeliveryMinutes]]&lt;=Dashboard!$X$5,1,0),0)</f>
        <v>1</v>
      </c>
      <c r="Y2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1" s="3">
        <f>IF(AND(Clean_Data[[#This Row],[Include]]=1,Clean_Data[[#This Row],[DeliveredFlag]]=1),1,0)</f>
        <v>1</v>
      </c>
      <c r="AA211" s="1">
        <f>IF(COUNTIF($D$2:D211,D211)=1,ROW()-1,ROWS(Clean_Data[OrderID])+1)</f>
        <v>210</v>
      </c>
      <c r="AB211" s="1">
        <f>IF(COUNTIF($F$2:F211,F211)=1,ROW()-1,ROWS(Clean_Data[OrderID])+1)</f>
        <v>901</v>
      </c>
      <c r="AC211" s="1">
        <f>IF(COUNTIF($G$2:G211,G211)=1,ROW()-1,ROWS(Clean_Data[OrderID])+1)</f>
        <v>901</v>
      </c>
      <c r="AD211" s="1">
        <f>IF(COUNTIF($H$2:H211,H211)=1,ROW()-1,ROWS(Clean_Data[OrderID])+1)</f>
        <v>901</v>
      </c>
      <c r="AE211" s="1">
        <f>IF(COUNTIF($V$2:V211,V211)=1,V211,ROWS(Clean_Data[OrderID])+1)</f>
        <v>901</v>
      </c>
      <c r="AF211" s="1">
        <f>IF(COUNTIF($U$2:U211,U211)=1,U211,ROWS(Clean_Data[OrderID])+1)</f>
        <v>901</v>
      </c>
      <c r="AG211" s="1">
        <f>IF(COUNTIF($E$2:E211,E211)=1,ROW()-1,ROWS(Clean_Data[OrderID])+1)</f>
        <v>901</v>
      </c>
    </row>
    <row r="212" spans="1:33" ht="20" customHeight="1">
      <c r="A212" s="3" t="s">
        <v>490</v>
      </c>
      <c r="B212" s="2">
        <v>46273</v>
      </c>
      <c r="C212" s="3">
        <v>12</v>
      </c>
      <c r="D212" s="3" t="s">
        <v>361</v>
      </c>
      <c r="E212" s="3" t="s">
        <v>91</v>
      </c>
      <c r="F212" s="3" t="s">
        <v>98</v>
      </c>
      <c r="G212" s="3" t="s">
        <v>93</v>
      </c>
      <c r="H212" s="3" t="s">
        <v>118</v>
      </c>
      <c r="I212" s="3">
        <v>2</v>
      </c>
      <c r="J212" s="11">
        <v>45</v>
      </c>
      <c r="K212" s="4">
        <v>0</v>
      </c>
      <c r="L212" s="3" t="s">
        <v>95</v>
      </c>
      <c r="M212" s="3">
        <v>36</v>
      </c>
      <c r="N212" s="3">
        <v>14</v>
      </c>
      <c r="O212" s="3">
        <v>3</v>
      </c>
      <c r="P212" s="11">
        <f>Clean_Data[[#This Row],[Quantity]]*Clean_Data[[#This Row],[UnitPrice]]</f>
        <v>90</v>
      </c>
      <c r="Q212" s="11">
        <f>ROUND(Clean_Data[[#This Row],[GrossSales]]*Clean_Data[[#This Row],[DiscountPct]],2)</f>
        <v>0</v>
      </c>
      <c r="R212" s="11">
        <f>IF(Clean_Data[[#This Row],[Status]]="Delivered",ROUND(Clean_Data[[#This Row],[GrossSales]]-Clean_Data[[#This Row],[DiscountAmount]],2),0)</f>
        <v>90</v>
      </c>
      <c r="S212" s="3" t="str">
        <f>IF(Clean_Data[[#This Row],[OrderHour]]&lt;6,"Night",IF(Clean_Data[[#This Row],[OrderHour]]&lt;12,"Morning",IF(Clean_Data[[#This Row],[OrderHour]]&lt;18,"Afternoon","Evening")))</f>
        <v>Afternoon</v>
      </c>
      <c r="T212" s="3" t="str">
        <f>TEXT(Clean_Data[[#This Row],[OrderDate]],"[$-409]ddd")</f>
        <v>Tue</v>
      </c>
      <c r="U212" s="3">
        <f>WEEKDAY(Clean_Data[[#This Row],[OrderDate]],2)</f>
        <v>2</v>
      </c>
      <c r="V212" s="3">
        <f>INT(Clean_Data[[#This Row],[OrderHour]]/6)+1</f>
        <v>3</v>
      </c>
      <c r="W212" s="3">
        <f>IF(Clean_Data[[#This Row],[Status]]="Delivered",1,0)</f>
        <v>1</v>
      </c>
      <c r="X212" s="3">
        <f>IF(Clean_Data[[#This Row],[Status]]="Delivered",IF(Clean_Data[[#This Row],[DeliveryMinutes]]&lt;=Dashboard!$X$5,1,0),0)</f>
        <v>0</v>
      </c>
      <c r="Y2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2" s="3">
        <f>IF(AND(Clean_Data[[#This Row],[Include]]=1,Clean_Data[[#This Row],[DeliveredFlag]]=1),1,0)</f>
        <v>1</v>
      </c>
      <c r="AA212" s="1">
        <f>IF(COUNTIF($D$2:D212,D212)=1,ROW()-1,ROWS(Clean_Data[OrderID])+1)</f>
        <v>901</v>
      </c>
      <c r="AB212" s="1">
        <f>IF(COUNTIF($F$2:F212,F212)=1,ROW()-1,ROWS(Clean_Data[OrderID])+1)</f>
        <v>901</v>
      </c>
      <c r="AC212" s="1">
        <f>IF(COUNTIF($G$2:G212,G212)=1,ROW()-1,ROWS(Clean_Data[OrderID])+1)</f>
        <v>901</v>
      </c>
      <c r="AD212" s="1">
        <f>IF(COUNTIF($H$2:H212,H212)=1,ROW()-1,ROWS(Clean_Data[OrderID])+1)</f>
        <v>901</v>
      </c>
      <c r="AE212" s="1">
        <f>IF(COUNTIF($V$2:V212,V212)=1,V212,ROWS(Clean_Data[OrderID])+1)</f>
        <v>901</v>
      </c>
      <c r="AF212" s="1">
        <f>IF(COUNTIF($U$2:U212,U212)=1,U212,ROWS(Clean_Data[OrderID])+1)</f>
        <v>901</v>
      </c>
      <c r="AG212" s="1">
        <f>IF(COUNTIF($E$2:E212,E212)=1,ROW()-1,ROWS(Clean_Data[OrderID])+1)</f>
        <v>901</v>
      </c>
    </row>
    <row r="213" spans="1:33" ht="20" customHeight="1">
      <c r="A213" s="3" t="s">
        <v>491</v>
      </c>
      <c r="B213" s="2">
        <v>46273</v>
      </c>
      <c r="C213" s="3">
        <v>10</v>
      </c>
      <c r="D213" s="3" t="s">
        <v>492</v>
      </c>
      <c r="E213" s="3" t="s">
        <v>91</v>
      </c>
      <c r="F213" s="3" t="s">
        <v>92</v>
      </c>
      <c r="G213" s="3" t="s">
        <v>122</v>
      </c>
      <c r="H213" s="3" t="s">
        <v>153</v>
      </c>
      <c r="I213" s="3">
        <v>5</v>
      </c>
      <c r="J213" s="11">
        <v>130</v>
      </c>
      <c r="K213" s="4">
        <v>0</v>
      </c>
      <c r="L213" s="3" t="s">
        <v>95</v>
      </c>
      <c r="M213" s="3">
        <v>16</v>
      </c>
      <c r="N213" s="3">
        <v>15</v>
      </c>
      <c r="O213" s="3">
        <v>4</v>
      </c>
      <c r="P213" s="11">
        <f>Clean_Data[[#This Row],[Quantity]]*Clean_Data[[#This Row],[UnitPrice]]</f>
        <v>650</v>
      </c>
      <c r="Q213" s="11">
        <f>ROUND(Clean_Data[[#This Row],[GrossSales]]*Clean_Data[[#This Row],[DiscountPct]],2)</f>
        <v>0</v>
      </c>
      <c r="R213" s="11">
        <f>IF(Clean_Data[[#This Row],[Status]]="Delivered",ROUND(Clean_Data[[#This Row],[GrossSales]]-Clean_Data[[#This Row],[DiscountAmount]],2),0)</f>
        <v>650</v>
      </c>
      <c r="S213" s="3" t="str">
        <f>IF(Clean_Data[[#This Row],[OrderHour]]&lt;6,"Night",IF(Clean_Data[[#This Row],[OrderHour]]&lt;12,"Morning",IF(Clean_Data[[#This Row],[OrderHour]]&lt;18,"Afternoon","Evening")))</f>
        <v>Morning</v>
      </c>
      <c r="T213" s="3" t="str">
        <f>TEXT(Clean_Data[[#This Row],[OrderDate]],"[$-409]ddd")</f>
        <v>Tue</v>
      </c>
      <c r="U213" s="3">
        <f>WEEKDAY(Clean_Data[[#This Row],[OrderDate]],2)</f>
        <v>2</v>
      </c>
      <c r="V213" s="3">
        <f>INT(Clean_Data[[#This Row],[OrderHour]]/6)+1</f>
        <v>2</v>
      </c>
      <c r="W213" s="3">
        <f>IF(Clean_Data[[#This Row],[Status]]="Delivered",1,0)</f>
        <v>1</v>
      </c>
      <c r="X213" s="3">
        <f>IF(Clean_Data[[#This Row],[Status]]="Delivered",IF(Clean_Data[[#This Row],[DeliveryMinutes]]&lt;=Dashboard!$X$5,1,0),0)</f>
        <v>1</v>
      </c>
      <c r="Y2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3" s="3">
        <f>IF(AND(Clean_Data[[#This Row],[Include]]=1,Clean_Data[[#This Row],[DeliveredFlag]]=1),1,0)</f>
        <v>1</v>
      </c>
      <c r="AA213" s="1">
        <f>IF(COUNTIF($D$2:D213,D213)=1,ROW()-1,ROWS(Clean_Data[OrderID])+1)</f>
        <v>212</v>
      </c>
      <c r="AB213" s="1">
        <f>IF(COUNTIF($F$2:F213,F213)=1,ROW()-1,ROWS(Clean_Data[OrderID])+1)</f>
        <v>901</v>
      </c>
      <c r="AC213" s="1">
        <f>IF(COUNTIF($G$2:G213,G213)=1,ROW()-1,ROWS(Clean_Data[OrderID])+1)</f>
        <v>901</v>
      </c>
      <c r="AD213" s="1">
        <f>IF(COUNTIF($H$2:H213,H213)=1,ROW()-1,ROWS(Clean_Data[OrderID])+1)</f>
        <v>901</v>
      </c>
      <c r="AE213" s="1">
        <f>IF(COUNTIF($V$2:V213,V213)=1,V213,ROWS(Clean_Data[OrderID])+1)</f>
        <v>901</v>
      </c>
      <c r="AF213" s="1">
        <f>IF(COUNTIF($U$2:U213,U213)=1,U213,ROWS(Clean_Data[OrderID])+1)</f>
        <v>901</v>
      </c>
      <c r="AG213" s="1">
        <f>IF(COUNTIF($E$2:E213,E213)=1,ROW()-1,ROWS(Clean_Data[OrderID])+1)</f>
        <v>901</v>
      </c>
    </row>
    <row r="214" spans="1:33" ht="20" customHeight="1">
      <c r="A214" s="3" t="s">
        <v>493</v>
      </c>
      <c r="B214" s="2">
        <v>46273</v>
      </c>
      <c r="C214" s="3">
        <v>6</v>
      </c>
      <c r="D214" s="3" t="s">
        <v>494</v>
      </c>
      <c r="E214" s="3" t="s">
        <v>91</v>
      </c>
      <c r="F214" s="3" t="s">
        <v>121</v>
      </c>
      <c r="G214" s="3" t="s">
        <v>110</v>
      </c>
      <c r="H214" s="3" t="s">
        <v>114</v>
      </c>
      <c r="I214" s="3">
        <v>5</v>
      </c>
      <c r="J214" s="11">
        <v>145</v>
      </c>
      <c r="K214" s="4">
        <v>0.1</v>
      </c>
      <c r="L214" s="3" t="s">
        <v>95</v>
      </c>
      <c r="M214" s="3">
        <v>16</v>
      </c>
      <c r="N214" s="3">
        <v>10</v>
      </c>
      <c r="O214" s="3">
        <v>5</v>
      </c>
      <c r="P214" s="11">
        <f>Clean_Data[[#This Row],[Quantity]]*Clean_Data[[#This Row],[UnitPrice]]</f>
        <v>725</v>
      </c>
      <c r="Q214" s="11">
        <f>ROUND(Clean_Data[[#This Row],[GrossSales]]*Clean_Data[[#This Row],[DiscountPct]],2)</f>
        <v>72.5</v>
      </c>
      <c r="R214" s="11">
        <f>IF(Clean_Data[[#This Row],[Status]]="Delivered",ROUND(Clean_Data[[#This Row],[GrossSales]]-Clean_Data[[#This Row],[DiscountAmount]],2),0)</f>
        <v>652.5</v>
      </c>
      <c r="S214" s="3" t="str">
        <f>IF(Clean_Data[[#This Row],[OrderHour]]&lt;6,"Night",IF(Clean_Data[[#This Row],[OrderHour]]&lt;12,"Morning",IF(Clean_Data[[#This Row],[OrderHour]]&lt;18,"Afternoon","Evening")))</f>
        <v>Morning</v>
      </c>
      <c r="T214" s="3" t="str">
        <f>TEXT(Clean_Data[[#This Row],[OrderDate]],"[$-409]ddd")</f>
        <v>Tue</v>
      </c>
      <c r="U214" s="3">
        <f>WEEKDAY(Clean_Data[[#This Row],[OrderDate]],2)</f>
        <v>2</v>
      </c>
      <c r="V214" s="3">
        <f>INT(Clean_Data[[#This Row],[OrderHour]]/6)+1</f>
        <v>2</v>
      </c>
      <c r="W214" s="3">
        <f>IF(Clean_Data[[#This Row],[Status]]="Delivered",1,0)</f>
        <v>1</v>
      </c>
      <c r="X214" s="3">
        <f>IF(Clean_Data[[#This Row],[Status]]="Delivered",IF(Clean_Data[[#This Row],[DeliveryMinutes]]&lt;=Dashboard!$X$5,1,0),0)</f>
        <v>1</v>
      </c>
      <c r="Y2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4" s="3">
        <f>IF(AND(Clean_Data[[#This Row],[Include]]=1,Clean_Data[[#This Row],[DeliveredFlag]]=1),1,0)</f>
        <v>1</v>
      </c>
      <c r="AA214" s="1">
        <f>IF(COUNTIF($D$2:D214,D214)=1,ROW()-1,ROWS(Clean_Data[OrderID])+1)</f>
        <v>213</v>
      </c>
      <c r="AB214" s="1">
        <f>IF(COUNTIF($F$2:F214,F214)=1,ROW()-1,ROWS(Clean_Data[OrderID])+1)</f>
        <v>901</v>
      </c>
      <c r="AC214" s="1">
        <f>IF(COUNTIF($G$2:G214,G214)=1,ROW()-1,ROWS(Clean_Data[OrderID])+1)</f>
        <v>901</v>
      </c>
      <c r="AD214" s="1">
        <f>IF(COUNTIF($H$2:H214,H214)=1,ROW()-1,ROWS(Clean_Data[OrderID])+1)</f>
        <v>901</v>
      </c>
      <c r="AE214" s="1">
        <f>IF(COUNTIF($V$2:V214,V214)=1,V214,ROWS(Clean_Data[OrderID])+1)</f>
        <v>901</v>
      </c>
      <c r="AF214" s="1">
        <f>IF(COUNTIF($U$2:U214,U214)=1,U214,ROWS(Clean_Data[OrderID])+1)</f>
        <v>901</v>
      </c>
      <c r="AG214" s="1">
        <f>IF(COUNTIF($E$2:E214,E214)=1,ROW()-1,ROWS(Clean_Data[OrderID])+1)</f>
        <v>901</v>
      </c>
    </row>
    <row r="215" spans="1:33" ht="20" customHeight="1">
      <c r="A215" s="3" t="s">
        <v>495</v>
      </c>
      <c r="B215" s="2">
        <v>46273</v>
      </c>
      <c r="C215" s="3">
        <v>20</v>
      </c>
      <c r="D215" s="3" t="s">
        <v>222</v>
      </c>
      <c r="E215" s="3" t="s">
        <v>91</v>
      </c>
      <c r="F215" s="3" t="s">
        <v>121</v>
      </c>
      <c r="G215" s="3" t="s">
        <v>99</v>
      </c>
      <c r="H215" s="3" t="s">
        <v>104</v>
      </c>
      <c r="I215" s="3">
        <v>3</v>
      </c>
      <c r="J215" s="11">
        <v>240</v>
      </c>
      <c r="K215" s="4">
        <v>0.05</v>
      </c>
      <c r="L215" s="3" t="s">
        <v>95</v>
      </c>
      <c r="M215" s="3">
        <v>35</v>
      </c>
      <c r="N215" s="3">
        <v>12</v>
      </c>
      <c r="O215" s="3">
        <v>4</v>
      </c>
      <c r="P215" s="11">
        <f>Clean_Data[[#This Row],[Quantity]]*Clean_Data[[#This Row],[UnitPrice]]</f>
        <v>720</v>
      </c>
      <c r="Q215" s="11">
        <f>ROUND(Clean_Data[[#This Row],[GrossSales]]*Clean_Data[[#This Row],[DiscountPct]],2)</f>
        <v>36</v>
      </c>
      <c r="R215" s="11">
        <f>IF(Clean_Data[[#This Row],[Status]]="Delivered",ROUND(Clean_Data[[#This Row],[GrossSales]]-Clean_Data[[#This Row],[DiscountAmount]],2),0)</f>
        <v>684</v>
      </c>
      <c r="S215" s="3" t="str">
        <f>IF(Clean_Data[[#This Row],[OrderHour]]&lt;6,"Night",IF(Clean_Data[[#This Row],[OrderHour]]&lt;12,"Morning",IF(Clean_Data[[#This Row],[OrderHour]]&lt;18,"Afternoon","Evening")))</f>
        <v>Evening</v>
      </c>
      <c r="T215" s="3" t="str">
        <f>TEXT(Clean_Data[[#This Row],[OrderDate]],"[$-409]ddd")</f>
        <v>Tue</v>
      </c>
      <c r="U215" s="3">
        <f>WEEKDAY(Clean_Data[[#This Row],[OrderDate]],2)</f>
        <v>2</v>
      </c>
      <c r="V215" s="3">
        <f>INT(Clean_Data[[#This Row],[OrderHour]]/6)+1</f>
        <v>4</v>
      </c>
      <c r="W215" s="3">
        <f>IF(Clean_Data[[#This Row],[Status]]="Delivered",1,0)</f>
        <v>1</v>
      </c>
      <c r="X215" s="3">
        <f>IF(Clean_Data[[#This Row],[Status]]="Delivered",IF(Clean_Data[[#This Row],[DeliveryMinutes]]&lt;=Dashboard!$X$5,1,0),0)</f>
        <v>0</v>
      </c>
      <c r="Y2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5" s="3">
        <f>IF(AND(Clean_Data[[#This Row],[Include]]=1,Clean_Data[[#This Row],[DeliveredFlag]]=1),1,0)</f>
        <v>1</v>
      </c>
      <c r="AA215" s="1">
        <f>IF(COUNTIF($D$2:D215,D215)=1,ROW()-1,ROWS(Clean_Data[OrderID])+1)</f>
        <v>901</v>
      </c>
      <c r="AB215" s="1">
        <f>IF(COUNTIF($F$2:F215,F215)=1,ROW()-1,ROWS(Clean_Data[OrderID])+1)</f>
        <v>901</v>
      </c>
      <c r="AC215" s="1">
        <f>IF(COUNTIF($G$2:G215,G215)=1,ROW()-1,ROWS(Clean_Data[OrderID])+1)</f>
        <v>901</v>
      </c>
      <c r="AD215" s="1">
        <f>IF(COUNTIF($H$2:H215,H215)=1,ROW()-1,ROWS(Clean_Data[OrderID])+1)</f>
        <v>901</v>
      </c>
      <c r="AE215" s="1">
        <f>IF(COUNTIF($V$2:V215,V215)=1,V215,ROWS(Clean_Data[OrderID])+1)</f>
        <v>901</v>
      </c>
      <c r="AF215" s="1">
        <f>IF(COUNTIF($U$2:U215,U215)=1,U215,ROWS(Clean_Data[OrderID])+1)</f>
        <v>901</v>
      </c>
      <c r="AG215" s="1">
        <f>IF(COUNTIF($E$2:E215,E215)=1,ROW()-1,ROWS(Clean_Data[OrderID])+1)</f>
        <v>901</v>
      </c>
    </row>
    <row r="216" spans="1:33" ht="20" customHeight="1">
      <c r="A216" s="3" t="s">
        <v>496</v>
      </c>
      <c r="B216" s="2">
        <v>46273</v>
      </c>
      <c r="C216" s="3">
        <v>18</v>
      </c>
      <c r="D216" s="3" t="s">
        <v>497</v>
      </c>
      <c r="E216" s="3" t="s">
        <v>91</v>
      </c>
      <c r="F216" s="3" t="s">
        <v>121</v>
      </c>
      <c r="G216" s="3" t="s">
        <v>93</v>
      </c>
      <c r="H216" s="3" t="s">
        <v>146</v>
      </c>
      <c r="I216" s="3">
        <v>2</v>
      </c>
      <c r="J216" s="11">
        <v>110</v>
      </c>
      <c r="K216" s="4">
        <v>0.15</v>
      </c>
      <c r="L216" s="3" t="s">
        <v>95</v>
      </c>
      <c r="M216" s="3">
        <v>17</v>
      </c>
      <c r="N216" s="3">
        <v>15</v>
      </c>
      <c r="O216" s="3">
        <v>5</v>
      </c>
      <c r="P216" s="11">
        <f>Clean_Data[[#This Row],[Quantity]]*Clean_Data[[#This Row],[UnitPrice]]</f>
        <v>220</v>
      </c>
      <c r="Q216" s="11">
        <f>ROUND(Clean_Data[[#This Row],[GrossSales]]*Clean_Data[[#This Row],[DiscountPct]],2)</f>
        <v>33</v>
      </c>
      <c r="R216" s="11">
        <f>IF(Clean_Data[[#This Row],[Status]]="Delivered",ROUND(Clean_Data[[#This Row],[GrossSales]]-Clean_Data[[#This Row],[DiscountAmount]],2),0)</f>
        <v>187</v>
      </c>
      <c r="S216" s="3" t="str">
        <f>IF(Clean_Data[[#This Row],[OrderHour]]&lt;6,"Night",IF(Clean_Data[[#This Row],[OrderHour]]&lt;12,"Morning",IF(Clean_Data[[#This Row],[OrderHour]]&lt;18,"Afternoon","Evening")))</f>
        <v>Evening</v>
      </c>
      <c r="T216" s="3" t="str">
        <f>TEXT(Clean_Data[[#This Row],[OrderDate]],"[$-409]ddd")</f>
        <v>Tue</v>
      </c>
      <c r="U216" s="3">
        <f>WEEKDAY(Clean_Data[[#This Row],[OrderDate]],2)</f>
        <v>2</v>
      </c>
      <c r="V216" s="3">
        <f>INT(Clean_Data[[#This Row],[OrderHour]]/6)+1</f>
        <v>4</v>
      </c>
      <c r="W216" s="3">
        <f>IF(Clean_Data[[#This Row],[Status]]="Delivered",1,0)</f>
        <v>1</v>
      </c>
      <c r="X216" s="3">
        <f>IF(Clean_Data[[#This Row],[Status]]="Delivered",IF(Clean_Data[[#This Row],[DeliveryMinutes]]&lt;=Dashboard!$X$5,1,0),0)</f>
        <v>1</v>
      </c>
      <c r="Y2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6" s="3">
        <f>IF(AND(Clean_Data[[#This Row],[Include]]=1,Clean_Data[[#This Row],[DeliveredFlag]]=1),1,0)</f>
        <v>1</v>
      </c>
      <c r="AA216" s="1">
        <f>IF(COUNTIF($D$2:D216,D216)=1,ROW()-1,ROWS(Clean_Data[OrderID])+1)</f>
        <v>215</v>
      </c>
      <c r="AB216" s="1">
        <f>IF(COUNTIF($F$2:F216,F216)=1,ROW()-1,ROWS(Clean_Data[OrderID])+1)</f>
        <v>901</v>
      </c>
      <c r="AC216" s="1">
        <f>IF(COUNTIF($G$2:G216,G216)=1,ROW()-1,ROWS(Clean_Data[OrderID])+1)</f>
        <v>901</v>
      </c>
      <c r="AD216" s="1">
        <f>IF(COUNTIF($H$2:H216,H216)=1,ROW()-1,ROWS(Clean_Data[OrderID])+1)</f>
        <v>901</v>
      </c>
      <c r="AE216" s="1">
        <f>IF(COUNTIF($V$2:V216,V216)=1,V216,ROWS(Clean_Data[OrderID])+1)</f>
        <v>901</v>
      </c>
      <c r="AF216" s="1">
        <f>IF(COUNTIF($U$2:U216,U216)=1,U216,ROWS(Clean_Data[OrderID])+1)</f>
        <v>901</v>
      </c>
      <c r="AG216" s="1">
        <f>IF(COUNTIF($E$2:E216,E216)=1,ROW()-1,ROWS(Clean_Data[OrderID])+1)</f>
        <v>901</v>
      </c>
    </row>
    <row r="217" spans="1:33" ht="20" customHeight="1">
      <c r="A217" s="3" t="s">
        <v>498</v>
      </c>
      <c r="B217" s="2">
        <v>46273</v>
      </c>
      <c r="C217" s="3">
        <v>20</v>
      </c>
      <c r="D217" s="3" t="s">
        <v>499</v>
      </c>
      <c r="E217" s="3" t="s">
        <v>91</v>
      </c>
      <c r="F217" s="3" t="s">
        <v>139</v>
      </c>
      <c r="G217" s="3" t="s">
        <v>93</v>
      </c>
      <c r="H217" s="3" t="s">
        <v>94</v>
      </c>
      <c r="I217" s="3">
        <v>3</v>
      </c>
      <c r="J217" s="11">
        <v>95</v>
      </c>
      <c r="K217" s="4">
        <v>0</v>
      </c>
      <c r="L217" s="3" t="s">
        <v>95</v>
      </c>
      <c r="M217" s="3">
        <v>29</v>
      </c>
      <c r="N217" s="3">
        <v>11</v>
      </c>
      <c r="O217" s="3">
        <v>5</v>
      </c>
      <c r="P217" s="11">
        <f>Clean_Data[[#This Row],[Quantity]]*Clean_Data[[#This Row],[UnitPrice]]</f>
        <v>285</v>
      </c>
      <c r="Q217" s="11">
        <f>ROUND(Clean_Data[[#This Row],[GrossSales]]*Clean_Data[[#This Row],[DiscountPct]],2)</f>
        <v>0</v>
      </c>
      <c r="R217" s="11">
        <f>IF(Clean_Data[[#This Row],[Status]]="Delivered",ROUND(Clean_Data[[#This Row],[GrossSales]]-Clean_Data[[#This Row],[DiscountAmount]],2),0)</f>
        <v>285</v>
      </c>
      <c r="S217" s="3" t="str">
        <f>IF(Clean_Data[[#This Row],[OrderHour]]&lt;6,"Night",IF(Clean_Data[[#This Row],[OrderHour]]&lt;12,"Morning",IF(Clean_Data[[#This Row],[OrderHour]]&lt;18,"Afternoon","Evening")))</f>
        <v>Evening</v>
      </c>
      <c r="T217" s="3" t="str">
        <f>TEXT(Clean_Data[[#This Row],[OrderDate]],"[$-409]ddd")</f>
        <v>Tue</v>
      </c>
      <c r="U217" s="3">
        <f>WEEKDAY(Clean_Data[[#This Row],[OrderDate]],2)</f>
        <v>2</v>
      </c>
      <c r="V217" s="3">
        <f>INT(Clean_Data[[#This Row],[OrderHour]]/6)+1</f>
        <v>4</v>
      </c>
      <c r="W217" s="3">
        <f>IF(Clean_Data[[#This Row],[Status]]="Delivered",1,0)</f>
        <v>1</v>
      </c>
      <c r="X217" s="3">
        <f>IF(Clean_Data[[#This Row],[Status]]="Delivered",IF(Clean_Data[[#This Row],[DeliveryMinutes]]&lt;=Dashboard!$X$5,1,0),0)</f>
        <v>1</v>
      </c>
      <c r="Y2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7" s="3">
        <f>IF(AND(Clean_Data[[#This Row],[Include]]=1,Clean_Data[[#This Row],[DeliveredFlag]]=1),1,0)</f>
        <v>1</v>
      </c>
      <c r="AA217" s="1">
        <f>IF(COUNTIF($D$2:D217,D217)=1,ROW()-1,ROWS(Clean_Data[OrderID])+1)</f>
        <v>216</v>
      </c>
      <c r="AB217" s="1">
        <f>IF(COUNTIF($F$2:F217,F217)=1,ROW()-1,ROWS(Clean_Data[OrderID])+1)</f>
        <v>901</v>
      </c>
      <c r="AC217" s="1">
        <f>IF(COUNTIF($G$2:G217,G217)=1,ROW()-1,ROWS(Clean_Data[OrderID])+1)</f>
        <v>901</v>
      </c>
      <c r="AD217" s="1">
        <f>IF(COUNTIF($H$2:H217,H217)=1,ROW()-1,ROWS(Clean_Data[OrderID])+1)</f>
        <v>901</v>
      </c>
      <c r="AE217" s="1">
        <f>IF(COUNTIF($V$2:V217,V217)=1,V217,ROWS(Clean_Data[OrderID])+1)</f>
        <v>901</v>
      </c>
      <c r="AF217" s="1">
        <f>IF(COUNTIF($U$2:U217,U217)=1,U217,ROWS(Clean_Data[OrderID])+1)</f>
        <v>901</v>
      </c>
      <c r="AG217" s="1">
        <f>IF(COUNTIF($E$2:E217,E217)=1,ROW()-1,ROWS(Clean_Data[OrderID])+1)</f>
        <v>901</v>
      </c>
    </row>
    <row r="218" spans="1:33" ht="20" customHeight="1">
      <c r="A218" s="3" t="s">
        <v>500</v>
      </c>
      <c r="B218" s="2">
        <v>46273</v>
      </c>
      <c r="C218" s="3">
        <v>17</v>
      </c>
      <c r="D218" s="3" t="s">
        <v>425</v>
      </c>
      <c r="E218" s="3" t="s">
        <v>91</v>
      </c>
      <c r="F218" s="3" t="s">
        <v>121</v>
      </c>
      <c r="G218" s="3" t="s">
        <v>110</v>
      </c>
      <c r="H218" s="3" t="s">
        <v>114</v>
      </c>
      <c r="I218" s="3">
        <v>4</v>
      </c>
      <c r="J218" s="11">
        <v>145</v>
      </c>
      <c r="K218" s="4">
        <v>0.1</v>
      </c>
      <c r="L218" s="3" t="s">
        <v>95</v>
      </c>
      <c r="M218" s="3">
        <v>35</v>
      </c>
      <c r="N218" s="3">
        <v>9</v>
      </c>
      <c r="O218" s="3">
        <v>3</v>
      </c>
      <c r="P218" s="11">
        <f>Clean_Data[[#This Row],[Quantity]]*Clean_Data[[#This Row],[UnitPrice]]</f>
        <v>580</v>
      </c>
      <c r="Q218" s="11">
        <f>ROUND(Clean_Data[[#This Row],[GrossSales]]*Clean_Data[[#This Row],[DiscountPct]],2)</f>
        <v>58</v>
      </c>
      <c r="R218" s="11">
        <f>IF(Clean_Data[[#This Row],[Status]]="Delivered",ROUND(Clean_Data[[#This Row],[GrossSales]]-Clean_Data[[#This Row],[DiscountAmount]],2),0)</f>
        <v>522</v>
      </c>
      <c r="S218" s="3" t="str">
        <f>IF(Clean_Data[[#This Row],[OrderHour]]&lt;6,"Night",IF(Clean_Data[[#This Row],[OrderHour]]&lt;12,"Morning",IF(Clean_Data[[#This Row],[OrderHour]]&lt;18,"Afternoon","Evening")))</f>
        <v>Afternoon</v>
      </c>
      <c r="T218" s="3" t="str">
        <f>TEXT(Clean_Data[[#This Row],[OrderDate]],"[$-409]ddd")</f>
        <v>Tue</v>
      </c>
      <c r="U218" s="3">
        <f>WEEKDAY(Clean_Data[[#This Row],[OrderDate]],2)</f>
        <v>2</v>
      </c>
      <c r="V218" s="3">
        <f>INT(Clean_Data[[#This Row],[OrderHour]]/6)+1</f>
        <v>3</v>
      </c>
      <c r="W218" s="3">
        <f>IF(Clean_Data[[#This Row],[Status]]="Delivered",1,0)</f>
        <v>1</v>
      </c>
      <c r="X218" s="3">
        <f>IF(Clean_Data[[#This Row],[Status]]="Delivered",IF(Clean_Data[[#This Row],[DeliveryMinutes]]&lt;=Dashboard!$X$5,1,0),0)</f>
        <v>0</v>
      </c>
      <c r="Y2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8" s="3">
        <f>IF(AND(Clean_Data[[#This Row],[Include]]=1,Clean_Data[[#This Row],[DeliveredFlag]]=1),1,0)</f>
        <v>1</v>
      </c>
      <c r="AA218" s="1">
        <f>IF(COUNTIF($D$2:D218,D218)=1,ROW()-1,ROWS(Clean_Data[OrderID])+1)</f>
        <v>901</v>
      </c>
      <c r="AB218" s="1">
        <f>IF(COUNTIF($F$2:F218,F218)=1,ROW()-1,ROWS(Clean_Data[OrderID])+1)</f>
        <v>901</v>
      </c>
      <c r="AC218" s="1">
        <f>IF(COUNTIF($G$2:G218,G218)=1,ROW()-1,ROWS(Clean_Data[OrderID])+1)</f>
        <v>901</v>
      </c>
      <c r="AD218" s="1">
        <f>IF(COUNTIF($H$2:H218,H218)=1,ROW()-1,ROWS(Clean_Data[OrderID])+1)</f>
        <v>901</v>
      </c>
      <c r="AE218" s="1">
        <f>IF(COUNTIF($V$2:V218,V218)=1,V218,ROWS(Clean_Data[OrderID])+1)</f>
        <v>901</v>
      </c>
      <c r="AF218" s="1">
        <f>IF(COUNTIF($U$2:U218,U218)=1,U218,ROWS(Clean_Data[OrderID])+1)</f>
        <v>901</v>
      </c>
      <c r="AG218" s="1">
        <f>IF(COUNTIF($E$2:E218,E218)=1,ROW()-1,ROWS(Clean_Data[OrderID])+1)</f>
        <v>901</v>
      </c>
    </row>
    <row r="219" spans="1:33" ht="20" customHeight="1">
      <c r="A219" s="3" t="s">
        <v>501</v>
      </c>
      <c r="B219" s="2">
        <v>46273</v>
      </c>
      <c r="C219" s="3">
        <v>21</v>
      </c>
      <c r="D219" s="3" t="s">
        <v>138</v>
      </c>
      <c r="E219" s="3" t="s">
        <v>91</v>
      </c>
      <c r="F219" s="3" t="s">
        <v>139</v>
      </c>
      <c r="G219" s="3" t="s">
        <v>122</v>
      </c>
      <c r="H219" s="3" t="s">
        <v>153</v>
      </c>
      <c r="I219" s="3">
        <v>5</v>
      </c>
      <c r="J219" s="11">
        <v>130</v>
      </c>
      <c r="K219" s="4">
        <v>0</v>
      </c>
      <c r="L219" s="3" t="s">
        <v>95</v>
      </c>
      <c r="M219" s="3">
        <v>32</v>
      </c>
      <c r="N219" s="3">
        <v>12</v>
      </c>
      <c r="O219" s="3">
        <v>3</v>
      </c>
      <c r="P219" s="11">
        <f>Clean_Data[[#This Row],[Quantity]]*Clean_Data[[#This Row],[UnitPrice]]</f>
        <v>650</v>
      </c>
      <c r="Q219" s="11">
        <f>ROUND(Clean_Data[[#This Row],[GrossSales]]*Clean_Data[[#This Row],[DiscountPct]],2)</f>
        <v>0</v>
      </c>
      <c r="R219" s="11">
        <f>IF(Clean_Data[[#This Row],[Status]]="Delivered",ROUND(Clean_Data[[#This Row],[GrossSales]]-Clean_Data[[#This Row],[DiscountAmount]],2),0)</f>
        <v>650</v>
      </c>
      <c r="S219" s="3" t="str">
        <f>IF(Clean_Data[[#This Row],[OrderHour]]&lt;6,"Night",IF(Clean_Data[[#This Row],[OrderHour]]&lt;12,"Morning",IF(Clean_Data[[#This Row],[OrderHour]]&lt;18,"Afternoon","Evening")))</f>
        <v>Evening</v>
      </c>
      <c r="T219" s="3" t="str">
        <f>TEXT(Clean_Data[[#This Row],[OrderDate]],"[$-409]ddd")</f>
        <v>Tue</v>
      </c>
      <c r="U219" s="3">
        <f>WEEKDAY(Clean_Data[[#This Row],[OrderDate]],2)</f>
        <v>2</v>
      </c>
      <c r="V219" s="3">
        <f>INT(Clean_Data[[#This Row],[OrderHour]]/6)+1</f>
        <v>4</v>
      </c>
      <c r="W219" s="3">
        <f>IF(Clean_Data[[#This Row],[Status]]="Delivered",1,0)</f>
        <v>1</v>
      </c>
      <c r="X219" s="3">
        <f>IF(Clean_Data[[#This Row],[Status]]="Delivered",IF(Clean_Data[[#This Row],[DeliveryMinutes]]&lt;=Dashboard!$X$5,1,0),0)</f>
        <v>0</v>
      </c>
      <c r="Y2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19" s="3">
        <f>IF(AND(Clean_Data[[#This Row],[Include]]=1,Clean_Data[[#This Row],[DeliveredFlag]]=1),1,0)</f>
        <v>1</v>
      </c>
      <c r="AA219" s="1">
        <f>IF(COUNTIF($D$2:D219,D219)=1,ROW()-1,ROWS(Clean_Data[OrderID])+1)</f>
        <v>901</v>
      </c>
      <c r="AB219" s="1">
        <f>IF(COUNTIF($F$2:F219,F219)=1,ROW()-1,ROWS(Clean_Data[OrderID])+1)</f>
        <v>901</v>
      </c>
      <c r="AC219" s="1">
        <f>IF(COUNTIF($G$2:G219,G219)=1,ROW()-1,ROWS(Clean_Data[OrderID])+1)</f>
        <v>901</v>
      </c>
      <c r="AD219" s="1">
        <f>IF(COUNTIF($H$2:H219,H219)=1,ROW()-1,ROWS(Clean_Data[OrderID])+1)</f>
        <v>901</v>
      </c>
      <c r="AE219" s="1">
        <f>IF(COUNTIF($V$2:V219,V219)=1,V219,ROWS(Clean_Data[OrderID])+1)</f>
        <v>901</v>
      </c>
      <c r="AF219" s="1">
        <f>IF(COUNTIF($U$2:U219,U219)=1,U219,ROWS(Clean_Data[OrderID])+1)</f>
        <v>901</v>
      </c>
      <c r="AG219" s="1">
        <f>IF(COUNTIF($E$2:E219,E219)=1,ROW()-1,ROWS(Clean_Data[OrderID])+1)</f>
        <v>901</v>
      </c>
    </row>
    <row r="220" spans="1:33" ht="20" customHeight="1">
      <c r="A220" s="3" t="s">
        <v>502</v>
      </c>
      <c r="B220" s="2">
        <v>46273</v>
      </c>
      <c r="C220" s="3">
        <v>9</v>
      </c>
      <c r="D220" s="3" t="s">
        <v>503</v>
      </c>
      <c r="E220" s="3" t="s">
        <v>91</v>
      </c>
      <c r="F220" s="3" t="s">
        <v>109</v>
      </c>
      <c r="G220" s="3" t="s">
        <v>93</v>
      </c>
      <c r="H220" s="3" t="s">
        <v>94</v>
      </c>
      <c r="I220" s="3">
        <v>2</v>
      </c>
      <c r="J220" s="11">
        <v>95</v>
      </c>
      <c r="K220" s="4">
        <v>0</v>
      </c>
      <c r="L220" s="3" t="s">
        <v>95</v>
      </c>
      <c r="M220" s="3">
        <v>13</v>
      </c>
      <c r="N220" s="3">
        <v>11</v>
      </c>
      <c r="O220" s="3">
        <v>5</v>
      </c>
      <c r="P220" s="11">
        <f>Clean_Data[[#This Row],[Quantity]]*Clean_Data[[#This Row],[UnitPrice]]</f>
        <v>190</v>
      </c>
      <c r="Q220" s="11">
        <f>ROUND(Clean_Data[[#This Row],[GrossSales]]*Clean_Data[[#This Row],[DiscountPct]],2)</f>
        <v>0</v>
      </c>
      <c r="R220" s="11">
        <f>IF(Clean_Data[[#This Row],[Status]]="Delivered",ROUND(Clean_Data[[#This Row],[GrossSales]]-Clean_Data[[#This Row],[DiscountAmount]],2),0)</f>
        <v>190</v>
      </c>
      <c r="S220" s="3" t="str">
        <f>IF(Clean_Data[[#This Row],[OrderHour]]&lt;6,"Night",IF(Clean_Data[[#This Row],[OrderHour]]&lt;12,"Morning",IF(Clean_Data[[#This Row],[OrderHour]]&lt;18,"Afternoon","Evening")))</f>
        <v>Morning</v>
      </c>
      <c r="T220" s="3" t="str">
        <f>TEXT(Clean_Data[[#This Row],[OrderDate]],"[$-409]ddd")</f>
        <v>Tue</v>
      </c>
      <c r="U220" s="3">
        <f>WEEKDAY(Clean_Data[[#This Row],[OrderDate]],2)</f>
        <v>2</v>
      </c>
      <c r="V220" s="3">
        <f>INT(Clean_Data[[#This Row],[OrderHour]]/6)+1</f>
        <v>2</v>
      </c>
      <c r="W220" s="3">
        <f>IF(Clean_Data[[#This Row],[Status]]="Delivered",1,0)</f>
        <v>1</v>
      </c>
      <c r="X220" s="3">
        <f>IF(Clean_Data[[#This Row],[Status]]="Delivered",IF(Clean_Data[[#This Row],[DeliveryMinutes]]&lt;=Dashboard!$X$5,1,0),0)</f>
        <v>1</v>
      </c>
      <c r="Y2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0" s="3">
        <f>IF(AND(Clean_Data[[#This Row],[Include]]=1,Clean_Data[[#This Row],[DeliveredFlag]]=1),1,0)</f>
        <v>1</v>
      </c>
      <c r="AA220" s="1">
        <f>IF(COUNTIF($D$2:D220,D220)=1,ROW()-1,ROWS(Clean_Data[OrderID])+1)</f>
        <v>219</v>
      </c>
      <c r="AB220" s="1">
        <f>IF(COUNTIF($F$2:F220,F220)=1,ROW()-1,ROWS(Clean_Data[OrderID])+1)</f>
        <v>901</v>
      </c>
      <c r="AC220" s="1">
        <f>IF(COUNTIF($G$2:G220,G220)=1,ROW()-1,ROWS(Clean_Data[OrderID])+1)</f>
        <v>901</v>
      </c>
      <c r="AD220" s="1">
        <f>IF(COUNTIF($H$2:H220,H220)=1,ROW()-1,ROWS(Clean_Data[OrderID])+1)</f>
        <v>901</v>
      </c>
      <c r="AE220" s="1">
        <f>IF(COUNTIF($V$2:V220,V220)=1,V220,ROWS(Clean_Data[OrderID])+1)</f>
        <v>901</v>
      </c>
      <c r="AF220" s="1">
        <f>IF(COUNTIF($U$2:U220,U220)=1,U220,ROWS(Clean_Data[OrderID])+1)</f>
        <v>901</v>
      </c>
      <c r="AG220" s="1">
        <f>IF(COUNTIF($E$2:E220,E220)=1,ROW()-1,ROWS(Clean_Data[OrderID])+1)</f>
        <v>901</v>
      </c>
    </row>
    <row r="221" spans="1:33" ht="20" customHeight="1">
      <c r="A221" s="3" t="s">
        <v>504</v>
      </c>
      <c r="B221" s="2">
        <v>46273</v>
      </c>
      <c r="C221" s="3">
        <v>23</v>
      </c>
      <c r="D221" s="3" t="s">
        <v>406</v>
      </c>
      <c r="E221" s="3" t="s">
        <v>91</v>
      </c>
      <c r="F221" s="3" t="s">
        <v>121</v>
      </c>
      <c r="G221" s="3" t="s">
        <v>174</v>
      </c>
      <c r="H221" s="3" t="s">
        <v>184</v>
      </c>
      <c r="I221" s="3">
        <v>5</v>
      </c>
      <c r="J221" s="11">
        <v>62</v>
      </c>
      <c r="K221" s="4">
        <v>0.1</v>
      </c>
      <c r="L221" s="3" t="s">
        <v>95</v>
      </c>
      <c r="M221" s="3">
        <v>16</v>
      </c>
      <c r="N221" s="3">
        <v>13</v>
      </c>
      <c r="O221" s="3">
        <v>4</v>
      </c>
      <c r="P221" s="11">
        <f>Clean_Data[[#This Row],[Quantity]]*Clean_Data[[#This Row],[UnitPrice]]</f>
        <v>310</v>
      </c>
      <c r="Q221" s="11">
        <f>ROUND(Clean_Data[[#This Row],[GrossSales]]*Clean_Data[[#This Row],[DiscountPct]],2)</f>
        <v>31</v>
      </c>
      <c r="R221" s="11">
        <f>IF(Clean_Data[[#This Row],[Status]]="Delivered",ROUND(Clean_Data[[#This Row],[GrossSales]]-Clean_Data[[#This Row],[DiscountAmount]],2),0)</f>
        <v>279</v>
      </c>
      <c r="S221" s="3" t="str">
        <f>IF(Clean_Data[[#This Row],[OrderHour]]&lt;6,"Night",IF(Clean_Data[[#This Row],[OrderHour]]&lt;12,"Morning",IF(Clean_Data[[#This Row],[OrderHour]]&lt;18,"Afternoon","Evening")))</f>
        <v>Evening</v>
      </c>
      <c r="T221" s="3" t="str">
        <f>TEXT(Clean_Data[[#This Row],[OrderDate]],"[$-409]ddd")</f>
        <v>Tue</v>
      </c>
      <c r="U221" s="3">
        <f>WEEKDAY(Clean_Data[[#This Row],[OrderDate]],2)</f>
        <v>2</v>
      </c>
      <c r="V221" s="3">
        <f>INT(Clean_Data[[#This Row],[OrderHour]]/6)+1</f>
        <v>4</v>
      </c>
      <c r="W221" s="3">
        <f>IF(Clean_Data[[#This Row],[Status]]="Delivered",1,0)</f>
        <v>1</v>
      </c>
      <c r="X221" s="3">
        <f>IF(Clean_Data[[#This Row],[Status]]="Delivered",IF(Clean_Data[[#This Row],[DeliveryMinutes]]&lt;=Dashboard!$X$5,1,0),0)</f>
        <v>1</v>
      </c>
      <c r="Y2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1" s="3">
        <f>IF(AND(Clean_Data[[#This Row],[Include]]=1,Clean_Data[[#This Row],[DeliveredFlag]]=1),1,0)</f>
        <v>1</v>
      </c>
      <c r="AA221" s="1">
        <f>IF(COUNTIF($D$2:D221,D221)=1,ROW()-1,ROWS(Clean_Data[OrderID])+1)</f>
        <v>901</v>
      </c>
      <c r="AB221" s="1">
        <f>IF(COUNTIF($F$2:F221,F221)=1,ROW()-1,ROWS(Clean_Data[OrderID])+1)</f>
        <v>901</v>
      </c>
      <c r="AC221" s="1">
        <f>IF(COUNTIF($G$2:G221,G221)=1,ROW()-1,ROWS(Clean_Data[OrderID])+1)</f>
        <v>901</v>
      </c>
      <c r="AD221" s="1">
        <f>IF(COUNTIF($H$2:H221,H221)=1,ROW()-1,ROWS(Clean_Data[OrderID])+1)</f>
        <v>901</v>
      </c>
      <c r="AE221" s="1">
        <f>IF(COUNTIF($V$2:V221,V221)=1,V221,ROWS(Clean_Data[OrderID])+1)</f>
        <v>901</v>
      </c>
      <c r="AF221" s="1">
        <f>IF(COUNTIF($U$2:U221,U221)=1,U221,ROWS(Clean_Data[OrderID])+1)</f>
        <v>901</v>
      </c>
      <c r="AG221" s="1">
        <f>IF(COUNTIF($E$2:E221,E221)=1,ROW()-1,ROWS(Clean_Data[OrderID])+1)</f>
        <v>901</v>
      </c>
    </row>
    <row r="222" spans="1:33" ht="20" customHeight="1">
      <c r="A222" s="3" t="s">
        <v>505</v>
      </c>
      <c r="B222" s="2">
        <v>46273</v>
      </c>
      <c r="C222" s="3">
        <v>6</v>
      </c>
      <c r="D222" s="3" t="s">
        <v>132</v>
      </c>
      <c r="E222" s="3" t="s">
        <v>91</v>
      </c>
      <c r="F222" s="3" t="s">
        <v>92</v>
      </c>
      <c r="G222" s="3" t="s">
        <v>99</v>
      </c>
      <c r="H222" s="3" t="s">
        <v>104</v>
      </c>
      <c r="I222" s="3">
        <v>6</v>
      </c>
      <c r="J222" s="11">
        <v>240</v>
      </c>
      <c r="K222" s="4">
        <v>0.05</v>
      </c>
      <c r="L222" s="3" t="s">
        <v>95</v>
      </c>
      <c r="M222" s="3">
        <v>12</v>
      </c>
      <c r="N222" s="3">
        <v>8</v>
      </c>
      <c r="O222" s="3">
        <v>5</v>
      </c>
      <c r="P222" s="11">
        <f>Clean_Data[[#This Row],[Quantity]]*Clean_Data[[#This Row],[UnitPrice]]</f>
        <v>1440</v>
      </c>
      <c r="Q222" s="11">
        <f>ROUND(Clean_Data[[#This Row],[GrossSales]]*Clean_Data[[#This Row],[DiscountPct]],2)</f>
        <v>72</v>
      </c>
      <c r="R222" s="11">
        <f>IF(Clean_Data[[#This Row],[Status]]="Delivered",ROUND(Clean_Data[[#This Row],[GrossSales]]-Clean_Data[[#This Row],[DiscountAmount]],2),0)</f>
        <v>1368</v>
      </c>
      <c r="S222" s="3" t="str">
        <f>IF(Clean_Data[[#This Row],[OrderHour]]&lt;6,"Night",IF(Clean_Data[[#This Row],[OrderHour]]&lt;12,"Morning",IF(Clean_Data[[#This Row],[OrderHour]]&lt;18,"Afternoon","Evening")))</f>
        <v>Morning</v>
      </c>
      <c r="T222" s="3" t="str">
        <f>TEXT(Clean_Data[[#This Row],[OrderDate]],"[$-409]ddd")</f>
        <v>Tue</v>
      </c>
      <c r="U222" s="3">
        <f>WEEKDAY(Clean_Data[[#This Row],[OrderDate]],2)</f>
        <v>2</v>
      </c>
      <c r="V222" s="3">
        <f>INT(Clean_Data[[#This Row],[OrderHour]]/6)+1</f>
        <v>2</v>
      </c>
      <c r="W222" s="3">
        <f>IF(Clean_Data[[#This Row],[Status]]="Delivered",1,0)</f>
        <v>1</v>
      </c>
      <c r="X222" s="3">
        <f>IF(Clean_Data[[#This Row],[Status]]="Delivered",IF(Clean_Data[[#This Row],[DeliveryMinutes]]&lt;=Dashboard!$X$5,1,0),0)</f>
        <v>1</v>
      </c>
      <c r="Y2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2" s="3">
        <f>IF(AND(Clean_Data[[#This Row],[Include]]=1,Clean_Data[[#This Row],[DeliveredFlag]]=1),1,0)</f>
        <v>1</v>
      </c>
      <c r="AA222" s="1">
        <f>IF(COUNTIF($D$2:D222,D222)=1,ROW()-1,ROWS(Clean_Data[OrderID])+1)</f>
        <v>901</v>
      </c>
      <c r="AB222" s="1">
        <f>IF(COUNTIF($F$2:F222,F222)=1,ROW()-1,ROWS(Clean_Data[OrderID])+1)</f>
        <v>901</v>
      </c>
      <c r="AC222" s="1">
        <f>IF(COUNTIF($G$2:G222,G222)=1,ROW()-1,ROWS(Clean_Data[OrderID])+1)</f>
        <v>901</v>
      </c>
      <c r="AD222" s="1">
        <f>IF(COUNTIF($H$2:H222,H222)=1,ROW()-1,ROWS(Clean_Data[OrderID])+1)</f>
        <v>901</v>
      </c>
      <c r="AE222" s="1">
        <f>IF(COUNTIF($V$2:V222,V222)=1,V222,ROWS(Clean_Data[OrderID])+1)</f>
        <v>901</v>
      </c>
      <c r="AF222" s="1">
        <f>IF(COUNTIF($U$2:U222,U222)=1,U222,ROWS(Clean_Data[OrderID])+1)</f>
        <v>901</v>
      </c>
      <c r="AG222" s="1">
        <f>IF(COUNTIF($E$2:E222,E222)=1,ROW()-1,ROWS(Clean_Data[OrderID])+1)</f>
        <v>901</v>
      </c>
    </row>
    <row r="223" spans="1:33" ht="20" customHeight="1">
      <c r="A223" s="3" t="s">
        <v>506</v>
      </c>
      <c r="B223" s="2">
        <v>46273</v>
      </c>
      <c r="C223" s="3">
        <v>8</v>
      </c>
      <c r="D223" s="3" t="s">
        <v>155</v>
      </c>
      <c r="E223" s="3" t="s">
        <v>91</v>
      </c>
      <c r="F223" s="3" t="s">
        <v>109</v>
      </c>
      <c r="G223" s="3" t="s">
        <v>93</v>
      </c>
      <c r="H223" s="3" t="s">
        <v>146</v>
      </c>
      <c r="I223" s="3">
        <v>5</v>
      </c>
      <c r="J223" s="11">
        <v>110</v>
      </c>
      <c r="K223" s="4">
        <v>0</v>
      </c>
      <c r="L223" s="3" t="s">
        <v>95</v>
      </c>
      <c r="M223" s="3">
        <v>36</v>
      </c>
      <c r="N223" s="3">
        <v>13</v>
      </c>
      <c r="O223" s="3">
        <v>4</v>
      </c>
      <c r="P223" s="11">
        <f>Clean_Data[[#This Row],[Quantity]]*Clean_Data[[#This Row],[UnitPrice]]</f>
        <v>550</v>
      </c>
      <c r="Q223" s="11">
        <f>ROUND(Clean_Data[[#This Row],[GrossSales]]*Clean_Data[[#This Row],[DiscountPct]],2)</f>
        <v>0</v>
      </c>
      <c r="R223" s="11">
        <f>IF(Clean_Data[[#This Row],[Status]]="Delivered",ROUND(Clean_Data[[#This Row],[GrossSales]]-Clean_Data[[#This Row],[DiscountAmount]],2),0)</f>
        <v>550</v>
      </c>
      <c r="S223" s="3" t="str">
        <f>IF(Clean_Data[[#This Row],[OrderHour]]&lt;6,"Night",IF(Clean_Data[[#This Row],[OrderHour]]&lt;12,"Morning",IF(Clean_Data[[#This Row],[OrderHour]]&lt;18,"Afternoon","Evening")))</f>
        <v>Morning</v>
      </c>
      <c r="T223" s="3" t="str">
        <f>TEXT(Clean_Data[[#This Row],[OrderDate]],"[$-409]ddd")</f>
        <v>Tue</v>
      </c>
      <c r="U223" s="3">
        <f>WEEKDAY(Clean_Data[[#This Row],[OrderDate]],2)</f>
        <v>2</v>
      </c>
      <c r="V223" s="3">
        <f>INT(Clean_Data[[#This Row],[OrderHour]]/6)+1</f>
        <v>2</v>
      </c>
      <c r="W223" s="3">
        <f>IF(Clean_Data[[#This Row],[Status]]="Delivered",1,0)</f>
        <v>1</v>
      </c>
      <c r="X223" s="3">
        <f>IF(Clean_Data[[#This Row],[Status]]="Delivered",IF(Clean_Data[[#This Row],[DeliveryMinutes]]&lt;=Dashboard!$X$5,1,0),0)</f>
        <v>0</v>
      </c>
      <c r="Y2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3" s="3">
        <f>IF(AND(Clean_Data[[#This Row],[Include]]=1,Clean_Data[[#This Row],[DeliveredFlag]]=1),1,0)</f>
        <v>1</v>
      </c>
      <c r="AA223" s="1">
        <f>IF(COUNTIF($D$2:D223,D223)=1,ROW()-1,ROWS(Clean_Data[OrderID])+1)</f>
        <v>901</v>
      </c>
      <c r="AB223" s="1">
        <f>IF(COUNTIF($F$2:F223,F223)=1,ROW()-1,ROWS(Clean_Data[OrderID])+1)</f>
        <v>901</v>
      </c>
      <c r="AC223" s="1">
        <f>IF(COUNTIF($G$2:G223,G223)=1,ROW()-1,ROWS(Clean_Data[OrderID])+1)</f>
        <v>901</v>
      </c>
      <c r="AD223" s="1">
        <f>IF(COUNTIF($H$2:H223,H223)=1,ROW()-1,ROWS(Clean_Data[OrderID])+1)</f>
        <v>901</v>
      </c>
      <c r="AE223" s="1">
        <f>IF(COUNTIF($V$2:V223,V223)=1,V223,ROWS(Clean_Data[OrderID])+1)</f>
        <v>901</v>
      </c>
      <c r="AF223" s="1">
        <f>IF(COUNTIF($U$2:U223,U223)=1,U223,ROWS(Clean_Data[OrderID])+1)</f>
        <v>901</v>
      </c>
      <c r="AG223" s="1">
        <f>IF(COUNTIF($E$2:E223,E223)=1,ROW()-1,ROWS(Clean_Data[OrderID])+1)</f>
        <v>901</v>
      </c>
    </row>
    <row r="224" spans="1:33" ht="20" customHeight="1">
      <c r="A224" s="3" t="s">
        <v>507</v>
      </c>
      <c r="B224" s="2">
        <v>46273</v>
      </c>
      <c r="C224" s="3">
        <v>14</v>
      </c>
      <c r="D224" s="3" t="s">
        <v>508</v>
      </c>
      <c r="E224" s="3" t="s">
        <v>117</v>
      </c>
      <c r="F224" s="3" t="s">
        <v>92</v>
      </c>
      <c r="G224" s="3" t="s">
        <v>110</v>
      </c>
      <c r="H224" s="3" t="s">
        <v>206</v>
      </c>
      <c r="I224" s="3">
        <v>4</v>
      </c>
      <c r="J224" s="11">
        <v>220</v>
      </c>
      <c r="K224" s="4">
        <v>0</v>
      </c>
      <c r="L224" s="3" t="s">
        <v>95</v>
      </c>
      <c r="M224" s="3">
        <v>17</v>
      </c>
      <c r="N224" s="3">
        <v>12</v>
      </c>
      <c r="O224" s="3">
        <v>4</v>
      </c>
      <c r="P224" s="11">
        <f>Clean_Data[[#This Row],[Quantity]]*Clean_Data[[#This Row],[UnitPrice]]</f>
        <v>880</v>
      </c>
      <c r="Q224" s="11">
        <f>ROUND(Clean_Data[[#This Row],[GrossSales]]*Clean_Data[[#This Row],[DiscountPct]],2)</f>
        <v>0</v>
      </c>
      <c r="R224" s="11">
        <f>IF(Clean_Data[[#This Row],[Status]]="Delivered",ROUND(Clean_Data[[#This Row],[GrossSales]]-Clean_Data[[#This Row],[DiscountAmount]],2),0)</f>
        <v>880</v>
      </c>
      <c r="S224" s="3" t="str">
        <f>IF(Clean_Data[[#This Row],[OrderHour]]&lt;6,"Night",IF(Clean_Data[[#This Row],[OrderHour]]&lt;12,"Morning",IF(Clean_Data[[#This Row],[OrderHour]]&lt;18,"Afternoon","Evening")))</f>
        <v>Afternoon</v>
      </c>
      <c r="T224" s="3" t="str">
        <f>TEXT(Clean_Data[[#This Row],[OrderDate]],"[$-409]ddd")</f>
        <v>Tue</v>
      </c>
      <c r="U224" s="3">
        <f>WEEKDAY(Clean_Data[[#This Row],[OrderDate]],2)</f>
        <v>2</v>
      </c>
      <c r="V224" s="3">
        <f>INT(Clean_Data[[#This Row],[OrderHour]]/6)+1</f>
        <v>3</v>
      </c>
      <c r="W224" s="3">
        <f>IF(Clean_Data[[#This Row],[Status]]="Delivered",1,0)</f>
        <v>1</v>
      </c>
      <c r="X224" s="3">
        <f>IF(Clean_Data[[#This Row],[Status]]="Delivered",IF(Clean_Data[[#This Row],[DeliveryMinutes]]&lt;=Dashboard!$X$5,1,0),0)</f>
        <v>1</v>
      </c>
      <c r="Y2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4" s="3">
        <f>IF(AND(Clean_Data[[#This Row],[Include]]=1,Clean_Data[[#This Row],[DeliveredFlag]]=1),1,0)</f>
        <v>1</v>
      </c>
      <c r="AA224" s="1">
        <f>IF(COUNTIF($D$2:D224,D224)=1,ROW()-1,ROWS(Clean_Data[OrderID])+1)</f>
        <v>223</v>
      </c>
      <c r="AB224" s="1">
        <f>IF(COUNTIF($F$2:F224,F224)=1,ROW()-1,ROWS(Clean_Data[OrderID])+1)</f>
        <v>901</v>
      </c>
      <c r="AC224" s="1">
        <f>IF(COUNTIF($G$2:G224,G224)=1,ROW()-1,ROWS(Clean_Data[OrderID])+1)</f>
        <v>901</v>
      </c>
      <c r="AD224" s="1">
        <f>IF(COUNTIF($H$2:H224,H224)=1,ROW()-1,ROWS(Clean_Data[OrderID])+1)</f>
        <v>901</v>
      </c>
      <c r="AE224" s="1">
        <f>IF(COUNTIF($V$2:V224,V224)=1,V224,ROWS(Clean_Data[OrderID])+1)</f>
        <v>901</v>
      </c>
      <c r="AF224" s="1">
        <f>IF(COUNTIF($U$2:U224,U224)=1,U224,ROWS(Clean_Data[OrderID])+1)</f>
        <v>901</v>
      </c>
      <c r="AG224" s="1">
        <f>IF(COUNTIF($E$2:E224,E224)=1,ROW()-1,ROWS(Clean_Data[OrderID])+1)</f>
        <v>901</v>
      </c>
    </row>
    <row r="225" spans="1:33" ht="20" customHeight="1">
      <c r="A225" s="3" t="s">
        <v>509</v>
      </c>
      <c r="B225" s="2">
        <v>46273</v>
      </c>
      <c r="C225" s="3">
        <v>11</v>
      </c>
      <c r="D225" s="3" t="s">
        <v>234</v>
      </c>
      <c r="E225" s="3" t="s">
        <v>91</v>
      </c>
      <c r="F225" s="3" t="s">
        <v>139</v>
      </c>
      <c r="G225" s="3" t="s">
        <v>122</v>
      </c>
      <c r="H225" s="3" t="s">
        <v>214</v>
      </c>
      <c r="I225" s="3">
        <v>1</v>
      </c>
      <c r="J225" s="11">
        <v>55</v>
      </c>
      <c r="K225" s="4">
        <v>0</v>
      </c>
      <c r="L225" s="3" t="s">
        <v>95</v>
      </c>
      <c r="M225" s="3">
        <v>15</v>
      </c>
      <c r="N225" s="3">
        <v>13</v>
      </c>
      <c r="O225" s="3">
        <v>4</v>
      </c>
      <c r="P225" s="11">
        <f>Clean_Data[[#This Row],[Quantity]]*Clean_Data[[#This Row],[UnitPrice]]</f>
        <v>55</v>
      </c>
      <c r="Q225" s="11">
        <f>ROUND(Clean_Data[[#This Row],[GrossSales]]*Clean_Data[[#This Row],[DiscountPct]],2)</f>
        <v>0</v>
      </c>
      <c r="R225" s="11">
        <f>IF(Clean_Data[[#This Row],[Status]]="Delivered",ROUND(Clean_Data[[#This Row],[GrossSales]]-Clean_Data[[#This Row],[DiscountAmount]],2),0)</f>
        <v>55</v>
      </c>
      <c r="S225" s="3" t="str">
        <f>IF(Clean_Data[[#This Row],[OrderHour]]&lt;6,"Night",IF(Clean_Data[[#This Row],[OrderHour]]&lt;12,"Morning",IF(Clean_Data[[#This Row],[OrderHour]]&lt;18,"Afternoon","Evening")))</f>
        <v>Morning</v>
      </c>
      <c r="T225" s="3" t="str">
        <f>TEXT(Clean_Data[[#This Row],[OrderDate]],"[$-409]ddd")</f>
        <v>Tue</v>
      </c>
      <c r="U225" s="3">
        <f>WEEKDAY(Clean_Data[[#This Row],[OrderDate]],2)</f>
        <v>2</v>
      </c>
      <c r="V225" s="3">
        <f>INT(Clean_Data[[#This Row],[OrderHour]]/6)+1</f>
        <v>2</v>
      </c>
      <c r="W225" s="3">
        <f>IF(Clean_Data[[#This Row],[Status]]="Delivered",1,0)</f>
        <v>1</v>
      </c>
      <c r="X225" s="3">
        <f>IF(Clean_Data[[#This Row],[Status]]="Delivered",IF(Clean_Data[[#This Row],[DeliveryMinutes]]&lt;=Dashboard!$X$5,1,0),0)</f>
        <v>1</v>
      </c>
      <c r="Y2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5" s="3">
        <f>IF(AND(Clean_Data[[#This Row],[Include]]=1,Clean_Data[[#This Row],[DeliveredFlag]]=1),1,0)</f>
        <v>1</v>
      </c>
      <c r="AA225" s="1">
        <f>IF(COUNTIF($D$2:D225,D225)=1,ROW()-1,ROWS(Clean_Data[OrderID])+1)</f>
        <v>901</v>
      </c>
      <c r="AB225" s="1">
        <f>IF(COUNTIF($F$2:F225,F225)=1,ROW()-1,ROWS(Clean_Data[OrderID])+1)</f>
        <v>901</v>
      </c>
      <c r="AC225" s="1">
        <f>IF(COUNTIF($G$2:G225,G225)=1,ROW()-1,ROWS(Clean_Data[OrderID])+1)</f>
        <v>901</v>
      </c>
      <c r="AD225" s="1">
        <f>IF(COUNTIF($H$2:H225,H225)=1,ROW()-1,ROWS(Clean_Data[OrderID])+1)</f>
        <v>901</v>
      </c>
      <c r="AE225" s="1">
        <f>IF(COUNTIF($V$2:V225,V225)=1,V225,ROWS(Clean_Data[OrderID])+1)</f>
        <v>901</v>
      </c>
      <c r="AF225" s="1">
        <f>IF(COUNTIF($U$2:U225,U225)=1,U225,ROWS(Clean_Data[OrderID])+1)</f>
        <v>901</v>
      </c>
      <c r="AG225" s="1">
        <f>IF(COUNTIF($E$2:E225,E225)=1,ROW()-1,ROWS(Clean_Data[OrderID])+1)</f>
        <v>901</v>
      </c>
    </row>
    <row r="226" spans="1:33" ht="20" customHeight="1">
      <c r="A226" s="3" t="s">
        <v>510</v>
      </c>
      <c r="B226" s="2">
        <v>46273</v>
      </c>
      <c r="C226" s="3">
        <v>7</v>
      </c>
      <c r="D226" s="3" t="s">
        <v>511</v>
      </c>
      <c r="E226" s="3" t="s">
        <v>91</v>
      </c>
      <c r="F226" s="3" t="s">
        <v>139</v>
      </c>
      <c r="G226" s="3" t="s">
        <v>174</v>
      </c>
      <c r="H226" s="3" t="s">
        <v>184</v>
      </c>
      <c r="I226" s="3">
        <v>3</v>
      </c>
      <c r="J226" s="11">
        <v>62</v>
      </c>
      <c r="K226" s="4">
        <v>0</v>
      </c>
      <c r="L226" s="3" t="s">
        <v>95</v>
      </c>
      <c r="M226" s="3">
        <v>29</v>
      </c>
      <c r="N226" s="3">
        <v>14</v>
      </c>
      <c r="O226" s="3">
        <v>3</v>
      </c>
      <c r="P226" s="11">
        <f>Clean_Data[[#This Row],[Quantity]]*Clean_Data[[#This Row],[UnitPrice]]</f>
        <v>186</v>
      </c>
      <c r="Q226" s="11">
        <f>ROUND(Clean_Data[[#This Row],[GrossSales]]*Clean_Data[[#This Row],[DiscountPct]],2)</f>
        <v>0</v>
      </c>
      <c r="R226" s="11">
        <f>IF(Clean_Data[[#This Row],[Status]]="Delivered",ROUND(Clean_Data[[#This Row],[GrossSales]]-Clean_Data[[#This Row],[DiscountAmount]],2),0)</f>
        <v>186</v>
      </c>
      <c r="S226" s="3" t="str">
        <f>IF(Clean_Data[[#This Row],[OrderHour]]&lt;6,"Night",IF(Clean_Data[[#This Row],[OrderHour]]&lt;12,"Morning",IF(Clean_Data[[#This Row],[OrderHour]]&lt;18,"Afternoon","Evening")))</f>
        <v>Morning</v>
      </c>
      <c r="T226" s="3" t="str">
        <f>TEXT(Clean_Data[[#This Row],[OrderDate]],"[$-409]ddd")</f>
        <v>Tue</v>
      </c>
      <c r="U226" s="3">
        <f>WEEKDAY(Clean_Data[[#This Row],[OrderDate]],2)</f>
        <v>2</v>
      </c>
      <c r="V226" s="3">
        <f>INT(Clean_Data[[#This Row],[OrderHour]]/6)+1</f>
        <v>2</v>
      </c>
      <c r="W226" s="3">
        <f>IF(Clean_Data[[#This Row],[Status]]="Delivered",1,0)</f>
        <v>1</v>
      </c>
      <c r="X226" s="3">
        <f>IF(Clean_Data[[#This Row],[Status]]="Delivered",IF(Clean_Data[[#This Row],[DeliveryMinutes]]&lt;=Dashboard!$X$5,1,0),0)</f>
        <v>1</v>
      </c>
      <c r="Y2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6" s="3">
        <f>IF(AND(Clean_Data[[#This Row],[Include]]=1,Clean_Data[[#This Row],[DeliveredFlag]]=1),1,0)</f>
        <v>1</v>
      </c>
      <c r="AA226" s="1">
        <f>IF(COUNTIF($D$2:D226,D226)=1,ROW()-1,ROWS(Clean_Data[OrderID])+1)</f>
        <v>225</v>
      </c>
      <c r="AB226" s="1">
        <f>IF(COUNTIF($F$2:F226,F226)=1,ROW()-1,ROWS(Clean_Data[OrderID])+1)</f>
        <v>901</v>
      </c>
      <c r="AC226" s="1">
        <f>IF(COUNTIF($G$2:G226,G226)=1,ROW()-1,ROWS(Clean_Data[OrderID])+1)</f>
        <v>901</v>
      </c>
      <c r="AD226" s="1">
        <f>IF(COUNTIF($H$2:H226,H226)=1,ROW()-1,ROWS(Clean_Data[OrderID])+1)</f>
        <v>901</v>
      </c>
      <c r="AE226" s="1">
        <f>IF(COUNTIF($V$2:V226,V226)=1,V226,ROWS(Clean_Data[OrderID])+1)</f>
        <v>901</v>
      </c>
      <c r="AF226" s="1">
        <f>IF(COUNTIF($U$2:U226,U226)=1,U226,ROWS(Clean_Data[OrderID])+1)</f>
        <v>901</v>
      </c>
      <c r="AG226" s="1">
        <f>IF(COUNTIF($E$2:E226,E226)=1,ROW()-1,ROWS(Clean_Data[OrderID])+1)</f>
        <v>901</v>
      </c>
    </row>
    <row r="227" spans="1:33" ht="20" customHeight="1">
      <c r="A227" s="3" t="s">
        <v>512</v>
      </c>
      <c r="B227" s="2">
        <v>46273</v>
      </c>
      <c r="C227" s="3">
        <v>13</v>
      </c>
      <c r="D227" s="3" t="s">
        <v>513</v>
      </c>
      <c r="E227" s="3" t="s">
        <v>117</v>
      </c>
      <c r="F227" s="3" t="s">
        <v>109</v>
      </c>
      <c r="G227" s="3" t="s">
        <v>135</v>
      </c>
      <c r="H227" s="3" t="s">
        <v>217</v>
      </c>
      <c r="I227" s="3">
        <v>1</v>
      </c>
      <c r="J227" s="11">
        <v>65</v>
      </c>
      <c r="K227" s="4">
        <v>0</v>
      </c>
      <c r="L227" s="3" t="s">
        <v>95</v>
      </c>
      <c r="M227" s="3">
        <v>27</v>
      </c>
      <c r="N227" s="3">
        <v>4</v>
      </c>
      <c r="O227" s="3">
        <v>5</v>
      </c>
      <c r="P227" s="11">
        <f>Clean_Data[[#This Row],[Quantity]]*Clean_Data[[#This Row],[UnitPrice]]</f>
        <v>65</v>
      </c>
      <c r="Q227" s="11">
        <f>ROUND(Clean_Data[[#This Row],[GrossSales]]*Clean_Data[[#This Row],[DiscountPct]],2)</f>
        <v>0</v>
      </c>
      <c r="R227" s="11">
        <f>IF(Clean_Data[[#This Row],[Status]]="Delivered",ROUND(Clean_Data[[#This Row],[GrossSales]]-Clean_Data[[#This Row],[DiscountAmount]],2),0)</f>
        <v>65</v>
      </c>
      <c r="S227" s="3" t="str">
        <f>IF(Clean_Data[[#This Row],[OrderHour]]&lt;6,"Night",IF(Clean_Data[[#This Row],[OrderHour]]&lt;12,"Morning",IF(Clean_Data[[#This Row],[OrderHour]]&lt;18,"Afternoon","Evening")))</f>
        <v>Afternoon</v>
      </c>
      <c r="T227" s="3" t="str">
        <f>TEXT(Clean_Data[[#This Row],[OrderDate]],"[$-409]ddd")</f>
        <v>Tue</v>
      </c>
      <c r="U227" s="3">
        <f>WEEKDAY(Clean_Data[[#This Row],[OrderDate]],2)</f>
        <v>2</v>
      </c>
      <c r="V227" s="3">
        <f>INT(Clean_Data[[#This Row],[OrderHour]]/6)+1</f>
        <v>3</v>
      </c>
      <c r="W227" s="3">
        <f>IF(Clean_Data[[#This Row],[Status]]="Delivered",1,0)</f>
        <v>1</v>
      </c>
      <c r="X227" s="3">
        <f>IF(Clean_Data[[#This Row],[Status]]="Delivered",IF(Clean_Data[[#This Row],[DeliveryMinutes]]&lt;=Dashboard!$X$5,1,0),0)</f>
        <v>1</v>
      </c>
      <c r="Y2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7" s="3">
        <f>IF(AND(Clean_Data[[#This Row],[Include]]=1,Clean_Data[[#This Row],[DeliveredFlag]]=1),1,0)</f>
        <v>1</v>
      </c>
      <c r="AA227" s="1">
        <f>IF(COUNTIF($D$2:D227,D227)=1,ROW()-1,ROWS(Clean_Data[OrderID])+1)</f>
        <v>226</v>
      </c>
      <c r="AB227" s="1">
        <f>IF(COUNTIF($F$2:F227,F227)=1,ROW()-1,ROWS(Clean_Data[OrderID])+1)</f>
        <v>901</v>
      </c>
      <c r="AC227" s="1">
        <f>IF(COUNTIF($G$2:G227,G227)=1,ROW()-1,ROWS(Clean_Data[OrderID])+1)</f>
        <v>901</v>
      </c>
      <c r="AD227" s="1">
        <f>IF(COUNTIF($H$2:H227,H227)=1,ROW()-1,ROWS(Clean_Data[OrderID])+1)</f>
        <v>901</v>
      </c>
      <c r="AE227" s="1">
        <f>IF(COUNTIF($V$2:V227,V227)=1,V227,ROWS(Clean_Data[OrderID])+1)</f>
        <v>901</v>
      </c>
      <c r="AF227" s="1">
        <f>IF(COUNTIF($U$2:U227,U227)=1,U227,ROWS(Clean_Data[OrderID])+1)</f>
        <v>901</v>
      </c>
      <c r="AG227" s="1">
        <f>IF(COUNTIF($E$2:E227,E227)=1,ROW()-1,ROWS(Clean_Data[OrderID])+1)</f>
        <v>901</v>
      </c>
    </row>
    <row r="228" spans="1:33" ht="20" customHeight="1">
      <c r="A228" s="3" t="s">
        <v>514</v>
      </c>
      <c r="B228" s="2">
        <v>46273</v>
      </c>
      <c r="C228" s="3">
        <v>17</v>
      </c>
      <c r="D228" s="3" t="s">
        <v>316</v>
      </c>
      <c r="E228" s="3" t="s">
        <v>117</v>
      </c>
      <c r="F228" s="3" t="s">
        <v>92</v>
      </c>
      <c r="G228" s="3" t="s">
        <v>174</v>
      </c>
      <c r="H228" s="3" t="s">
        <v>175</v>
      </c>
      <c r="I228" s="3">
        <v>3</v>
      </c>
      <c r="J228" s="11">
        <v>155</v>
      </c>
      <c r="K228" s="4">
        <v>0.15</v>
      </c>
      <c r="L228" s="3" t="s">
        <v>95</v>
      </c>
      <c r="M228" s="3">
        <v>22</v>
      </c>
      <c r="N228" s="3">
        <v>9</v>
      </c>
      <c r="O228" s="3">
        <v>5</v>
      </c>
      <c r="P228" s="11">
        <f>Clean_Data[[#This Row],[Quantity]]*Clean_Data[[#This Row],[UnitPrice]]</f>
        <v>465</v>
      </c>
      <c r="Q228" s="11">
        <f>ROUND(Clean_Data[[#This Row],[GrossSales]]*Clean_Data[[#This Row],[DiscountPct]],2)</f>
        <v>69.75</v>
      </c>
      <c r="R228" s="11">
        <f>IF(Clean_Data[[#This Row],[Status]]="Delivered",ROUND(Clean_Data[[#This Row],[GrossSales]]-Clean_Data[[#This Row],[DiscountAmount]],2),0)</f>
        <v>395.25</v>
      </c>
      <c r="S228" s="3" t="str">
        <f>IF(Clean_Data[[#This Row],[OrderHour]]&lt;6,"Night",IF(Clean_Data[[#This Row],[OrderHour]]&lt;12,"Morning",IF(Clean_Data[[#This Row],[OrderHour]]&lt;18,"Afternoon","Evening")))</f>
        <v>Afternoon</v>
      </c>
      <c r="T228" s="3" t="str">
        <f>TEXT(Clean_Data[[#This Row],[OrderDate]],"[$-409]ddd")</f>
        <v>Tue</v>
      </c>
      <c r="U228" s="3">
        <f>WEEKDAY(Clean_Data[[#This Row],[OrderDate]],2)</f>
        <v>2</v>
      </c>
      <c r="V228" s="3">
        <f>INT(Clean_Data[[#This Row],[OrderHour]]/6)+1</f>
        <v>3</v>
      </c>
      <c r="W228" s="3">
        <f>IF(Clean_Data[[#This Row],[Status]]="Delivered",1,0)</f>
        <v>1</v>
      </c>
      <c r="X228" s="3">
        <f>IF(Clean_Data[[#This Row],[Status]]="Delivered",IF(Clean_Data[[#This Row],[DeliveryMinutes]]&lt;=Dashboard!$X$5,1,0),0)</f>
        <v>1</v>
      </c>
      <c r="Y2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8" s="3">
        <f>IF(AND(Clean_Data[[#This Row],[Include]]=1,Clean_Data[[#This Row],[DeliveredFlag]]=1),1,0)</f>
        <v>1</v>
      </c>
      <c r="AA228" s="1">
        <f>IF(COUNTIF($D$2:D228,D228)=1,ROW()-1,ROWS(Clean_Data[OrderID])+1)</f>
        <v>901</v>
      </c>
      <c r="AB228" s="1">
        <f>IF(COUNTIF($F$2:F228,F228)=1,ROW()-1,ROWS(Clean_Data[OrderID])+1)</f>
        <v>901</v>
      </c>
      <c r="AC228" s="1">
        <f>IF(COUNTIF($G$2:G228,G228)=1,ROW()-1,ROWS(Clean_Data[OrderID])+1)</f>
        <v>901</v>
      </c>
      <c r="AD228" s="1">
        <f>IF(COUNTIF($H$2:H228,H228)=1,ROW()-1,ROWS(Clean_Data[OrderID])+1)</f>
        <v>901</v>
      </c>
      <c r="AE228" s="1">
        <f>IF(COUNTIF($V$2:V228,V228)=1,V228,ROWS(Clean_Data[OrderID])+1)</f>
        <v>901</v>
      </c>
      <c r="AF228" s="1">
        <f>IF(COUNTIF($U$2:U228,U228)=1,U228,ROWS(Clean_Data[OrderID])+1)</f>
        <v>901</v>
      </c>
      <c r="AG228" s="1">
        <f>IF(COUNTIF($E$2:E228,E228)=1,ROW()-1,ROWS(Clean_Data[OrderID])+1)</f>
        <v>901</v>
      </c>
    </row>
    <row r="229" spans="1:33" ht="20" customHeight="1">
      <c r="A229" s="3" t="s">
        <v>515</v>
      </c>
      <c r="B229" s="2">
        <v>46273</v>
      </c>
      <c r="C229" s="3">
        <v>8</v>
      </c>
      <c r="D229" s="3" t="s">
        <v>516</v>
      </c>
      <c r="E229" s="3" t="s">
        <v>117</v>
      </c>
      <c r="F229" s="3" t="s">
        <v>109</v>
      </c>
      <c r="G229" s="3" t="s">
        <v>135</v>
      </c>
      <c r="H229" s="3" t="s">
        <v>162</v>
      </c>
      <c r="I229" s="3">
        <v>4</v>
      </c>
      <c r="J229" s="11">
        <v>180</v>
      </c>
      <c r="K229" s="4">
        <v>0</v>
      </c>
      <c r="L229" s="3" t="s">
        <v>101</v>
      </c>
      <c r="M229" s="3"/>
      <c r="N229" s="3"/>
      <c r="O229" s="3"/>
      <c r="P229" s="11">
        <f>Clean_Data[[#This Row],[Quantity]]*Clean_Data[[#This Row],[UnitPrice]]</f>
        <v>720</v>
      </c>
      <c r="Q229" s="11">
        <f>ROUND(Clean_Data[[#This Row],[GrossSales]]*Clean_Data[[#This Row],[DiscountPct]],2)</f>
        <v>0</v>
      </c>
      <c r="R229" s="11">
        <f>IF(Clean_Data[[#This Row],[Status]]="Delivered",ROUND(Clean_Data[[#This Row],[GrossSales]]-Clean_Data[[#This Row],[DiscountAmount]],2),0)</f>
        <v>0</v>
      </c>
      <c r="S229" s="3" t="str">
        <f>IF(Clean_Data[[#This Row],[OrderHour]]&lt;6,"Night",IF(Clean_Data[[#This Row],[OrderHour]]&lt;12,"Morning",IF(Clean_Data[[#This Row],[OrderHour]]&lt;18,"Afternoon","Evening")))</f>
        <v>Morning</v>
      </c>
      <c r="T229" s="3" t="str">
        <f>TEXT(Clean_Data[[#This Row],[OrderDate]],"[$-409]ddd")</f>
        <v>Tue</v>
      </c>
      <c r="U229" s="3">
        <f>WEEKDAY(Clean_Data[[#This Row],[OrderDate]],2)</f>
        <v>2</v>
      </c>
      <c r="V229" s="3">
        <f>INT(Clean_Data[[#This Row],[OrderHour]]/6)+1</f>
        <v>2</v>
      </c>
      <c r="W229" s="3">
        <f>IF(Clean_Data[[#This Row],[Status]]="Delivered",1,0)</f>
        <v>0</v>
      </c>
      <c r="X229" s="3">
        <f>IF(Clean_Data[[#This Row],[Status]]="Delivered",IF(Clean_Data[[#This Row],[DeliveryMinutes]]&lt;=Dashboard!$X$5,1,0),0)</f>
        <v>0</v>
      </c>
      <c r="Y2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29" s="3">
        <f>IF(AND(Clean_Data[[#This Row],[Include]]=1,Clean_Data[[#This Row],[DeliveredFlag]]=1),1,0)</f>
        <v>0</v>
      </c>
      <c r="AA229" s="1">
        <f>IF(COUNTIF($D$2:D229,D229)=1,ROW()-1,ROWS(Clean_Data[OrderID])+1)</f>
        <v>228</v>
      </c>
      <c r="AB229" s="1">
        <f>IF(COUNTIF($F$2:F229,F229)=1,ROW()-1,ROWS(Clean_Data[OrderID])+1)</f>
        <v>901</v>
      </c>
      <c r="AC229" s="1">
        <f>IF(COUNTIF($G$2:G229,G229)=1,ROW()-1,ROWS(Clean_Data[OrderID])+1)</f>
        <v>901</v>
      </c>
      <c r="AD229" s="1">
        <f>IF(COUNTIF($H$2:H229,H229)=1,ROW()-1,ROWS(Clean_Data[OrderID])+1)</f>
        <v>901</v>
      </c>
      <c r="AE229" s="1">
        <f>IF(COUNTIF($V$2:V229,V229)=1,V229,ROWS(Clean_Data[OrderID])+1)</f>
        <v>901</v>
      </c>
      <c r="AF229" s="1">
        <f>IF(COUNTIF($U$2:U229,U229)=1,U229,ROWS(Clean_Data[OrderID])+1)</f>
        <v>901</v>
      </c>
      <c r="AG229" s="1">
        <f>IF(COUNTIF($E$2:E229,E229)=1,ROW()-1,ROWS(Clean_Data[OrderID])+1)</f>
        <v>901</v>
      </c>
    </row>
    <row r="230" spans="1:33" ht="20" customHeight="1">
      <c r="A230" s="3" t="s">
        <v>517</v>
      </c>
      <c r="B230" s="2">
        <v>46273</v>
      </c>
      <c r="C230" s="3">
        <v>12</v>
      </c>
      <c r="D230" s="3" t="s">
        <v>337</v>
      </c>
      <c r="E230" s="3" t="s">
        <v>117</v>
      </c>
      <c r="F230" s="3" t="s">
        <v>139</v>
      </c>
      <c r="G230" s="3" t="s">
        <v>110</v>
      </c>
      <c r="H230" s="3" t="s">
        <v>111</v>
      </c>
      <c r="I230" s="3">
        <v>4</v>
      </c>
      <c r="J230" s="11">
        <v>115</v>
      </c>
      <c r="K230" s="4">
        <v>0.05</v>
      </c>
      <c r="L230" s="3" t="s">
        <v>95</v>
      </c>
      <c r="M230" s="3">
        <v>21</v>
      </c>
      <c r="N230" s="3">
        <v>13</v>
      </c>
      <c r="O230" s="3">
        <v>4</v>
      </c>
      <c r="P230" s="11">
        <f>Clean_Data[[#This Row],[Quantity]]*Clean_Data[[#This Row],[UnitPrice]]</f>
        <v>460</v>
      </c>
      <c r="Q230" s="11">
        <f>ROUND(Clean_Data[[#This Row],[GrossSales]]*Clean_Data[[#This Row],[DiscountPct]],2)</f>
        <v>23</v>
      </c>
      <c r="R230" s="11">
        <f>IF(Clean_Data[[#This Row],[Status]]="Delivered",ROUND(Clean_Data[[#This Row],[GrossSales]]-Clean_Data[[#This Row],[DiscountAmount]],2),0)</f>
        <v>437</v>
      </c>
      <c r="S230" s="3" t="str">
        <f>IF(Clean_Data[[#This Row],[OrderHour]]&lt;6,"Night",IF(Clean_Data[[#This Row],[OrderHour]]&lt;12,"Morning",IF(Clean_Data[[#This Row],[OrderHour]]&lt;18,"Afternoon","Evening")))</f>
        <v>Afternoon</v>
      </c>
      <c r="T230" s="3" t="str">
        <f>TEXT(Clean_Data[[#This Row],[OrderDate]],"[$-409]ddd")</f>
        <v>Tue</v>
      </c>
      <c r="U230" s="3">
        <f>WEEKDAY(Clean_Data[[#This Row],[OrderDate]],2)</f>
        <v>2</v>
      </c>
      <c r="V230" s="3">
        <f>INT(Clean_Data[[#This Row],[OrderHour]]/6)+1</f>
        <v>3</v>
      </c>
      <c r="W230" s="3">
        <f>IF(Clean_Data[[#This Row],[Status]]="Delivered",1,0)</f>
        <v>1</v>
      </c>
      <c r="X230" s="3">
        <f>IF(Clean_Data[[#This Row],[Status]]="Delivered",IF(Clean_Data[[#This Row],[DeliveryMinutes]]&lt;=Dashboard!$X$5,1,0),0)</f>
        <v>1</v>
      </c>
      <c r="Y2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0" s="3">
        <f>IF(AND(Clean_Data[[#This Row],[Include]]=1,Clean_Data[[#This Row],[DeliveredFlag]]=1),1,0)</f>
        <v>1</v>
      </c>
      <c r="AA230" s="1">
        <f>IF(COUNTIF($D$2:D230,D230)=1,ROW()-1,ROWS(Clean_Data[OrderID])+1)</f>
        <v>901</v>
      </c>
      <c r="AB230" s="1">
        <f>IF(COUNTIF($F$2:F230,F230)=1,ROW()-1,ROWS(Clean_Data[OrderID])+1)</f>
        <v>901</v>
      </c>
      <c r="AC230" s="1">
        <f>IF(COUNTIF($G$2:G230,G230)=1,ROW()-1,ROWS(Clean_Data[OrderID])+1)</f>
        <v>901</v>
      </c>
      <c r="AD230" s="1">
        <f>IF(COUNTIF($H$2:H230,H230)=1,ROW()-1,ROWS(Clean_Data[OrderID])+1)</f>
        <v>901</v>
      </c>
      <c r="AE230" s="1">
        <f>IF(COUNTIF($V$2:V230,V230)=1,V230,ROWS(Clean_Data[OrderID])+1)</f>
        <v>901</v>
      </c>
      <c r="AF230" s="1">
        <f>IF(COUNTIF($U$2:U230,U230)=1,U230,ROWS(Clean_Data[OrderID])+1)</f>
        <v>901</v>
      </c>
      <c r="AG230" s="1">
        <f>IF(COUNTIF($E$2:E230,E230)=1,ROW()-1,ROWS(Clean_Data[OrderID])+1)</f>
        <v>901</v>
      </c>
    </row>
    <row r="231" spans="1:33" ht="20" customHeight="1">
      <c r="A231" s="3" t="s">
        <v>518</v>
      </c>
      <c r="B231" s="2">
        <v>46273</v>
      </c>
      <c r="C231" s="3">
        <v>10</v>
      </c>
      <c r="D231" s="3" t="s">
        <v>448</v>
      </c>
      <c r="E231" s="3" t="s">
        <v>91</v>
      </c>
      <c r="F231" s="3" t="s">
        <v>92</v>
      </c>
      <c r="G231" s="3" t="s">
        <v>122</v>
      </c>
      <c r="H231" s="3" t="s">
        <v>153</v>
      </c>
      <c r="I231" s="3">
        <v>3</v>
      </c>
      <c r="J231" s="11">
        <v>130</v>
      </c>
      <c r="K231" s="4">
        <v>0.1</v>
      </c>
      <c r="L231" s="3" t="s">
        <v>95</v>
      </c>
      <c r="M231" s="3">
        <v>33</v>
      </c>
      <c r="N231" s="3">
        <v>13</v>
      </c>
      <c r="O231" s="3">
        <v>4</v>
      </c>
      <c r="P231" s="11">
        <f>Clean_Data[[#This Row],[Quantity]]*Clean_Data[[#This Row],[UnitPrice]]</f>
        <v>390</v>
      </c>
      <c r="Q231" s="11">
        <f>ROUND(Clean_Data[[#This Row],[GrossSales]]*Clean_Data[[#This Row],[DiscountPct]],2)</f>
        <v>39</v>
      </c>
      <c r="R231" s="11">
        <f>IF(Clean_Data[[#This Row],[Status]]="Delivered",ROUND(Clean_Data[[#This Row],[GrossSales]]-Clean_Data[[#This Row],[DiscountAmount]],2),0)</f>
        <v>351</v>
      </c>
      <c r="S231" s="3" t="str">
        <f>IF(Clean_Data[[#This Row],[OrderHour]]&lt;6,"Night",IF(Clean_Data[[#This Row],[OrderHour]]&lt;12,"Morning",IF(Clean_Data[[#This Row],[OrderHour]]&lt;18,"Afternoon","Evening")))</f>
        <v>Morning</v>
      </c>
      <c r="T231" s="3" t="str">
        <f>TEXT(Clean_Data[[#This Row],[OrderDate]],"[$-409]ddd")</f>
        <v>Tue</v>
      </c>
      <c r="U231" s="3">
        <f>WEEKDAY(Clean_Data[[#This Row],[OrderDate]],2)</f>
        <v>2</v>
      </c>
      <c r="V231" s="3">
        <f>INT(Clean_Data[[#This Row],[OrderHour]]/6)+1</f>
        <v>2</v>
      </c>
      <c r="W231" s="3">
        <f>IF(Clean_Data[[#This Row],[Status]]="Delivered",1,0)</f>
        <v>1</v>
      </c>
      <c r="X231" s="3">
        <f>IF(Clean_Data[[#This Row],[Status]]="Delivered",IF(Clean_Data[[#This Row],[DeliveryMinutes]]&lt;=Dashboard!$X$5,1,0),0)</f>
        <v>0</v>
      </c>
      <c r="Y2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1" s="3">
        <f>IF(AND(Clean_Data[[#This Row],[Include]]=1,Clean_Data[[#This Row],[DeliveredFlag]]=1),1,0)</f>
        <v>1</v>
      </c>
      <c r="AA231" s="1">
        <f>IF(COUNTIF($D$2:D231,D231)=1,ROW()-1,ROWS(Clean_Data[OrderID])+1)</f>
        <v>901</v>
      </c>
      <c r="AB231" s="1">
        <f>IF(COUNTIF($F$2:F231,F231)=1,ROW()-1,ROWS(Clean_Data[OrderID])+1)</f>
        <v>901</v>
      </c>
      <c r="AC231" s="1">
        <f>IF(COUNTIF($G$2:G231,G231)=1,ROW()-1,ROWS(Clean_Data[OrderID])+1)</f>
        <v>901</v>
      </c>
      <c r="AD231" s="1">
        <f>IF(COUNTIF($H$2:H231,H231)=1,ROW()-1,ROWS(Clean_Data[OrderID])+1)</f>
        <v>901</v>
      </c>
      <c r="AE231" s="1">
        <f>IF(COUNTIF($V$2:V231,V231)=1,V231,ROWS(Clean_Data[OrderID])+1)</f>
        <v>901</v>
      </c>
      <c r="AF231" s="1">
        <f>IF(COUNTIF($U$2:U231,U231)=1,U231,ROWS(Clean_Data[OrderID])+1)</f>
        <v>901</v>
      </c>
      <c r="AG231" s="1">
        <f>IF(COUNTIF($E$2:E231,E231)=1,ROW()-1,ROWS(Clean_Data[OrderID])+1)</f>
        <v>901</v>
      </c>
    </row>
    <row r="232" spans="1:33" ht="20" customHeight="1">
      <c r="A232" s="3" t="s">
        <v>519</v>
      </c>
      <c r="B232" s="2">
        <v>46273</v>
      </c>
      <c r="C232" s="3">
        <v>18</v>
      </c>
      <c r="D232" s="3" t="s">
        <v>520</v>
      </c>
      <c r="E232" s="3" t="s">
        <v>91</v>
      </c>
      <c r="F232" s="3" t="s">
        <v>98</v>
      </c>
      <c r="G232" s="3" t="s">
        <v>93</v>
      </c>
      <c r="H232" s="3" t="s">
        <v>146</v>
      </c>
      <c r="I232" s="3">
        <v>5</v>
      </c>
      <c r="J232" s="11">
        <v>110</v>
      </c>
      <c r="K232" s="4">
        <v>0</v>
      </c>
      <c r="L232" s="3" t="s">
        <v>95</v>
      </c>
      <c r="M232" s="3">
        <v>21</v>
      </c>
      <c r="N232" s="3">
        <v>8</v>
      </c>
      <c r="O232" s="3">
        <v>3</v>
      </c>
      <c r="P232" s="11">
        <f>Clean_Data[[#This Row],[Quantity]]*Clean_Data[[#This Row],[UnitPrice]]</f>
        <v>550</v>
      </c>
      <c r="Q232" s="11">
        <f>ROUND(Clean_Data[[#This Row],[GrossSales]]*Clean_Data[[#This Row],[DiscountPct]],2)</f>
        <v>0</v>
      </c>
      <c r="R232" s="11">
        <f>IF(Clean_Data[[#This Row],[Status]]="Delivered",ROUND(Clean_Data[[#This Row],[GrossSales]]-Clean_Data[[#This Row],[DiscountAmount]],2),0)</f>
        <v>550</v>
      </c>
      <c r="S232" s="3" t="str">
        <f>IF(Clean_Data[[#This Row],[OrderHour]]&lt;6,"Night",IF(Clean_Data[[#This Row],[OrderHour]]&lt;12,"Morning",IF(Clean_Data[[#This Row],[OrderHour]]&lt;18,"Afternoon","Evening")))</f>
        <v>Evening</v>
      </c>
      <c r="T232" s="3" t="str">
        <f>TEXT(Clean_Data[[#This Row],[OrderDate]],"[$-409]ddd")</f>
        <v>Tue</v>
      </c>
      <c r="U232" s="3">
        <f>WEEKDAY(Clean_Data[[#This Row],[OrderDate]],2)</f>
        <v>2</v>
      </c>
      <c r="V232" s="3">
        <f>INT(Clean_Data[[#This Row],[OrderHour]]/6)+1</f>
        <v>4</v>
      </c>
      <c r="W232" s="3">
        <f>IF(Clean_Data[[#This Row],[Status]]="Delivered",1,0)</f>
        <v>1</v>
      </c>
      <c r="X232" s="3">
        <f>IF(Clean_Data[[#This Row],[Status]]="Delivered",IF(Clean_Data[[#This Row],[DeliveryMinutes]]&lt;=Dashboard!$X$5,1,0),0)</f>
        <v>1</v>
      </c>
      <c r="Y2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2" s="3">
        <f>IF(AND(Clean_Data[[#This Row],[Include]]=1,Clean_Data[[#This Row],[DeliveredFlag]]=1),1,0)</f>
        <v>1</v>
      </c>
      <c r="AA232" s="1">
        <f>IF(COUNTIF($D$2:D232,D232)=1,ROW()-1,ROWS(Clean_Data[OrderID])+1)</f>
        <v>231</v>
      </c>
      <c r="AB232" s="1">
        <f>IF(COUNTIF($F$2:F232,F232)=1,ROW()-1,ROWS(Clean_Data[OrderID])+1)</f>
        <v>901</v>
      </c>
      <c r="AC232" s="1">
        <f>IF(COUNTIF($G$2:G232,G232)=1,ROW()-1,ROWS(Clean_Data[OrderID])+1)</f>
        <v>901</v>
      </c>
      <c r="AD232" s="1">
        <f>IF(COUNTIF($H$2:H232,H232)=1,ROW()-1,ROWS(Clean_Data[OrderID])+1)</f>
        <v>901</v>
      </c>
      <c r="AE232" s="1">
        <f>IF(COUNTIF($V$2:V232,V232)=1,V232,ROWS(Clean_Data[OrderID])+1)</f>
        <v>901</v>
      </c>
      <c r="AF232" s="1">
        <f>IF(COUNTIF($U$2:U232,U232)=1,U232,ROWS(Clean_Data[OrderID])+1)</f>
        <v>901</v>
      </c>
      <c r="AG232" s="1">
        <f>IF(COUNTIF($E$2:E232,E232)=1,ROW()-1,ROWS(Clean_Data[OrderID])+1)</f>
        <v>901</v>
      </c>
    </row>
    <row r="233" spans="1:33" ht="20" customHeight="1">
      <c r="A233" s="3" t="s">
        <v>521</v>
      </c>
      <c r="B233" s="2">
        <v>46273</v>
      </c>
      <c r="C233" s="3">
        <v>17</v>
      </c>
      <c r="D233" s="3" t="s">
        <v>456</v>
      </c>
      <c r="E233" s="3" t="s">
        <v>117</v>
      </c>
      <c r="F233" s="3" t="s">
        <v>139</v>
      </c>
      <c r="G233" s="3" t="s">
        <v>174</v>
      </c>
      <c r="H233" s="3" t="s">
        <v>175</v>
      </c>
      <c r="I233" s="3">
        <v>3</v>
      </c>
      <c r="J233" s="11">
        <v>155</v>
      </c>
      <c r="K233" s="4">
        <v>0.15</v>
      </c>
      <c r="L233" s="3" t="s">
        <v>95</v>
      </c>
      <c r="M233" s="3">
        <v>15</v>
      </c>
      <c r="N233" s="3">
        <v>12</v>
      </c>
      <c r="O233" s="3">
        <v>4</v>
      </c>
      <c r="P233" s="11">
        <f>Clean_Data[[#This Row],[Quantity]]*Clean_Data[[#This Row],[UnitPrice]]</f>
        <v>465</v>
      </c>
      <c r="Q233" s="11">
        <f>ROUND(Clean_Data[[#This Row],[GrossSales]]*Clean_Data[[#This Row],[DiscountPct]],2)</f>
        <v>69.75</v>
      </c>
      <c r="R233" s="11">
        <f>IF(Clean_Data[[#This Row],[Status]]="Delivered",ROUND(Clean_Data[[#This Row],[GrossSales]]-Clean_Data[[#This Row],[DiscountAmount]],2),0)</f>
        <v>395.25</v>
      </c>
      <c r="S233" s="3" t="str">
        <f>IF(Clean_Data[[#This Row],[OrderHour]]&lt;6,"Night",IF(Clean_Data[[#This Row],[OrderHour]]&lt;12,"Morning",IF(Clean_Data[[#This Row],[OrderHour]]&lt;18,"Afternoon","Evening")))</f>
        <v>Afternoon</v>
      </c>
      <c r="T233" s="3" t="str">
        <f>TEXT(Clean_Data[[#This Row],[OrderDate]],"[$-409]ddd")</f>
        <v>Tue</v>
      </c>
      <c r="U233" s="3">
        <f>WEEKDAY(Clean_Data[[#This Row],[OrderDate]],2)</f>
        <v>2</v>
      </c>
      <c r="V233" s="3">
        <f>INT(Clean_Data[[#This Row],[OrderHour]]/6)+1</f>
        <v>3</v>
      </c>
      <c r="W233" s="3">
        <f>IF(Clean_Data[[#This Row],[Status]]="Delivered",1,0)</f>
        <v>1</v>
      </c>
      <c r="X233" s="3">
        <f>IF(Clean_Data[[#This Row],[Status]]="Delivered",IF(Clean_Data[[#This Row],[DeliveryMinutes]]&lt;=Dashboard!$X$5,1,0),0)</f>
        <v>1</v>
      </c>
      <c r="Y2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3" s="3">
        <f>IF(AND(Clean_Data[[#This Row],[Include]]=1,Clean_Data[[#This Row],[DeliveredFlag]]=1),1,0)</f>
        <v>1</v>
      </c>
      <c r="AA233" s="1">
        <f>IF(COUNTIF($D$2:D233,D233)=1,ROW()-1,ROWS(Clean_Data[OrderID])+1)</f>
        <v>901</v>
      </c>
      <c r="AB233" s="1">
        <f>IF(COUNTIF($F$2:F233,F233)=1,ROW()-1,ROWS(Clean_Data[OrderID])+1)</f>
        <v>901</v>
      </c>
      <c r="AC233" s="1">
        <f>IF(COUNTIF($G$2:G233,G233)=1,ROW()-1,ROWS(Clean_Data[OrderID])+1)</f>
        <v>901</v>
      </c>
      <c r="AD233" s="1">
        <f>IF(COUNTIF($H$2:H233,H233)=1,ROW()-1,ROWS(Clean_Data[OrderID])+1)</f>
        <v>901</v>
      </c>
      <c r="AE233" s="1">
        <f>IF(COUNTIF($V$2:V233,V233)=1,V233,ROWS(Clean_Data[OrderID])+1)</f>
        <v>901</v>
      </c>
      <c r="AF233" s="1">
        <f>IF(COUNTIF($U$2:U233,U233)=1,U233,ROWS(Clean_Data[OrderID])+1)</f>
        <v>901</v>
      </c>
      <c r="AG233" s="1">
        <f>IF(COUNTIF($E$2:E233,E233)=1,ROW()-1,ROWS(Clean_Data[OrderID])+1)</f>
        <v>901</v>
      </c>
    </row>
    <row r="234" spans="1:33" ht="20" customHeight="1">
      <c r="A234" s="3" t="s">
        <v>522</v>
      </c>
      <c r="B234" s="2">
        <v>46273</v>
      </c>
      <c r="C234" s="3">
        <v>19</v>
      </c>
      <c r="D234" s="3" t="s">
        <v>386</v>
      </c>
      <c r="E234" s="3" t="s">
        <v>117</v>
      </c>
      <c r="F234" s="3" t="s">
        <v>109</v>
      </c>
      <c r="G234" s="3" t="s">
        <v>174</v>
      </c>
      <c r="H234" s="3" t="s">
        <v>274</v>
      </c>
      <c r="I234" s="3">
        <v>5</v>
      </c>
      <c r="J234" s="11">
        <v>90</v>
      </c>
      <c r="K234" s="4">
        <v>0.1</v>
      </c>
      <c r="L234" s="3" t="s">
        <v>95</v>
      </c>
      <c r="M234" s="3">
        <v>21</v>
      </c>
      <c r="N234" s="3">
        <v>14</v>
      </c>
      <c r="O234" s="3">
        <v>4</v>
      </c>
      <c r="P234" s="11">
        <f>Clean_Data[[#This Row],[Quantity]]*Clean_Data[[#This Row],[UnitPrice]]</f>
        <v>450</v>
      </c>
      <c r="Q234" s="11">
        <f>ROUND(Clean_Data[[#This Row],[GrossSales]]*Clean_Data[[#This Row],[DiscountPct]],2)</f>
        <v>45</v>
      </c>
      <c r="R234" s="11">
        <f>IF(Clean_Data[[#This Row],[Status]]="Delivered",ROUND(Clean_Data[[#This Row],[GrossSales]]-Clean_Data[[#This Row],[DiscountAmount]],2),0)</f>
        <v>405</v>
      </c>
      <c r="S234" s="3" t="str">
        <f>IF(Clean_Data[[#This Row],[OrderHour]]&lt;6,"Night",IF(Clean_Data[[#This Row],[OrderHour]]&lt;12,"Morning",IF(Clean_Data[[#This Row],[OrderHour]]&lt;18,"Afternoon","Evening")))</f>
        <v>Evening</v>
      </c>
      <c r="T234" s="3" t="str">
        <f>TEXT(Clean_Data[[#This Row],[OrderDate]],"[$-409]ddd")</f>
        <v>Tue</v>
      </c>
      <c r="U234" s="3">
        <f>WEEKDAY(Clean_Data[[#This Row],[OrderDate]],2)</f>
        <v>2</v>
      </c>
      <c r="V234" s="3">
        <f>INT(Clean_Data[[#This Row],[OrderHour]]/6)+1</f>
        <v>4</v>
      </c>
      <c r="W234" s="3">
        <f>IF(Clean_Data[[#This Row],[Status]]="Delivered",1,0)</f>
        <v>1</v>
      </c>
      <c r="X234" s="3">
        <f>IF(Clean_Data[[#This Row],[Status]]="Delivered",IF(Clean_Data[[#This Row],[DeliveryMinutes]]&lt;=Dashboard!$X$5,1,0),0)</f>
        <v>1</v>
      </c>
      <c r="Y2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4" s="3">
        <f>IF(AND(Clean_Data[[#This Row],[Include]]=1,Clean_Data[[#This Row],[DeliveredFlag]]=1),1,0)</f>
        <v>1</v>
      </c>
      <c r="AA234" s="1">
        <f>IF(COUNTIF($D$2:D234,D234)=1,ROW()-1,ROWS(Clean_Data[OrderID])+1)</f>
        <v>901</v>
      </c>
      <c r="AB234" s="1">
        <f>IF(COUNTIF($F$2:F234,F234)=1,ROW()-1,ROWS(Clean_Data[OrderID])+1)</f>
        <v>901</v>
      </c>
      <c r="AC234" s="1">
        <f>IF(COUNTIF($G$2:G234,G234)=1,ROW()-1,ROWS(Clean_Data[OrderID])+1)</f>
        <v>901</v>
      </c>
      <c r="AD234" s="1">
        <f>IF(COUNTIF($H$2:H234,H234)=1,ROW()-1,ROWS(Clean_Data[OrderID])+1)</f>
        <v>901</v>
      </c>
      <c r="AE234" s="1">
        <f>IF(COUNTIF($V$2:V234,V234)=1,V234,ROWS(Clean_Data[OrderID])+1)</f>
        <v>901</v>
      </c>
      <c r="AF234" s="1">
        <f>IF(COUNTIF($U$2:U234,U234)=1,U234,ROWS(Clean_Data[OrderID])+1)</f>
        <v>901</v>
      </c>
      <c r="AG234" s="1">
        <f>IF(COUNTIF($E$2:E234,E234)=1,ROW()-1,ROWS(Clean_Data[OrderID])+1)</f>
        <v>901</v>
      </c>
    </row>
    <row r="235" spans="1:33" ht="20" customHeight="1">
      <c r="A235" s="3" t="s">
        <v>523</v>
      </c>
      <c r="B235" s="2">
        <v>46273</v>
      </c>
      <c r="C235" s="3">
        <v>18</v>
      </c>
      <c r="D235" s="3" t="s">
        <v>334</v>
      </c>
      <c r="E235" s="3" t="s">
        <v>91</v>
      </c>
      <c r="F235" s="3" t="s">
        <v>92</v>
      </c>
      <c r="G235" s="3" t="s">
        <v>110</v>
      </c>
      <c r="H235" s="3" t="s">
        <v>206</v>
      </c>
      <c r="I235" s="3">
        <v>6</v>
      </c>
      <c r="J235" s="11">
        <v>220</v>
      </c>
      <c r="K235" s="4">
        <v>0</v>
      </c>
      <c r="L235" s="3" t="s">
        <v>95</v>
      </c>
      <c r="M235" s="3">
        <v>18</v>
      </c>
      <c r="N235" s="3">
        <v>4</v>
      </c>
      <c r="O235" s="3">
        <v>4</v>
      </c>
      <c r="P235" s="11">
        <f>Clean_Data[[#This Row],[Quantity]]*Clean_Data[[#This Row],[UnitPrice]]</f>
        <v>1320</v>
      </c>
      <c r="Q235" s="11">
        <f>ROUND(Clean_Data[[#This Row],[GrossSales]]*Clean_Data[[#This Row],[DiscountPct]],2)</f>
        <v>0</v>
      </c>
      <c r="R235" s="11">
        <f>IF(Clean_Data[[#This Row],[Status]]="Delivered",ROUND(Clean_Data[[#This Row],[GrossSales]]-Clean_Data[[#This Row],[DiscountAmount]],2),0)</f>
        <v>1320</v>
      </c>
      <c r="S235" s="3" t="str">
        <f>IF(Clean_Data[[#This Row],[OrderHour]]&lt;6,"Night",IF(Clean_Data[[#This Row],[OrderHour]]&lt;12,"Morning",IF(Clean_Data[[#This Row],[OrderHour]]&lt;18,"Afternoon","Evening")))</f>
        <v>Evening</v>
      </c>
      <c r="T235" s="3" t="str">
        <f>TEXT(Clean_Data[[#This Row],[OrderDate]],"[$-409]ddd")</f>
        <v>Tue</v>
      </c>
      <c r="U235" s="3">
        <f>WEEKDAY(Clean_Data[[#This Row],[OrderDate]],2)</f>
        <v>2</v>
      </c>
      <c r="V235" s="3">
        <f>INT(Clean_Data[[#This Row],[OrderHour]]/6)+1</f>
        <v>4</v>
      </c>
      <c r="W235" s="3">
        <f>IF(Clean_Data[[#This Row],[Status]]="Delivered",1,0)</f>
        <v>1</v>
      </c>
      <c r="X235" s="3">
        <f>IF(Clean_Data[[#This Row],[Status]]="Delivered",IF(Clean_Data[[#This Row],[DeliveryMinutes]]&lt;=Dashboard!$X$5,1,0),0)</f>
        <v>1</v>
      </c>
      <c r="Y2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5" s="3">
        <f>IF(AND(Clean_Data[[#This Row],[Include]]=1,Clean_Data[[#This Row],[DeliveredFlag]]=1),1,0)</f>
        <v>1</v>
      </c>
      <c r="AA235" s="1">
        <f>IF(COUNTIF($D$2:D235,D235)=1,ROW()-1,ROWS(Clean_Data[OrderID])+1)</f>
        <v>901</v>
      </c>
      <c r="AB235" s="1">
        <f>IF(COUNTIF($F$2:F235,F235)=1,ROW()-1,ROWS(Clean_Data[OrderID])+1)</f>
        <v>901</v>
      </c>
      <c r="AC235" s="1">
        <f>IF(COUNTIF($G$2:G235,G235)=1,ROW()-1,ROWS(Clean_Data[OrderID])+1)</f>
        <v>901</v>
      </c>
      <c r="AD235" s="1">
        <f>IF(COUNTIF($H$2:H235,H235)=1,ROW()-1,ROWS(Clean_Data[OrderID])+1)</f>
        <v>901</v>
      </c>
      <c r="AE235" s="1">
        <f>IF(COUNTIF($V$2:V235,V235)=1,V235,ROWS(Clean_Data[OrderID])+1)</f>
        <v>901</v>
      </c>
      <c r="AF235" s="1">
        <f>IF(COUNTIF($U$2:U235,U235)=1,U235,ROWS(Clean_Data[OrderID])+1)</f>
        <v>901</v>
      </c>
      <c r="AG235" s="1">
        <f>IF(COUNTIF($E$2:E235,E235)=1,ROW()-1,ROWS(Clean_Data[OrderID])+1)</f>
        <v>901</v>
      </c>
    </row>
    <row r="236" spans="1:33" ht="20" customHeight="1">
      <c r="A236" s="3" t="s">
        <v>524</v>
      </c>
      <c r="B236" s="2">
        <v>46273</v>
      </c>
      <c r="C236" s="3">
        <v>8</v>
      </c>
      <c r="D236" s="3" t="s">
        <v>525</v>
      </c>
      <c r="E236" s="3" t="s">
        <v>91</v>
      </c>
      <c r="F236" s="3" t="s">
        <v>139</v>
      </c>
      <c r="G236" s="3" t="s">
        <v>135</v>
      </c>
      <c r="H236" s="3" t="s">
        <v>217</v>
      </c>
      <c r="I236" s="3">
        <v>1</v>
      </c>
      <c r="J236" s="11">
        <v>65</v>
      </c>
      <c r="K236" s="4">
        <v>0.05</v>
      </c>
      <c r="L236" s="3" t="s">
        <v>95</v>
      </c>
      <c r="M236" s="3">
        <v>14</v>
      </c>
      <c r="N236" s="3">
        <v>7</v>
      </c>
      <c r="O236" s="3">
        <v>3</v>
      </c>
      <c r="P236" s="11">
        <f>Clean_Data[[#This Row],[Quantity]]*Clean_Data[[#This Row],[UnitPrice]]</f>
        <v>65</v>
      </c>
      <c r="Q236" s="11">
        <f>ROUND(Clean_Data[[#This Row],[GrossSales]]*Clean_Data[[#This Row],[DiscountPct]],2)</f>
        <v>3.25</v>
      </c>
      <c r="R236" s="11">
        <f>IF(Clean_Data[[#This Row],[Status]]="Delivered",ROUND(Clean_Data[[#This Row],[GrossSales]]-Clean_Data[[#This Row],[DiscountAmount]],2),0)</f>
        <v>61.75</v>
      </c>
      <c r="S236" s="3" t="str">
        <f>IF(Clean_Data[[#This Row],[OrderHour]]&lt;6,"Night",IF(Clean_Data[[#This Row],[OrderHour]]&lt;12,"Morning",IF(Clean_Data[[#This Row],[OrderHour]]&lt;18,"Afternoon","Evening")))</f>
        <v>Morning</v>
      </c>
      <c r="T236" s="3" t="str">
        <f>TEXT(Clean_Data[[#This Row],[OrderDate]],"[$-409]ddd")</f>
        <v>Tue</v>
      </c>
      <c r="U236" s="3">
        <f>WEEKDAY(Clean_Data[[#This Row],[OrderDate]],2)</f>
        <v>2</v>
      </c>
      <c r="V236" s="3">
        <f>INT(Clean_Data[[#This Row],[OrderHour]]/6)+1</f>
        <v>2</v>
      </c>
      <c r="W236" s="3">
        <f>IF(Clean_Data[[#This Row],[Status]]="Delivered",1,0)</f>
        <v>1</v>
      </c>
      <c r="X236" s="3">
        <f>IF(Clean_Data[[#This Row],[Status]]="Delivered",IF(Clean_Data[[#This Row],[DeliveryMinutes]]&lt;=Dashboard!$X$5,1,0),0)</f>
        <v>1</v>
      </c>
      <c r="Y2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6" s="3">
        <f>IF(AND(Clean_Data[[#This Row],[Include]]=1,Clean_Data[[#This Row],[DeliveredFlag]]=1),1,0)</f>
        <v>1</v>
      </c>
      <c r="AA236" s="1">
        <f>IF(COUNTIF($D$2:D236,D236)=1,ROW()-1,ROWS(Clean_Data[OrderID])+1)</f>
        <v>235</v>
      </c>
      <c r="AB236" s="1">
        <f>IF(COUNTIF($F$2:F236,F236)=1,ROW()-1,ROWS(Clean_Data[OrderID])+1)</f>
        <v>901</v>
      </c>
      <c r="AC236" s="1">
        <f>IF(COUNTIF($G$2:G236,G236)=1,ROW()-1,ROWS(Clean_Data[OrderID])+1)</f>
        <v>901</v>
      </c>
      <c r="AD236" s="1">
        <f>IF(COUNTIF($H$2:H236,H236)=1,ROW()-1,ROWS(Clean_Data[OrderID])+1)</f>
        <v>901</v>
      </c>
      <c r="AE236" s="1">
        <f>IF(COUNTIF($V$2:V236,V236)=1,V236,ROWS(Clean_Data[OrderID])+1)</f>
        <v>901</v>
      </c>
      <c r="AF236" s="1">
        <f>IF(COUNTIF($U$2:U236,U236)=1,U236,ROWS(Clean_Data[OrderID])+1)</f>
        <v>901</v>
      </c>
      <c r="AG236" s="1">
        <f>IF(COUNTIF($E$2:E236,E236)=1,ROW()-1,ROWS(Clean_Data[OrderID])+1)</f>
        <v>901</v>
      </c>
    </row>
    <row r="237" spans="1:33" ht="20" customHeight="1">
      <c r="A237" s="3" t="s">
        <v>526</v>
      </c>
      <c r="B237" s="2">
        <v>46273</v>
      </c>
      <c r="C237" s="3">
        <v>11</v>
      </c>
      <c r="D237" s="3" t="s">
        <v>527</v>
      </c>
      <c r="E237" s="3" t="s">
        <v>91</v>
      </c>
      <c r="F237" s="3" t="s">
        <v>139</v>
      </c>
      <c r="G237" s="3" t="s">
        <v>99</v>
      </c>
      <c r="H237" s="3" t="s">
        <v>130</v>
      </c>
      <c r="I237" s="3">
        <v>6</v>
      </c>
      <c r="J237" s="11">
        <v>85</v>
      </c>
      <c r="K237" s="4">
        <v>0.1</v>
      </c>
      <c r="L237" s="3" t="s">
        <v>95</v>
      </c>
      <c r="M237" s="3">
        <v>27</v>
      </c>
      <c r="N237" s="3">
        <v>13</v>
      </c>
      <c r="O237" s="3">
        <v>4</v>
      </c>
      <c r="P237" s="11">
        <f>Clean_Data[[#This Row],[Quantity]]*Clean_Data[[#This Row],[UnitPrice]]</f>
        <v>510</v>
      </c>
      <c r="Q237" s="11">
        <f>ROUND(Clean_Data[[#This Row],[GrossSales]]*Clean_Data[[#This Row],[DiscountPct]],2)</f>
        <v>51</v>
      </c>
      <c r="R237" s="11">
        <f>IF(Clean_Data[[#This Row],[Status]]="Delivered",ROUND(Clean_Data[[#This Row],[GrossSales]]-Clean_Data[[#This Row],[DiscountAmount]],2),0)</f>
        <v>459</v>
      </c>
      <c r="S237" s="3" t="str">
        <f>IF(Clean_Data[[#This Row],[OrderHour]]&lt;6,"Night",IF(Clean_Data[[#This Row],[OrderHour]]&lt;12,"Morning",IF(Clean_Data[[#This Row],[OrderHour]]&lt;18,"Afternoon","Evening")))</f>
        <v>Morning</v>
      </c>
      <c r="T237" s="3" t="str">
        <f>TEXT(Clean_Data[[#This Row],[OrderDate]],"[$-409]ddd")</f>
        <v>Tue</v>
      </c>
      <c r="U237" s="3">
        <f>WEEKDAY(Clean_Data[[#This Row],[OrderDate]],2)</f>
        <v>2</v>
      </c>
      <c r="V237" s="3">
        <f>INT(Clean_Data[[#This Row],[OrderHour]]/6)+1</f>
        <v>2</v>
      </c>
      <c r="W237" s="3">
        <f>IF(Clean_Data[[#This Row],[Status]]="Delivered",1,0)</f>
        <v>1</v>
      </c>
      <c r="X237" s="3">
        <f>IF(Clean_Data[[#This Row],[Status]]="Delivered",IF(Clean_Data[[#This Row],[DeliveryMinutes]]&lt;=Dashboard!$X$5,1,0),0)</f>
        <v>1</v>
      </c>
      <c r="Y2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7" s="3">
        <f>IF(AND(Clean_Data[[#This Row],[Include]]=1,Clean_Data[[#This Row],[DeliveredFlag]]=1),1,0)</f>
        <v>1</v>
      </c>
      <c r="AA237" s="1">
        <f>IF(COUNTIF($D$2:D237,D237)=1,ROW()-1,ROWS(Clean_Data[OrderID])+1)</f>
        <v>236</v>
      </c>
      <c r="AB237" s="1">
        <f>IF(COUNTIF($F$2:F237,F237)=1,ROW()-1,ROWS(Clean_Data[OrderID])+1)</f>
        <v>901</v>
      </c>
      <c r="AC237" s="1">
        <f>IF(COUNTIF($G$2:G237,G237)=1,ROW()-1,ROWS(Clean_Data[OrderID])+1)</f>
        <v>901</v>
      </c>
      <c r="AD237" s="1">
        <f>IF(COUNTIF($H$2:H237,H237)=1,ROW()-1,ROWS(Clean_Data[OrderID])+1)</f>
        <v>901</v>
      </c>
      <c r="AE237" s="1">
        <f>IF(COUNTIF($V$2:V237,V237)=1,V237,ROWS(Clean_Data[OrderID])+1)</f>
        <v>901</v>
      </c>
      <c r="AF237" s="1">
        <f>IF(COUNTIF($U$2:U237,U237)=1,U237,ROWS(Clean_Data[OrderID])+1)</f>
        <v>901</v>
      </c>
      <c r="AG237" s="1">
        <f>IF(COUNTIF($E$2:E237,E237)=1,ROW()-1,ROWS(Clean_Data[OrderID])+1)</f>
        <v>901</v>
      </c>
    </row>
    <row r="238" spans="1:33" ht="20" customHeight="1">
      <c r="A238" s="3" t="s">
        <v>528</v>
      </c>
      <c r="B238" s="2">
        <v>46273</v>
      </c>
      <c r="C238" s="3">
        <v>10</v>
      </c>
      <c r="D238" s="3" t="s">
        <v>289</v>
      </c>
      <c r="E238" s="3" t="s">
        <v>117</v>
      </c>
      <c r="F238" s="3" t="s">
        <v>98</v>
      </c>
      <c r="G238" s="3" t="s">
        <v>110</v>
      </c>
      <c r="H238" s="3" t="s">
        <v>206</v>
      </c>
      <c r="I238" s="3">
        <v>3</v>
      </c>
      <c r="J238" s="11">
        <v>220</v>
      </c>
      <c r="K238" s="4">
        <v>0</v>
      </c>
      <c r="L238" s="3" t="s">
        <v>101</v>
      </c>
      <c r="M238" s="3"/>
      <c r="N238" s="3"/>
      <c r="O238" s="3"/>
      <c r="P238" s="11">
        <f>Clean_Data[[#This Row],[Quantity]]*Clean_Data[[#This Row],[UnitPrice]]</f>
        <v>660</v>
      </c>
      <c r="Q238" s="11">
        <f>ROUND(Clean_Data[[#This Row],[GrossSales]]*Clean_Data[[#This Row],[DiscountPct]],2)</f>
        <v>0</v>
      </c>
      <c r="R238" s="11">
        <f>IF(Clean_Data[[#This Row],[Status]]="Delivered",ROUND(Clean_Data[[#This Row],[GrossSales]]-Clean_Data[[#This Row],[DiscountAmount]],2),0)</f>
        <v>0</v>
      </c>
      <c r="S238" s="3" t="str">
        <f>IF(Clean_Data[[#This Row],[OrderHour]]&lt;6,"Night",IF(Clean_Data[[#This Row],[OrderHour]]&lt;12,"Morning",IF(Clean_Data[[#This Row],[OrderHour]]&lt;18,"Afternoon","Evening")))</f>
        <v>Morning</v>
      </c>
      <c r="T238" s="3" t="str">
        <f>TEXT(Clean_Data[[#This Row],[OrderDate]],"[$-409]ddd")</f>
        <v>Tue</v>
      </c>
      <c r="U238" s="3">
        <f>WEEKDAY(Clean_Data[[#This Row],[OrderDate]],2)</f>
        <v>2</v>
      </c>
      <c r="V238" s="3">
        <f>INT(Clean_Data[[#This Row],[OrderHour]]/6)+1</f>
        <v>2</v>
      </c>
      <c r="W238" s="3">
        <f>IF(Clean_Data[[#This Row],[Status]]="Delivered",1,0)</f>
        <v>0</v>
      </c>
      <c r="X238" s="3">
        <f>IF(Clean_Data[[#This Row],[Status]]="Delivered",IF(Clean_Data[[#This Row],[DeliveryMinutes]]&lt;=Dashboard!$X$5,1,0),0)</f>
        <v>0</v>
      </c>
      <c r="Y2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8" s="3">
        <f>IF(AND(Clean_Data[[#This Row],[Include]]=1,Clean_Data[[#This Row],[DeliveredFlag]]=1),1,0)</f>
        <v>0</v>
      </c>
      <c r="AA238" s="1">
        <f>IF(COUNTIF($D$2:D238,D238)=1,ROW()-1,ROWS(Clean_Data[OrderID])+1)</f>
        <v>901</v>
      </c>
      <c r="AB238" s="1">
        <f>IF(COUNTIF($F$2:F238,F238)=1,ROW()-1,ROWS(Clean_Data[OrderID])+1)</f>
        <v>901</v>
      </c>
      <c r="AC238" s="1">
        <f>IF(COUNTIF($G$2:G238,G238)=1,ROW()-1,ROWS(Clean_Data[OrderID])+1)</f>
        <v>901</v>
      </c>
      <c r="AD238" s="1">
        <f>IF(COUNTIF($H$2:H238,H238)=1,ROW()-1,ROWS(Clean_Data[OrderID])+1)</f>
        <v>901</v>
      </c>
      <c r="AE238" s="1">
        <f>IF(COUNTIF($V$2:V238,V238)=1,V238,ROWS(Clean_Data[OrderID])+1)</f>
        <v>901</v>
      </c>
      <c r="AF238" s="1">
        <f>IF(COUNTIF($U$2:U238,U238)=1,U238,ROWS(Clean_Data[OrderID])+1)</f>
        <v>901</v>
      </c>
      <c r="AG238" s="1">
        <f>IF(COUNTIF($E$2:E238,E238)=1,ROW()-1,ROWS(Clean_Data[OrderID])+1)</f>
        <v>901</v>
      </c>
    </row>
    <row r="239" spans="1:33" ht="20" customHeight="1">
      <c r="A239" s="3" t="s">
        <v>529</v>
      </c>
      <c r="B239" s="2">
        <v>46273</v>
      </c>
      <c r="C239" s="3">
        <v>8</v>
      </c>
      <c r="D239" s="3" t="s">
        <v>530</v>
      </c>
      <c r="E239" s="3" t="s">
        <v>91</v>
      </c>
      <c r="F239" s="3" t="s">
        <v>109</v>
      </c>
      <c r="G239" s="3" t="s">
        <v>135</v>
      </c>
      <c r="H239" s="3" t="s">
        <v>162</v>
      </c>
      <c r="I239" s="3">
        <v>2</v>
      </c>
      <c r="J239" s="11">
        <v>180</v>
      </c>
      <c r="K239" s="4">
        <v>0</v>
      </c>
      <c r="L239" s="3" t="s">
        <v>95</v>
      </c>
      <c r="M239" s="3">
        <v>36</v>
      </c>
      <c r="N239" s="3">
        <v>7</v>
      </c>
      <c r="O239" s="3">
        <v>4</v>
      </c>
      <c r="P239" s="11">
        <f>Clean_Data[[#This Row],[Quantity]]*Clean_Data[[#This Row],[UnitPrice]]</f>
        <v>360</v>
      </c>
      <c r="Q239" s="11">
        <f>ROUND(Clean_Data[[#This Row],[GrossSales]]*Clean_Data[[#This Row],[DiscountPct]],2)</f>
        <v>0</v>
      </c>
      <c r="R239" s="11">
        <f>IF(Clean_Data[[#This Row],[Status]]="Delivered",ROUND(Clean_Data[[#This Row],[GrossSales]]-Clean_Data[[#This Row],[DiscountAmount]],2),0)</f>
        <v>360</v>
      </c>
      <c r="S239" s="3" t="str">
        <f>IF(Clean_Data[[#This Row],[OrderHour]]&lt;6,"Night",IF(Clean_Data[[#This Row],[OrderHour]]&lt;12,"Morning",IF(Clean_Data[[#This Row],[OrderHour]]&lt;18,"Afternoon","Evening")))</f>
        <v>Morning</v>
      </c>
      <c r="T239" s="3" t="str">
        <f>TEXT(Clean_Data[[#This Row],[OrderDate]],"[$-409]ddd")</f>
        <v>Tue</v>
      </c>
      <c r="U239" s="3">
        <f>WEEKDAY(Clean_Data[[#This Row],[OrderDate]],2)</f>
        <v>2</v>
      </c>
      <c r="V239" s="3">
        <f>INT(Clean_Data[[#This Row],[OrderHour]]/6)+1</f>
        <v>2</v>
      </c>
      <c r="W239" s="3">
        <f>IF(Clean_Data[[#This Row],[Status]]="Delivered",1,0)</f>
        <v>1</v>
      </c>
      <c r="X239" s="3">
        <f>IF(Clean_Data[[#This Row],[Status]]="Delivered",IF(Clean_Data[[#This Row],[DeliveryMinutes]]&lt;=Dashboard!$X$5,1,0),0)</f>
        <v>0</v>
      </c>
      <c r="Y2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39" s="3">
        <f>IF(AND(Clean_Data[[#This Row],[Include]]=1,Clean_Data[[#This Row],[DeliveredFlag]]=1),1,0)</f>
        <v>1</v>
      </c>
      <c r="AA239" s="1">
        <f>IF(COUNTIF($D$2:D239,D239)=1,ROW()-1,ROWS(Clean_Data[OrderID])+1)</f>
        <v>238</v>
      </c>
      <c r="AB239" s="1">
        <f>IF(COUNTIF($F$2:F239,F239)=1,ROW()-1,ROWS(Clean_Data[OrderID])+1)</f>
        <v>901</v>
      </c>
      <c r="AC239" s="1">
        <f>IF(COUNTIF($G$2:G239,G239)=1,ROW()-1,ROWS(Clean_Data[OrderID])+1)</f>
        <v>901</v>
      </c>
      <c r="AD239" s="1">
        <f>IF(COUNTIF($H$2:H239,H239)=1,ROW()-1,ROWS(Clean_Data[OrderID])+1)</f>
        <v>901</v>
      </c>
      <c r="AE239" s="1">
        <f>IF(COUNTIF($V$2:V239,V239)=1,V239,ROWS(Clean_Data[OrderID])+1)</f>
        <v>901</v>
      </c>
      <c r="AF239" s="1">
        <f>IF(COUNTIF($U$2:U239,U239)=1,U239,ROWS(Clean_Data[OrderID])+1)</f>
        <v>901</v>
      </c>
      <c r="AG239" s="1">
        <f>IF(COUNTIF($E$2:E239,E239)=1,ROW()-1,ROWS(Clean_Data[OrderID])+1)</f>
        <v>901</v>
      </c>
    </row>
    <row r="240" spans="1:33" ht="20" customHeight="1">
      <c r="A240" s="3" t="s">
        <v>531</v>
      </c>
      <c r="B240" s="2">
        <v>46273</v>
      </c>
      <c r="C240" s="3">
        <v>10</v>
      </c>
      <c r="D240" s="3" t="s">
        <v>532</v>
      </c>
      <c r="E240" s="3" t="s">
        <v>91</v>
      </c>
      <c r="F240" s="3" t="s">
        <v>109</v>
      </c>
      <c r="G240" s="3" t="s">
        <v>99</v>
      </c>
      <c r="H240" s="3" t="s">
        <v>130</v>
      </c>
      <c r="I240" s="3">
        <v>1</v>
      </c>
      <c r="J240" s="11">
        <v>85</v>
      </c>
      <c r="K240" s="4">
        <v>0.1</v>
      </c>
      <c r="L240" s="3" t="s">
        <v>95</v>
      </c>
      <c r="M240" s="3">
        <v>13</v>
      </c>
      <c r="N240" s="3">
        <v>11</v>
      </c>
      <c r="O240" s="3">
        <v>4</v>
      </c>
      <c r="P240" s="11">
        <f>Clean_Data[[#This Row],[Quantity]]*Clean_Data[[#This Row],[UnitPrice]]</f>
        <v>85</v>
      </c>
      <c r="Q240" s="11">
        <f>ROUND(Clean_Data[[#This Row],[GrossSales]]*Clean_Data[[#This Row],[DiscountPct]],2)</f>
        <v>8.5</v>
      </c>
      <c r="R240" s="11">
        <f>IF(Clean_Data[[#This Row],[Status]]="Delivered",ROUND(Clean_Data[[#This Row],[GrossSales]]-Clean_Data[[#This Row],[DiscountAmount]],2),0)</f>
        <v>76.5</v>
      </c>
      <c r="S240" s="3" t="str">
        <f>IF(Clean_Data[[#This Row],[OrderHour]]&lt;6,"Night",IF(Clean_Data[[#This Row],[OrderHour]]&lt;12,"Morning",IF(Clean_Data[[#This Row],[OrderHour]]&lt;18,"Afternoon","Evening")))</f>
        <v>Morning</v>
      </c>
      <c r="T240" s="3" t="str">
        <f>TEXT(Clean_Data[[#This Row],[OrderDate]],"[$-409]ddd")</f>
        <v>Tue</v>
      </c>
      <c r="U240" s="3">
        <f>WEEKDAY(Clean_Data[[#This Row],[OrderDate]],2)</f>
        <v>2</v>
      </c>
      <c r="V240" s="3">
        <f>INT(Clean_Data[[#This Row],[OrderHour]]/6)+1</f>
        <v>2</v>
      </c>
      <c r="W240" s="3">
        <f>IF(Clean_Data[[#This Row],[Status]]="Delivered",1,0)</f>
        <v>1</v>
      </c>
      <c r="X240" s="3">
        <f>IF(Clean_Data[[#This Row],[Status]]="Delivered",IF(Clean_Data[[#This Row],[DeliveryMinutes]]&lt;=Dashboard!$X$5,1,0),0)</f>
        <v>1</v>
      </c>
      <c r="Y2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0" s="3">
        <f>IF(AND(Clean_Data[[#This Row],[Include]]=1,Clean_Data[[#This Row],[DeliveredFlag]]=1),1,0)</f>
        <v>1</v>
      </c>
      <c r="AA240" s="1">
        <f>IF(COUNTIF($D$2:D240,D240)=1,ROW()-1,ROWS(Clean_Data[OrderID])+1)</f>
        <v>239</v>
      </c>
      <c r="AB240" s="1">
        <f>IF(COUNTIF($F$2:F240,F240)=1,ROW()-1,ROWS(Clean_Data[OrderID])+1)</f>
        <v>901</v>
      </c>
      <c r="AC240" s="1">
        <f>IF(COUNTIF($G$2:G240,G240)=1,ROW()-1,ROWS(Clean_Data[OrderID])+1)</f>
        <v>901</v>
      </c>
      <c r="AD240" s="1">
        <f>IF(COUNTIF($H$2:H240,H240)=1,ROW()-1,ROWS(Clean_Data[OrderID])+1)</f>
        <v>901</v>
      </c>
      <c r="AE240" s="1">
        <f>IF(COUNTIF($V$2:V240,V240)=1,V240,ROWS(Clean_Data[OrderID])+1)</f>
        <v>901</v>
      </c>
      <c r="AF240" s="1">
        <f>IF(COUNTIF($U$2:U240,U240)=1,U240,ROWS(Clean_Data[OrderID])+1)</f>
        <v>901</v>
      </c>
      <c r="AG240" s="1">
        <f>IF(COUNTIF($E$2:E240,E240)=1,ROW()-1,ROWS(Clean_Data[OrderID])+1)</f>
        <v>901</v>
      </c>
    </row>
    <row r="241" spans="1:33" ht="20" customHeight="1">
      <c r="A241" s="3" t="s">
        <v>533</v>
      </c>
      <c r="B241" s="2">
        <v>46273</v>
      </c>
      <c r="C241" s="3">
        <v>10</v>
      </c>
      <c r="D241" s="3" t="s">
        <v>534</v>
      </c>
      <c r="E241" s="3" t="s">
        <v>91</v>
      </c>
      <c r="F241" s="3" t="s">
        <v>121</v>
      </c>
      <c r="G241" s="3" t="s">
        <v>122</v>
      </c>
      <c r="H241" s="3" t="s">
        <v>214</v>
      </c>
      <c r="I241" s="3">
        <v>3</v>
      </c>
      <c r="J241" s="11">
        <v>55</v>
      </c>
      <c r="K241" s="4">
        <v>0</v>
      </c>
      <c r="L241" s="3" t="s">
        <v>95</v>
      </c>
      <c r="M241" s="3">
        <v>18</v>
      </c>
      <c r="N241" s="3">
        <v>10</v>
      </c>
      <c r="O241" s="3">
        <v>5</v>
      </c>
      <c r="P241" s="11">
        <f>Clean_Data[[#This Row],[Quantity]]*Clean_Data[[#This Row],[UnitPrice]]</f>
        <v>165</v>
      </c>
      <c r="Q241" s="11">
        <f>ROUND(Clean_Data[[#This Row],[GrossSales]]*Clean_Data[[#This Row],[DiscountPct]],2)</f>
        <v>0</v>
      </c>
      <c r="R241" s="11">
        <f>IF(Clean_Data[[#This Row],[Status]]="Delivered",ROUND(Clean_Data[[#This Row],[GrossSales]]-Clean_Data[[#This Row],[DiscountAmount]],2),0)</f>
        <v>165</v>
      </c>
      <c r="S241" s="3" t="str">
        <f>IF(Clean_Data[[#This Row],[OrderHour]]&lt;6,"Night",IF(Clean_Data[[#This Row],[OrderHour]]&lt;12,"Morning",IF(Clean_Data[[#This Row],[OrderHour]]&lt;18,"Afternoon","Evening")))</f>
        <v>Morning</v>
      </c>
      <c r="T241" s="3" t="str">
        <f>TEXT(Clean_Data[[#This Row],[OrderDate]],"[$-409]ddd")</f>
        <v>Tue</v>
      </c>
      <c r="U241" s="3">
        <f>WEEKDAY(Clean_Data[[#This Row],[OrderDate]],2)</f>
        <v>2</v>
      </c>
      <c r="V241" s="3">
        <f>INT(Clean_Data[[#This Row],[OrderHour]]/6)+1</f>
        <v>2</v>
      </c>
      <c r="W241" s="3">
        <f>IF(Clean_Data[[#This Row],[Status]]="Delivered",1,0)</f>
        <v>1</v>
      </c>
      <c r="X241" s="3">
        <f>IF(Clean_Data[[#This Row],[Status]]="Delivered",IF(Clean_Data[[#This Row],[DeliveryMinutes]]&lt;=Dashboard!$X$5,1,0),0)</f>
        <v>1</v>
      </c>
      <c r="Y2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1" s="3">
        <f>IF(AND(Clean_Data[[#This Row],[Include]]=1,Clean_Data[[#This Row],[DeliveredFlag]]=1),1,0)</f>
        <v>1</v>
      </c>
      <c r="AA241" s="1">
        <f>IF(COUNTIF($D$2:D241,D241)=1,ROW()-1,ROWS(Clean_Data[OrderID])+1)</f>
        <v>240</v>
      </c>
      <c r="AB241" s="1">
        <f>IF(COUNTIF($F$2:F241,F241)=1,ROW()-1,ROWS(Clean_Data[OrderID])+1)</f>
        <v>901</v>
      </c>
      <c r="AC241" s="1">
        <f>IF(COUNTIF($G$2:G241,G241)=1,ROW()-1,ROWS(Clean_Data[OrderID])+1)</f>
        <v>901</v>
      </c>
      <c r="AD241" s="1">
        <f>IF(COUNTIF($H$2:H241,H241)=1,ROW()-1,ROWS(Clean_Data[OrderID])+1)</f>
        <v>901</v>
      </c>
      <c r="AE241" s="1">
        <f>IF(COUNTIF($V$2:V241,V241)=1,V241,ROWS(Clean_Data[OrderID])+1)</f>
        <v>901</v>
      </c>
      <c r="AF241" s="1">
        <f>IF(COUNTIF($U$2:U241,U241)=1,U241,ROWS(Clean_Data[OrderID])+1)</f>
        <v>901</v>
      </c>
      <c r="AG241" s="1">
        <f>IF(COUNTIF($E$2:E241,E241)=1,ROW()-1,ROWS(Clean_Data[OrderID])+1)</f>
        <v>901</v>
      </c>
    </row>
    <row r="242" spans="1:33" ht="20" customHeight="1">
      <c r="A242" s="3" t="s">
        <v>535</v>
      </c>
      <c r="B242" s="2">
        <v>46274</v>
      </c>
      <c r="C242" s="3">
        <v>23</v>
      </c>
      <c r="D242" s="3" t="s">
        <v>308</v>
      </c>
      <c r="E242" s="3" t="s">
        <v>91</v>
      </c>
      <c r="F242" s="3" t="s">
        <v>98</v>
      </c>
      <c r="G242" s="3" t="s">
        <v>122</v>
      </c>
      <c r="H242" s="3" t="s">
        <v>153</v>
      </c>
      <c r="I242" s="3">
        <v>4</v>
      </c>
      <c r="J242" s="11">
        <v>130</v>
      </c>
      <c r="K242" s="4">
        <v>0.05</v>
      </c>
      <c r="L242" s="3" t="s">
        <v>95</v>
      </c>
      <c r="M242" s="3">
        <v>31</v>
      </c>
      <c r="N242" s="3">
        <v>9</v>
      </c>
      <c r="O242" s="3">
        <v>5</v>
      </c>
      <c r="P242" s="11">
        <f>Clean_Data[[#This Row],[Quantity]]*Clean_Data[[#This Row],[UnitPrice]]</f>
        <v>520</v>
      </c>
      <c r="Q242" s="11">
        <f>ROUND(Clean_Data[[#This Row],[GrossSales]]*Clean_Data[[#This Row],[DiscountPct]],2)</f>
        <v>26</v>
      </c>
      <c r="R242" s="11">
        <f>IF(Clean_Data[[#This Row],[Status]]="Delivered",ROUND(Clean_Data[[#This Row],[GrossSales]]-Clean_Data[[#This Row],[DiscountAmount]],2),0)</f>
        <v>494</v>
      </c>
      <c r="S242" s="3" t="str">
        <f>IF(Clean_Data[[#This Row],[OrderHour]]&lt;6,"Night",IF(Clean_Data[[#This Row],[OrderHour]]&lt;12,"Morning",IF(Clean_Data[[#This Row],[OrderHour]]&lt;18,"Afternoon","Evening")))</f>
        <v>Evening</v>
      </c>
      <c r="T242" s="3" t="str">
        <f>TEXT(Clean_Data[[#This Row],[OrderDate]],"[$-409]ddd")</f>
        <v>Wed</v>
      </c>
      <c r="U242" s="3">
        <f>WEEKDAY(Clean_Data[[#This Row],[OrderDate]],2)</f>
        <v>3</v>
      </c>
      <c r="V242" s="3">
        <f>INT(Clean_Data[[#This Row],[OrderHour]]/6)+1</f>
        <v>4</v>
      </c>
      <c r="W242" s="3">
        <f>IF(Clean_Data[[#This Row],[Status]]="Delivered",1,0)</f>
        <v>1</v>
      </c>
      <c r="X242" s="3">
        <f>IF(Clean_Data[[#This Row],[Status]]="Delivered",IF(Clean_Data[[#This Row],[DeliveryMinutes]]&lt;=Dashboard!$X$5,1,0),0)</f>
        <v>0</v>
      </c>
      <c r="Y2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2" s="3">
        <f>IF(AND(Clean_Data[[#This Row],[Include]]=1,Clean_Data[[#This Row],[DeliveredFlag]]=1),1,0)</f>
        <v>1</v>
      </c>
      <c r="AA242" s="1">
        <f>IF(COUNTIF($D$2:D242,D242)=1,ROW()-1,ROWS(Clean_Data[OrderID])+1)</f>
        <v>901</v>
      </c>
      <c r="AB242" s="1">
        <f>IF(COUNTIF($F$2:F242,F242)=1,ROW()-1,ROWS(Clean_Data[OrderID])+1)</f>
        <v>901</v>
      </c>
      <c r="AC242" s="1">
        <f>IF(COUNTIF($G$2:G242,G242)=1,ROW()-1,ROWS(Clean_Data[OrderID])+1)</f>
        <v>901</v>
      </c>
      <c r="AD242" s="1">
        <f>IF(COUNTIF($H$2:H242,H242)=1,ROW()-1,ROWS(Clean_Data[OrderID])+1)</f>
        <v>901</v>
      </c>
      <c r="AE242" s="1">
        <f>IF(COUNTIF($V$2:V242,V242)=1,V242,ROWS(Clean_Data[OrderID])+1)</f>
        <v>901</v>
      </c>
      <c r="AF242" s="1">
        <f>IF(COUNTIF($U$2:U242,U242)=1,U242,ROWS(Clean_Data[OrderID])+1)</f>
        <v>901</v>
      </c>
      <c r="AG242" s="1">
        <f>IF(COUNTIF($E$2:E242,E242)=1,ROW()-1,ROWS(Clean_Data[OrderID])+1)</f>
        <v>901</v>
      </c>
    </row>
    <row r="243" spans="1:33" ht="20" customHeight="1">
      <c r="A243" s="3" t="s">
        <v>536</v>
      </c>
      <c r="B243" s="2">
        <v>46274</v>
      </c>
      <c r="C243" s="3">
        <v>11</v>
      </c>
      <c r="D243" s="3" t="s">
        <v>537</v>
      </c>
      <c r="E243" s="3" t="s">
        <v>91</v>
      </c>
      <c r="F243" s="3" t="s">
        <v>109</v>
      </c>
      <c r="G243" s="3" t="s">
        <v>122</v>
      </c>
      <c r="H243" s="3" t="s">
        <v>153</v>
      </c>
      <c r="I243" s="3">
        <v>1</v>
      </c>
      <c r="J243" s="11">
        <v>130</v>
      </c>
      <c r="K243" s="4">
        <v>0</v>
      </c>
      <c r="L243" s="3" t="s">
        <v>95</v>
      </c>
      <c r="M243" s="3">
        <v>16</v>
      </c>
      <c r="N243" s="3">
        <v>6</v>
      </c>
      <c r="O243" s="3">
        <v>4</v>
      </c>
      <c r="P243" s="11">
        <f>Clean_Data[[#This Row],[Quantity]]*Clean_Data[[#This Row],[UnitPrice]]</f>
        <v>130</v>
      </c>
      <c r="Q243" s="11">
        <f>ROUND(Clean_Data[[#This Row],[GrossSales]]*Clean_Data[[#This Row],[DiscountPct]],2)</f>
        <v>0</v>
      </c>
      <c r="R243" s="11">
        <f>IF(Clean_Data[[#This Row],[Status]]="Delivered",ROUND(Clean_Data[[#This Row],[GrossSales]]-Clean_Data[[#This Row],[DiscountAmount]],2),0)</f>
        <v>130</v>
      </c>
      <c r="S243" s="3" t="str">
        <f>IF(Clean_Data[[#This Row],[OrderHour]]&lt;6,"Night",IF(Clean_Data[[#This Row],[OrderHour]]&lt;12,"Morning",IF(Clean_Data[[#This Row],[OrderHour]]&lt;18,"Afternoon","Evening")))</f>
        <v>Morning</v>
      </c>
      <c r="T243" s="3" t="str">
        <f>TEXT(Clean_Data[[#This Row],[OrderDate]],"[$-409]ddd")</f>
        <v>Wed</v>
      </c>
      <c r="U243" s="3">
        <f>WEEKDAY(Clean_Data[[#This Row],[OrderDate]],2)</f>
        <v>3</v>
      </c>
      <c r="V243" s="3">
        <f>INT(Clean_Data[[#This Row],[OrderHour]]/6)+1</f>
        <v>2</v>
      </c>
      <c r="W243" s="3">
        <f>IF(Clean_Data[[#This Row],[Status]]="Delivered",1,0)</f>
        <v>1</v>
      </c>
      <c r="X243" s="3">
        <f>IF(Clean_Data[[#This Row],[Status]]="Delivered",IF(Clean_Data[[#This Row],[DeliveryMinutes]]&lt;=Dashboard!$X$5,1,0),0)</f>
        <v>1</v>
      </c>
      <c r="Y2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3" s="3">
        <f>IF(AND(Clean_Data[[#This Row],[Include]]=1,Clean_Data[[#This Row],[DeliveredFlag]]=1),1,0)</f>
        <v>1</v>
      </c>
      <c r="AA243" s="1">
        <f>IF(COUNTIF($D$2:D243,D243)=1,ROW()-1,ROWS(Clean_Data[OrderID])+1)</f>
        <v>242</v>
      </c>
      <c r="AB243" s="1">
        <f>IF(COUNTIF($F$2:F243,F243)=1,ROW()-1,ROWS(Clean_Data[OrderID])+1)</f>
        <v>901</v>
      </c>
      <c r="AC243" s="1">
        <f>IF(COUNTIF($G$2:G243,G243)=1,ROW()-1,ROWS(Clean_Data[OrderID])+1)</f>
        <v>901</v>
      </c>
      <c r="AD243" s="1">
        <f>IF(COUNTIF($H$2:H243,H243)=1,ROW()-1,ROWS(Clean_Data[OrderID])+1)</f>
        <v>901</v>
      </c>
      <c r="AE243" s="1">
        <f>IF(COUNTIF($V$2:V243,V243)=1,V243,ROWS(Clean_Data[OrderID])+1)</f>
        <v>901</v>
      </c>
      <c r="AF243" s="1">
        <f>IF(COUNTIF($U$2:U243,U243)=1,U243,ROWS(Clean_Data[OrderID])+1)</f>
        <v>901</v>
      </c>
      <c r="AG243" s="1">
        <f>IF(COUNTIF($E$2:E243,E243)=1,ROW()-1,ROWS(Clean_Data[OrderID])+1)</f>
        <v>901</v>
      </c>
    </row>
    <row r="244" spans="1:33" ht="20" customHeight="1">
      <c r="A244" s="3" t="s">
        <v>538</v>
      </c>
      <c r="B244" s="2">
        <v>46274</v>
      </c>
      <c r="C244" s="3">
        <v>18</v>
      </c>
      <c r="D244" s="3" t="s">
        <v>283</v>
      </c>
      <c r="E244" s="3" t="s">
        <v>91</v>
      </c>
      <c r="F244" s="3" t="s">
        <v>139</v>
      </c>
      <c r="G244" s="3" t="s">
        <v>174</v>
      </c>
      <c r="H244" s="3" t="s">
        <v>184</v>
      </c>
      <c r="I244" s="3">
        <v>5</v>
      </c>
      <c r="J244" s="11">
        <v>62</v>
      </c>
      <c r="K244" s="4">
        <v>0</v>
      </c>
      <c r="L244" s="3" t="s">
        <v>95</v>
      </c>
      <c r="M244" s="3">
        <v>28</v>
      </c>
      <c r="N244" s="3">
        <v>8</v>
      </c>
      <c r="O244" s="3">
        <v>5</v>
      </c>
      <c r="P244" s="11">
        <f>Clean_Data[[#This Row],[Quantity]]*Clean_Data[[#This Row],[UnitPrice]]</f>
        <v>310</v>
      </c>
      <c r="Q244" s="11">
        <f>ROUND(Clean_Data[[#This Row],[GrossSales]]*Clean_Data[[#This Row],[DiscountPct]],2)</f>
        <v>0</v>
      </c>
      <c r="R244" s="11">
        <f>IF(Clean_Data[[#This Row],[Status]]="Delivered",ROUND(Clean_Data[[#This Row],[GrossSales]]-Clean_Data[[#This Row],[DiscountAmount]],2),0)</f>
        <v>310</v>
      </c>
      <c r="S244" s="3" t="str">
        <f>IF(Clean_Data[[#This Row],[OrderHour]]&lt;6,"Night",IF(Clean_Data[[#This Row],[OrderHour]]&lt;12,"Morning",IF(Clean_Data[[#This Row],[OrderHour]]&lt;18,"Afternoon","Evening")))</f>
        <v>Evening</v>
      </c>
      <c r="T244" s="3" t="str">
        <f>TEXT(Clean_Data[[#This Row],[OrderDate]],"[$-409]ddd")</f>
        <v>Wed</v>
      </c>
      <c r="U244" s="3">
        <f>WEEKDAY(Clean_Data[[#This Row],[OrderDate]],2)</f>
        <v>3</v>
      </c>
      <c r="V244" s="3">
        <f>INT(Clean_Data[[#This Row],[OrderHour]]/6)+1</f>
        <v>4</v>
      </c>
      <c r="W244" s="3">
        <f>IF(Clean_Data[[#This Row],[Status]]="Delivered",1,0)</f>
        <v>1</v>
      </c>
      <c r="X244" s="3">
        <f>IF(Clean_Data[[#This Row],[Status]]="Delivered",IF(Clean_Data[[#This Row],[DeliveryMinutes]]&lt;=Dashboard!$X$5,1,0),0)</f>
        <v>1</v>
      </c>
      <c r="Y2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4" s="3">
        <f>IF(AND(Clean_Data[[#This Row],[Include]]=1,Clean_Data[[#This Row],[DeliveredFlag]]=1),1,0)</f>
        <v>1</v>
      </c>
      <c r="AA244" s="1">
        <f>IF(COUNTIF($D$2:D244,D244)=1,ROW()-1,ROWS(Clean_Data[OrderID])+1)</f>
        <v>901</v>
      </c>
      <c r="AB244" s="1">
        <f>IF(COUNTIF($F$2:F244,F244)=1,ROW()-1,ROWS(Clean_Data[OrderID])+1)</f>
        <v>901</v>
      </c>
      <c r="AC244" s="1">
        <f>IF(COUNTIF($G$2:G244,G244)=1,ROW()-1,ROWS(Clean_Data[OrderID])+1)</f>
        <v>901</v>
      </c>
      <c r="AD244" s="1">
        <f>IF(COUNTIF($H$2:H244,H244)=1,ROW()-1,ROWS(Clean_Data[OrderID])+1)</f>
        <v>901</v>
      </c>
      <c r="AE244" s="1">
        <f>IF(COUNTIF($V$2:V244,V244)=1,V244,ROWS(Clean_Data[OrderID])+1)</f>
        <v>901</v>
      </c>
      <c r="AF244" s="1">
        <f>IF(COUNTIF($U$2:U244,U244)=1,U244,ROWS(Clean_Data[OrderID])+1)</f>
        <v>901</v>
      </c>
      <c r="AG244" s="1">
        <f>IF(COUNTIF($E$2:E244,E244)=1,ROW()-1,ROWS(Clean_Data[OrderID])+1)</f>
        <v>901</v>
      </c>
    </row>
    <row r="245" spans="1:33" ht="20" customHeight="1">
      <c r="A245" s="3" t="s">
        <v>539</v>
      </c>
      <c r="B245" s="2">
        <v>46274</v>
      </c>
      <c r="C245" s="3">
        <v>8</v>
      </c>
      <c r="D245" s="3" t="s">
        <v>414</v>
      </c>
      <c r="E245" s="3" t="s">
        <v>117</v>
      </c>
      <c r="F245" s="3" t="s">
        <v>121</v>
      </c>
      <c r="G245" s="3" t="s">
        <v>135</v>
      </c>
      <c r="H245" s="3" t="s">
        <v>162</v>
      </c>
      <c r="I245" s="3">
        <v>1</v>
      </c>
      <c r="J245" s="11">
        <v>180</v>
      </c>
      <c r="K245" s="4">
        <v>0</v>
      </c>
      <c r="L245" s="3" t="s">
        <v>95</v>
      </c>
      <c r="M245" s="3">
        <v>25</v>
      </c>
      <c r="N245" s="3">
        <v>12</v>
      </c>
      <c r="O245" s="3">
        <v>4</v>
      </c>
      <c r="P245" s="11">
        <f>Clean_Data[[#This Row],[Quantity]]*Clean_Data[[#This Row],[UnitPrice]]</f>
        <v>180</v>
      </c>
      <c r="Q245" s="11">
        <f>ROUND(Clean_Data[[#This Row],[GrossSales]]*Clean_Data[[#This Row],[DiscountPct]],2)</f>
        <v>0</v>
      </c>
      <c r="R245" s="11">
        <f>IF(Clean_Data[[#This Row],[Status]]="Delivered",ROUND(Clean_Data[[#This Row],[GrossSales]]-Clean_Data[[#This Row],[DiscountAmount]],2),0)</f>
        <v>180</v>
      </c>
      <c r="S245" s="3" t="str">
        <f>IF(Clean_Data[[#This Row],[OrderHour]]&lt;6,"Night",IF(Clean_Data[[#This Row],[OrderHour]]&lt;12,"Morning",IF(Clean_Data[[#This Row],[OrderHour]]&lt;18,"Afternoon","Evening")))</f>
        <v>Morning</v>
      </c>
      <c r="T245" s="3" t="str">
        <f>TEXT(Clean_Data[[#This Row],[OrderDate]],"[$-409]ddd")</f>
        <v>Wed</v>
      </c>
      <c r="U245" s="3">
        <f>WEEKDAY(Clean_Data[[#This Row],[OrderDate]],2)</f>
        <v>3</v>
      </c>
      <c r="V245" s="3">
        <f>INT(Clean_Data[[#This Row],[OrderHour]]/6)+1</f>
        <v>2</v>
      </c>
      <c r="W245" s="3">
        <f>IF(Clean_Data[[#This Row],[Status]]="Delivered",1,0)</f>
        <v>1</v>
      </c>
      <c r="X245" s="3">
        <f>IF(Clean_Data[[#This Row],[Status]]="Delivered",IF(Clean_Data[[#This Row],[DeliveryMinutes]]&lt;=Dashboard!$X$5,1,0),0)</f>
        <v>1</v>
      </c>
      <c r="Y2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5" s="3">
        <f>IF(AND(Clean_Data[[#This Row],[Include]]=1,Clean_Data[[#This Row],[DeliveredFlag]]=1),1,0)</f>
        <v>1</v>
      </c>
      <c r="AA245" s="1">
        <f>IF(COUNTIF($D$2:D245,D245)=1,ROW()-1,ROWS(Clean_Data[OrderID])+1)</f>
        <v>901</v>
      </c>
      <c r="AB245" s="1">
        <f>IF(COUNTIF($F$2:F245,F245)=1,ROW()-1,ROWS(Clean_Data[OrderID])+1)</f>
        <v>901</v>
      </c>
      <c r="AC245" s="1">
        <f>IF(COUNTIF($G$2:G245,G245)=1,ROW()-1,ROWS(Clean_Data[OrderID])+1)</f>
        <v>901</v>
      </c>
      <c r="AD245" s="1">
        <f>IF(COUNTIF($H$2:H245,H245)=1,ROW()-1,ROWS(Clean_Data[OrderID])+1)</f>
        <v>901</v>
      </c>
      <c r="AE245" s="1">
        <f>IF(COUNTIF($V$2:V245,V245)=1,V245,ROWS(Clean_Data[OrderID])+1)</f>
        <v>901</v>
      </c>
      <c r="AF245" s="1">
        <f>IF(COUNTIF($U$2:U245,U245)=1,U245,ROWS(Clean_Data[OrderID])+1)</f>
        <v>901</v>
      </c>
      <c r="AG245" s="1">
        <f>IF(COUNTIF($E$2:E245,E245)=1,ROW()-1,ROWS(Clean_Data[OrderID])+1)</f>
        <v>901</v>
      </c>
    </row>
    <row r="246" spans="1:33" ht="20" customHeight="1">
      <c r="A246" s="3" t="s">
        <v>540</v>
      </c>
      <c r="B246" s="2">
        <v>46274</v>
      </c>
      <c r="C246" s="3">
        <v>12</v>
      </c>
      <c r="D246" s="3" t="s">
        <v>347</v>
      </c>
      <c r="E246" s="3" t="s">
        <v>91</v>
      </c>
      <c r="F246" s="3" t="s">
        <v>98</v>
      </c>
      <c r="G246" s="3" t="s">
        <v>135</v>
      </c>
      <c r="H246" s="3" t="s">
        <v>136</v>
      </c>
      <c r="I246" s="3">
        <v>5</v>
      </c>
      <c r="J246" s="11">
        <v>40</v>
      </c>
      <c r="K246" s="4">
        <v>0.05</v>
      </c>
      <c r="L246" s="3" t="s">
        <v>95</v>
      </c>
      <c r="M246" s="3">
        <v>24</v>
      </c>
      <c r="N246" s="3">
        <v>8</v>
      </c>
      <c r="O246" s="3">
        <v>4</v>
      </c>
      <c r="P246" s="11">
        <f>Clean_Data[[#This Row],[Quantity]]*Clean_Data[[#This Row],[UnitPrice]]</f>
        <v>200</v>
      </c>
      <c r="Q246" s="11">
        <f>ROUND(Clean_Data[[#This Row],[GrossSales]]*Clean_Data[[#This Row],[DiscountPct]],2)</f>
        <v>10</v>
      </c>
      <c r="R246" s="11">
        <f>IF(Clean_Data[[#This Row],[Status]]="Delivered",ROUND(Clean_Data[[#This Row],[GrossSales]]-Clean_Data[[#This Row],[DiscountAmount]],2),0)</f>
        <v>190</v>
      </c>
      <c r="S246" s="3" t="str">
        <f>IF(Clean_Data[[#This Row],[OrderHour]]&lt;6,"Night",IF(Clean_Data[[#This Row],[OrderHour]]&lt;12,"Morning",IF(Clean_Data[[#This Row],[OrderHour]]&lt;18,"Afternoon","Evening")))</f>
        <v>Afternoon</v>
      </c>
      <c r="T246" s="3" t="str">
        <f>TEXT(Clean_Data[[#This Row],[OrderDate]],"[$-409]ddd")</f>
        <v>Wed</v>
      </c>
      <c r="U246" s="3">
        <f>WEEKDAY(Clean_Data[[#This Row],[OrderDate]],2)</f>
        <v>3</v>
      </c>
      <c r="V246" s="3">
        <f>INT(Clean_Data[[#This Row],[OrderHour]]/6)+1</f>
        <v>3</v>
      </c>
      <c r="W246" s="3">
        <f>IF(Clean_Data[[#This Row],[Status]]="Delivered",1,0)</f>
        <v>1</v>
      </c>
      <c r="X246" s="3">
        <f>IF(Clean_Data[[#This Row],[Status]]="Delivered",IF(Clean_Data[[#This Row],[DeliveryMinutes]]&lt;=Dashboard!$X$5,1,0),0)</f>
        <v>1</v>
      </c>
      <c r="Y2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6" s="3">
        <f>IF(AND(Clean_Data[[#This Row],[Include]]=1,Clean_Data[[#This Row],[DeliveredFlag]]=1),1,0)</f>
        <v>1</v>
      </c>
      <c r="AA246" s="1">
        <f>IF(COUNTIF($D$2:D246,D246)=1,ROW()-1,ROWS(Clean_Data[OrderID])+1)</f>
        <v>901</v>
      </c>
      <c r="AB246" s="1">
        <f>IF(COUNTIF($F$2:F246,F246)=1,ROW()-1,ROWS(Clean_Data[OrderID])+1)</f>
        <v>901</v>
      </c>
      <c r="AC246" s="1">
        <f>IF(COUNTIF($G$2:G246,G246)=1,ROW()-1,ROWS(Clean_Data[OrderID])+1)</f>
        <v>901</v>
      </c>
      <c r="AD246" s="1">
        <f>IF(COUNTIF($H$2:H246,H246)=1,ROW()-1,ROWS(Clean_Data[OrderID])+1)</f>
        <v>901</v>
      </c>
      <c r="AE246" s="1">
        <f>IF(COUNTIF($V$2:V246,V246)=1,V246,ROWS(Clean_Data[OrderID])+1)</f>
        <v>901</v>
      </c>
      <c r="AF246" s="1">
        <f>IF(COUNTIF($U$2:U246,U246)=1,U246,ROWS(Clean_Data[OrderID])+1)</f>
        <v>901</v>
      </c>
      <c r="AG246" s="1">
        <f>IF(COUNTIF($E$2:E246,E246)=1,ROW()-1,ROWS(Clean_Data[OrderID])+1)</f>
        <v>901</v>
      </c>
    </row>
    <row r="247" spans="1:33" ht="20" customHeight="1">
      <c r="A247" s="3" t="s">
        <v>541</v>
      </c>
      <c r="B247" s="2">
        <v>46274</v>
      </c>
      <c r="C247" s="3">
        <v>12</v>
      </c>
      <c r="D247" s="3" t="s">
        <v>281</v>
      </c>
      <c r="E247" s="3" t="s">
        <v>91</v>
      </c>
      <c r="F247" s="3" t="s">
        <v>98</v>
      </c>
      <c r="G247" s="3" t="s">
        <v>93</v>
      </c>
      <c r="H247" s="3" t="s">
        <v>118</v>
      </c>
      <c r="I247" s="3">
        <v>3</v>
      </c>
      <c r="J247" s="11">
        <v>45</v>
      </c>
      <c r="K247" s="4">
        <v>0</v>
      </c>
      <c r="L247" s="3" t="s">
        <v>95</v>
      </c>
      <c r="M247" s="3">
        <v>26</v>
      </c>
      <c r="N247" s="3">
        <v>9</v>
      </c>
      <c r="O247" s="3">
        <v>4</v>
      </c>
      <c r="P247" s="11">
        <f>Clean_Data[[#This Row],[Quantity]]*Clean_Data[[#This Row],[UnitPrice]]</f>
        <v>135</v>
      </c>
      <c r="Q247" s="11">
        <f>ROUND(Clean_Data[[#This Row],[GrossSales]]*Clean_Data[[#This Row],[DiscountPct]],2)</f>
        <v>0</v>
      </c>
      <c r="R247" s="11">
        <f>IF(Clean_Data[[#This Row],[Status]]="Delivered",ROUND(Clean_Data[[#This Row],[GrossSales]]-Clean_Data[[#This Row],[DiscountAmount]],2),0)</f>
        <v>135</v>
      </c>
      <c r="S247" s="3" t="str">
        <f>IF(Clean_Data[[#This Row],[OrderHour]]&lt;6,"Night",IF(Clean_Data[[#This Row],[OrderHour]]&lt;12,"Morning",IF(Clean_Data[[#This Row],[OrderHour]]&lt;18,"Afternoon","Evening")))</f>
        <v>Afternoon</v>
      </c>
      <c r="T247" s="3" t="str">
        <f>TEXT(Clean_Data[[#This Row],[OrderDate]],"[$-409]ddd")</f>
        <v>Wed</v>
      </c>
      <c r="U247" s="3">
        <f>WEEKDAY(Clean_Data[[#This Row],[OrderDate]],2)</f>
        <v>3</v>
      </c>
      <c r="V247" s="3">
        <f>INT(Clean_Data[[#This Row],[OrderHour]]/6)+1</f>
        <v>3</v>
      </c>
      <c r="W247" s="3">
        <f>IF(Clean_Data[[#This Row],[Status]]="Delivered",1,0)</f>
        <v>1</v>
      </c>
      <c r="X247" s="3">
        <f>IF(Clean_Data[[#This Row],[Status]]="Delivered",IF(Clean_Data[[#This Row],[DeliveryMinutes]]&lt;=Dashboard!$X$5,1,0),0)</f>
        <v>1</v>
      </c>
      <c r="Y2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7" s="3">
        <f>IF(AND(Clean_Data[[#This Row],[Include]]=1,Clean_Data[[#This Row],[DeliveredFlag]]=1),1,0)</f>
        <v>1</v>
      </c>
      <c r="AA247" s="1">
        <f>IF(COUNTIF($D$2:D247,D247)=1,ROW()-1,ROWS(Clean_Data[OrderID])+1)</f>
        <v>901</v>
      </c>
      <c r="AB247" s="1">
        <f>IF(COUNTIF($F$2:F247,F247)=1,ROW()-1,ROWS(Clean_Data[OrderID])+1)</f>
        <v>901</v>
      </c>
      <c r="AC247" s="1">
        <f>IF(COUNTIF($G$2:G247,G247)=1,ROW()-1,ROWS(Clean_Data[OrderID])+1)</f>
        <v>901</v>
      </c>
      <c r="AD247" s="1">
        <f>IF(COUNTIF($H$2:H247,H247)=1,ROW()-1,ROWS(Clean_Data[OrderID])+1)</f>
        <v>901</v>
      </c>
      <c r="AE247" s="1">
        <f>IF(COUNTIF($V$2:V247,V247)=1,V247,ROWS(Clean_Data[OrderID])+1)</f>
        <v>901</v>
      </c>
      <c r="AF247" s="1">
        <f>IF(COUNTIF($U$2:U247,U247)=1,U247,ROWS(Clean_Data[OrderID])+1)</f>
        <v>901</v>
      </c>
      <c r="AG247" s="1">
        <f>IF(COUNTIF($E$2:E247,E247)=1,ROW()-1,ROWS(Clean_Data[OrderID])+1)</f>
        <v>901</v>
      </c>
    </row>
    <row r="248" spans="1:33" ht="20" customHeight="1">
      <c r="A248" s="3" t="s">
        <v>542</v>
      </c>
      <c r="B248" s="2">
        <v>46274</v>
      </c>
      <c r="C248" s="3">
        <v>12</v>
      </c>
      <c r="D248" s="3" t="s">
        <v>464</v>
      </c>
      <c r="E248" s="3" t="s">
        <v>91</v>
      </c>
      <c r="F248" s="3" t="s">
        <v>92</v>
      </c>
      <c r="G248" s="3" t="s">
        <v>110</v>
      </c>
      <c r="H248" s="3" t="s">
        <v>114</v>
      </c>
      <c r="I248" s="3">
        <v>6</v>
      </c>
      <c r="J248" s="11">
        <v>145</v>
      </c>
      <c r="K248" s="4">
        <v>0.05</v>
      </c>
      <c r="L248" s="3" t="s">
        <v>95</v>
      </c>
      <c r="M248" s="3">
        <v>32</v>
      </c>
      <c r="N248" s="3">
        <v>7</v>
      </c>
      <c r="O248" s="3">
        <v>4</v>
      </c>
      <c r="P248" s="11">
        <f>Clean_Data[[#This Row],[Quantity]]*Clean_Data[[#This Row],[UnitPrice]]</f>
        <v>870</v>
      </c>
      <c r="Q248" s="11">
        <f>ROUND(Clean_Data[[#This Row],[GrossSales]]*Clean_Data[[#This Row],[DiscountPct]],2)</f>
        <v>43.5</v>
      </c>
      <c r="R248" s="11">
        <f>IF(Clean_Data[[#This Row],[Status]]="Delivered",ROUND(Clean_Data[[#This Row],[GrossSales]]-Clean_Data[[#This Row],[DiscountAmount]],2),0)</f>
        <v>826.5</v>
      </c>
      <c r="S248" s="3" t="str">
        <f>IF(Clean_Data[[#This Row],[OrderHour]]&lt;6,"Night",IF(Clean_Data[[#This Row],[OrderHour]]&lt;12,"Morning",IF(Clean_Data[[#This Row],[OrderHour]]&lt;18,"Afternoon","Evening")))</f>
        <v>Afternoon</v>
      </c>
      <c r="T248" s="3" t="str">
        <f>TEXT(Clean_Data[[#This Row],[OrderDate]],"[$-409]ddd")</f>
        <v>Wed</v>
      </c>
      <c r="U248" s="3">
        <f>WEEKDAY(Clean_Data[[#This Row],[OrderDate]],2)</f>
        <v>3</v>
      </c>
      <c r="V248" s="3">
        <f>INT(Clean_Data[[#This Row],[OrderHour]]/6)+1</f>
        <v>3</v>
      </c>
      <c r="W248" s="3">
        <f>IF(Clean_Data[[#This Row],[Status]]="Delivered",1,0)</f>
        <v>1</v>
      </c>
      <c r="X248" s="3">
        <f>IF(Clean_Data[[#This Row],[Status]]="Delivered",IF(Clean_Data[[#This Row],[DeliveryMinutes]]&lt;=Dashboard!$X$5,1,0),0)</f>
        <v>0</v>
      </c>
      <c r="Y2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8" s="3">
        <f>IF(AND(Clean_Data[[#This Row],[Include]]=1,Clean_Data[[#This Row],[DeliveredFlag]]=1),1,0)</f>
        <v>1</v>
      </c>
      <c r="AA248" s="1">
        <f>IF(COUNTIF($D$2:D248,D248)=1,ROW()-1,ROWS(Clean_Data[OrderID])+1)</f>
        <v>901</v>
      </c>
      <c r="AB248" s="1">
        <f>IF(COUNTIF($F$2:F248,F248)=1,ROW()-1,ROWS(Clean_Data[OrderID])+1)</f>
        <v>901</v>
      </c>
      <c r="AC248" s="1">
        <f>IF(COUNTIF($G$2:G248,G248)=1,ROW()-1,ROWS(Clean_Data[OrderID])+1)</f>
        <v>901</v>
      </c>
      <c r="AD248" s="1">
        <f>IF(COUNTIF($H$2:H248,H248)=1,ROW()-1,ROWS(Clean_Data[OrderID])+1)</f>
        <v>901</v>
      </c>
      <c r="AE248" s="1">
        <f>IF(COUNTIF($V$2:V248,V248)=1,V248,ROWS(Clean_Data[OrderID])+1)</f>
        <v>901</v>
      </c>
      <c r="AF248" s="1">
        <f>IF(COUNTIF($U$2:U248,U248)=1,U248,ROWS(Clean_Data[OrderID])+1)</f>
        <v>901</v>
      </c>
      <c r="AG248" s="1">
        <f>IF(COUNTIF($E$2:E248,E248)=1,ROW()-1,ROWS(Clean_Data[OrderID])+1)</f>
        <v>901</v>
      </c>
    </row>
    <row r="249" spans="1:33" ht="20" customHeight="1">
      <c r="A249" s="3" t="s">
        <v>543</v>
      </c>
      <c r="B249" s="2">
        <v>46274</v>
      </c>
      <c r="C249" s="3">
        <v>19</v>
      </c>
      <c r="D249" s="3" t="s">
        <v>513</v>
      </c>
      <c r="E249" s="3" t="s">
        <v>117</v>
      </c>
      <c r="F249" s="3" t="s">
        <v>109</v>
      </c>
      <c r="G249" s="3" t="s">
        <v>174</v>
      </c>
      <c r="H249" s="3" t="s">
        <v>184</v>
      </c>
      <c r="I249" s="3">
        <v>4</v>
      </c>
      <c r="J249" s="11">
        <v>62</v>
      </c>
      <c r="K249" s="4">
        <v>0.1</v>
      </c>
      <c r="L249" s="3" t="s">
        <v>95</v>
      </c>
      <c r="M249" s="3">
        <v>13</v>
      </c>
      <c r="N249" s="3">
        <v>5</v>
      </c>
      <c r="O249" s="3">
        <v>3</v>
      </c>
      <c r="P249" s="11">
        <f>Clean_Data[[#This Row],[Quantity]]*Clean_Data[[#This Row],[UnitPrice]]</f>
        <v>248</v>
      </c>
      <c r="Q249" s="11">
        <f>ROUND(Clean_Data[[#This Row],[GrossSales]]*Clean_Data[[#This Row],[DiscountPct]],2)</f>
        <v>24.8</v>
      </c>
      <c r="R249" s="11">
        <f>IF(Clean_Data[[#This Row],[Status]]="Delivered",ROUND(Clean_Data[[#This Row],[GrossSales]]-Clean_Data[[#This Row],[DiscountAmount]],2),0)</f>
        <v>223.2</v>
      </c>
      <c r="S249" s="3" t="str">
        <f>IF(Clean_Data[[#This Row],[OrderHour]]&lt;6,"Night",IF(Clean_Data[[#This Row],[OrderHour]]&lt;12,"Morning",IF(Clean_Data[[#This Row],[OrderHour]]&lt;18,"Afternoon","Evening")))</f>
        <v>Evening</v>
      </c>
      <c r="T249" s="3" t="str">
        <f>TEXT(Clean_Data[[#This Row],[OrderDate]],"[$-409]ddd")</f>
        <v>Wed</v>
      </c>
      <c r="U249" s="3">
        <f>WEEKDAY(Clean_Data[[#This Row],[OrderDate]],2)</f>
        <v>3</v>
      </c>
      <c r="V249" s="3">
        <f>INT(Clean_Data[[#This Row],[OrderHour]]/6)+1</f>
        <v>4</v>
      </c>
      <c r="W249" s="3">
        <f>IF(Clean_Data[[#This Row],[Status]]="Delivered",1,0)</f>
        <v>1</v>
      </c>
      <c r="X249" s="3">
        <f>IF(Clean_Data[[#This Row],[Status]]="Delivered",IF(Clean_Data[[#This Row],[DeliveryMinutes]]&lt;=Dashboard!$X$5,1,0),0)</f>
        <v>1</v>
      </c>
      <c r="Y2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49" s="3">
        <f>IF(AND(Clean_Data[[#This Row],[Include]]=1,Clean_Data[[#This Row],[DeliveredFlag]]=1),1,0)</f>
        <v>1</v>
      </c>
      <c r="AA249" s="1">
        <f>IF(COUNTIF($D$2:D249,D249)=1,ROW()-1,ROWS(Clean_Data[OrderID])+1)</f>
        <v>901</v>
      </c>
      <c r="AB249" s="1">
        <f>IF(COUNTIF($F$2:F249,F249)=1,ROW()-1,ROWS(Clean_Data[OrderID])+1)</f>
        <v>901</v>
      </c>
      <c r="AC249" s="1">
        <f>IF(COUNTIF($G$2:G249,G249)=1,ROW()-1,ROWS(Clean_Data[OrderID])+1)</f>
        <v>901</v>
      </c>
      <c r="AD249" s="1">
        <f>IF(COUNTIF($H$2:H249,H249)=1,ROW()-1,ROWS(Clean_Data[OrderID])+1)</f>
        <v>901</v>
      </c>
      <c r="AE249" s="1">
        <f>IF(COUNTIF($V$2:V249,V249)=1,V249,ROWS(Clean_Data[OrderID])+1)</f>
        <v>901</v>
      </c>
      <c r="AF249" s="1">
        <f>IF(COUNTIF($U$2:U249,U249)=1,U249,ROWS(Clean_Data[OrderID])+1)</f>
        <v>901</v>
      </c>
      <c r="AG249" s="1">
        <f>IF(COUNTIF($E$2:E249,E249)=1,ROW()-1,ROWS(Clean_Data[OrderID])+1)</f>
        <v>901</v>
      </c>
    </row>
    <row r="250" spans="1:33" ht="20" customHeight="1">
      <c r="A250" s="3" t="s">
        <v>544</v>
      </c>
      <c r="B250" s="2">
        <v>46274</v>
      </c>
      <c r="C250" s="3">
        <v>19</v>
      </c>
      <c r="D250" s="3" t="s">
        <v>545</v>
      </c>
      <c r="E250" s="3" t="s">
        <v>117</v>
      </c>
      <c r="F250" s="3" t="s">
        <v>139</v>
      </c>
      <c r="G250" s="3" t="s">
        <v>122</v>
      </c>
      <c r="H250" s="3" t="s">
        <v>153</v>
      </c>
      <c r="I250" s="3">
        <v>5</v>
      </c>
      <c r="J250" s="11">
        <v>130</v>
      </c>
      <c r="K250" s="4">
        <v>0.15</v>
      </c>
      <c r="L250" s="3" t="s">
        <v>95</v>
      </c>
      <c r="M250" s="3">
        <v>31</v>
      </c>
      <c r="N250" s="3">
        <v>7</v>
      </c>
      <c r="O250" s="3">
        <v>4</v>
      </c>
      <c r="P250" s="11">
        <f>Clean_Data[[#This Row],[Quantity]]*Clean_Data[[#This Row],[UnitPrice]]</f>
        <v>650</v>
      </c>
      <c r="Q250" s="11">
        <f>ROUND(Clean_Data[[#This Row],[GrossSales]]*Clean_Data[[#This Row],[DiscountPct]],2)</f>
        <v>97.5</v>
      </c>
      <c r="R250" s="11">
        <f>IF(Clean_Data[[#This Row],[Status]]="Delivered",ROUND(Clean_Data[[#This Row],[GrossSales]]-Clean_Data[[#This Row],[DiscountAmount]],2),0)</f>
        <v>552.5</v>
      </c>
      <c r="S250" s="3" t="str">
        <f>IF(Clean_Data[[#This Row],[OrderHour]]&lt;6,"Night",IF(Clean_Data[[#This Row],[OrderHour]]&lt;12,"Morning",IF(Clean_Data[[#This Row],[OrderHour]]&lt;18,"Afternoon","Evening")))</f>
        <v>Evening</v>
      </c>
      <c r="T250" s="3" t="str">
        <f>TEXT(Clean_Data[[#This Row],[OrderDate]],"[$-409]ddd")</f>
        <v>Wed</v>
      </c>
      <c r="U250" s="3">
        <f>WEEKDAY(Clean_Data[[#This Row],[OrderDate]],2)</f>
        <v>3</v>
      </c>
      <c r="V250" s="3">
        <f>INT(Clean_Data[[#This Row],[OrderHour]]/6)+1</f>
        <v>4</v>
      </c>
      <c r="W250" s="3">
        <f>IF(Clean_Data[[#This Row],[Status]]="Delivered",1,0)</f>
        <v>1</v>
      </c>
      <c r="X250" s="3">
        <f>IF(Clean_Data[[#This Row],[Status]]="Delivered",IF(Clean_Data[[#This Row],[DeliveryMinutes]]&lt;=Dashboard!$X$5,1,0),0)</f>
        <v>0</v>
      </c>
      <c r="Y2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0" s="3">
        <f>IF(AND(Clean_Data[[#This Row],[Include]]=1,Clean_Data[[#This Row],[DeliveredFlag]]=1),1,0)</f>
        <v>1</v>
      </c>
      <c r="AA250" s="1">
        <f>IF(COUNTIF($D$2:D250,D250)=1,ROW()-1,ROWS(Clean_Data[OrderID])+1)</f>
        <v>249</v>
      </c>
      <c r="AB250" s="1">
        <f>IF(COUNTIF($F$2:F250,F250)=1,ROW()-1,ROWS(Clean_Data[OrderID])+1)</f>
        <v>901</v>
      </c>
      <c r="AC250" s="1">
        <f>IF(COUNTIF($G$2:G250,G250)=1,ROW()-1,ROWS(Clean_Data[OrderID])+1)</f>
        <v>901</v>
      </c>
      <c r="AD250" s="1">
        <f>IF(COUNTIF($H$2:H250,H250)=1,ROW()-1,ROWS(Clean_Data[OrderID])+1)</f>
        <v>901</v>
      </c>
      <c r="AE250" s="1">
        <f>IF(COUNTIF($V$2:V250,V250)=1,V250,ROWS(Clean_Data[OrderID])+1)</f>
        <v>901</v>
      </c>
      <c r="AF250" s="1">
        <f>IF(COUNTIF($U$2:U250,U250)=1,U250,ROWS(Clean_Data[OrderID])+1)</f>
        <v>901</v>
      </c>
      <c r="AG250" s="1">
        <f>IF(COUNTIF($E$2:E250,E250)=1,ROW()-1,ROWS(Clean_Data[OrderID])+1)</f>
        <v>901</v>
      </c>
    </row>
    <row r="251" spans="1:33" ht="20" customHeight="1">
      <c r="A251" s="3" t="s">
        <v>546</v>
      </c>
      <c r="B251" s="2">
        <v>46274</v>
      </c>
      <c r="C251" s="3">
        <v>7</v>
      </c>
      <c r="D251" s="3" t="s">
        <v>414</v>
      </c>
      <c r="E251" s="3" t="s">
        <v>117</v>
      </c>
      <c r="F251" s="3" t="s">
        <v>92</v>
      </c>
      <c r="G251" s="3" t="s">
        <v>93</v>
      </c>
      <c r="H251" s="3" t="s">
        <v>146</v>
      </c>
      <c r="I251" s="3">
        <v>2</v>
      </c>
      <c r="J251" s="11">
        <v>110</v>
      </c>
      <c r="K251" s="4">
        <v>0.05</v>
      </c>
      <c r="L251" s="3" t="s">
        <v>95</v>
      </c>
      <c r="M251" s="3">
        <v>16</v>
      </c>
      <c r="N251" s="3">
        <v>5</v>
      </c>
      <c r="O251" s="3">
        <v>3</v>
      </c>
      <c r="P251" s="11">
        <f>Clean_Data[[#This Row],[Quantity]]*Clean_Data[[#This Row],[UnitPrice]]</f>
        <v>220</v>
      </c>
      <c r="Q251" s="11">
        <f>ROUND(Clean_Data[[#This Row],[GrossSales]]*Clean_Data[[#This Row],[DiscountPct]],2)</f>
        <v>11</v>
      </c>
      <c r="R251" s="11">
        <f>IF(Clean_Data[[#This Row],[Status]]="Delivered",ROUND(Clean_Data[[#This Row],[GrossSales]]-Clean_Data[[#This Row],[DiscountAmount]],2),0)</f>
        <v>209</v>
      </c>
      <c r="S251" s="3" t="str">
        <f>IF(Clean_Data[[#This Row],[OrderHour]]&lt;6,"Night",IF(Clean_Data[[#This Row],[OrderHour]]&lt;12,"Morning",IF(Clean_Data[[#This Row],[OrderHour]]&lt;18,"Afternoon","Evening")))</f>
        <v>Morning</v>
      </c>
      <c r="T251" s="3" t="str">
        <f>TEXT(Clean_Data[[#This Row],[OrderDate]],"[$-409]ddd")</f>
        <v>Wed</v>
      </c>
      <c r="U251" s="3">
        <f>WEEKDAY(Clean_Data[[#This Row],[OrderDate]],2)</f>
        <v>3</v>
      </c>
      <c r="V251" s="3">
        <f>INT(Clean_Data[[#This Row],[OrderHour]]/6)+1</f>
        <v>2</v>
      </c>
      <c r="W251" s="3">
        <f>IF(Clean_Data[[#This Row],[Status]]="Delivered",1,0)</f>
        <v>1</v>
      </c>
      <c r="X251" s="3">
        <f>IF(Clean_Data[[#This Row],[Status]]="Delivered",IF(Clean_Data[[#This Row],[DeliveryMinutes]]&lt;=Dashboard!$X$5,1,0),0)</f>
        <v>1</v>
      </c>
      <c r="Y2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1" s="3">
        <f>IF(AND(Clean_Data[[#This Row],[Include]]=1,Clean_Data[[#This Row],[DeliveredFlag]]=1),1,0)</f>
        <v>1</v>
      </c>
      <c r="AA251" s="1">
        <f>IF(COUNTIF($D$2:D251,D251)=1,ROW()-1,ROWS(Clean_Data[OrderID])+1)</f>
        <v>901</v>
      </c>
      <c r="AB251" s="1">
        <f>IF(COUNTIF($F$2:F251,F251)=1,ROW()-1,ROWS(Clean_Data[OrderID])+1)</f>
        <v>901</v>
      </c>
      <c r="AC251" s="1">
        <f>IF(COUNTIF($G$2:G251,G251)=1,ROW()-1,ROWS(Clean_Data[OrderID])+1)</f>
        <v>901</v>
      </c>
      <c r="AD251" s="1">
        <f>IF(COUNTIF($H$2:H251,H251)=1,ROW()-1,ROWS(Clean_Data[OrderID])+1)</f>
        <v>901</v>
      </c>
      <c r="AE251" s="1">
        <f>IF(COUNTIF($V$2:V251,V251)=1,V251,ROWS(Clean_Data[OrderID])+1)</f>
        <v>901</v>
      </c>
      <c r="AF251" s="1">
        <f>IF(COUNTIF($U$2:U251,U251)=1,U251,ROWS(Clean_Data[OrderID])+1)</f>
        <v>901</v>
      </c>
      <c r="AG251" s="1">
        <f>IF(COUNTIF($E$2:E251,E251)=1,ROW()-1,ROWS(Clean_Data[OrderID])+1)</f>
        <v>901</v>
      </c>
    </row>
    <row r="252" spans="1:33" ht="20" customHeight="1">
      <c r="A252" s="3" t="s">
        <v>547</v>
      </c>
      <c r="B252" s="2">
        <v>46274</v>
      </c>
      <c r="C252" s="3">
        <v>7</v>
      </c>
      <c r="D252" s="3" t="s">
        <v>548</v>
      </c>
      <c r="E252" s="3" t="s">
        <v>91</v>
      </c>
      <c r="F252" s="3" t="s">
        <v>98</v>
      </c>
      <c r="G252" s="3" t="s">
        <v>122</v>
      </c>
      <c r="H252" s="3" t="s">
        <v>214</v>
      </c>
      <c r="I252" s="3">
        <v>1</v>
      </c>
      <c r="J252" s="11">
        <v>55</v>
      </c>
      <c r="K252" s="4">
        <v>0</v>
      </c>
      <c r="L252" s="3" t="s">
        <v>95</v>
      </c>
      <c r="M252" s="3">
        <v>15</v>
      </c>
      <c r="N252" s="3">
        <v>11</v>
      </c>
      <c r="O252" s="3">
        <v>5</v>
      </c>
      <c r="P252" s="11">
        <f>Clean_Data[[#This Row],[Quantity]]*Clean_Data[[#This Row],[UnitPrice]]</f>
        <v>55</v>
      </c>
      <c r="Q252" s="11">
        <f>ROUND(Clean_Data[[#This Row],[GrossSales]]*Clean_Data[[#This Row],[DiscountPct]],2)</f>
        <v>0</v>
      </c>
      <c r="R252" s="11">
        <f>IF(Clean_Data[[#This Row],[Status]]="Delivered",ROUND(Clean_Data[[#This Row],[GrossSales]]-Clean_Data[[#This Row],[DiscountAmount]],2),0)</f>
        <v>55</v>
      </c>
      <c r="S252" s="3" t="str">
        <f>IF(Clean_Data[[#This Row],[OrderHour]]&lt;6,"Night",IF(Clean_Data[[#This Row],[OrderHour]]&lt;12,"Morning",IF(Clean_Data[[#This Row],[OrderHour]]&lt;18,"Afternoon","Evening")))</f>
        <v>Morning</v>
      </c>
      <c r="T252" s="3" t="str">
        <f>TEXT(Clean_Data[[#This Row],[OrderDate]],"[$-409]ddd")</f>
        <v>Wed</v>
      </c>
      <c r="U252" s="3">
        <f>WEEKDAY(Clean_Data[[#This Row],[OrderDate]],2)</f>
        <v>3</v>
      </c>
      <c r="V252" s="3">
        <f>INT(Clean_Data[[#This Row],[OrderHour]]/6)+1</f>
        <v>2</v>
      </c>
      <c r="W252" s="3">
        <f>IF(Clean_Data[[#This Row],[Status]]="Delivered",1,0)</f>
        <v>1</v>
      </c>
      <c r="X252" s="3">
        <f>IF(Clean_Data[[#This Row],[Status]]="Delivered",IF(Clean_Data[[#This Row],[DeliveryMinutes]]&lt;=Dashboard!$X$5,1,0),0)</f>
        <v>1</v>
      </c>
      <c r="Y2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2" s="3">
        <f>IF(AND(Clean_Data[[#This Row],[Include]]=1,Clean_Data[[#This Row],[DeliveredFlag]]=1),1,0)</f>
        <v>1</v>
      </c>
      <c r="AA252" s="1">
        <f>IF(COUNTIF($D$2:D252,D252)=1,ROW()-1,ROWS(Clean_Data[OrderID])+1)</f>
        <v>251</v>
      </c>
      <c r="AB252" s="1">
        <f>IF(COUNTIF($F$2:F252,F252)=1,ROW()-1,ROWS(Clean_Data[OrderID])+1)</f>
        <v>901</v>
      </c>
      <c r="AC252" s="1">
        <f>IF(COUNTIF($G$2:G252,G252)=1,ROW()-1,ROWS(Clean_Data[OrderID])+1)</f>
        <v>901</v>
      </c>
      <c r="AD252" s="1">
        <f>IF(COUNTIF($H$2:H252,H252)=1,ROW()-1,ROWS(Clean_Data[OrderID])+1)</f>
        <v>901</v>
      </c>
      <c r="AE252" s="1">
        <f>IF(COUNTIF($V$2:V252,V252)=1,V252,ROWS(Clean_Data[OrderID])+1)</f>
        <v>901</v>
      </c>
      <c r="AF252" s="1">
        <f>IF(COUNTIF($U$2:U252,U252)=1,U252,ROWS(Clean_Data[OrderID])+1)</f>
        <v>901</v>
      </c>
      <c r="AG252" s="1">
        <f>IF(COUNTIF($E$2:E252,E252)=1,ROW()-1,ROWS(Clean_Data[OrderID])+1)</f>
        <v>901</v>
      </c>
    </row>
    <row r="253" spans="1:33" ht="20" customHeight="1">
      <c r="A253" s="3" t="s">
        <v>549</v>
      </c>
      <c r="B253" s="2">
        <v>46274</v>
      </c>
      <c r="C253" s="3">
        <v>12</v>
      </c>
      <c r="D253" s="3" t="s">
        <v>212</v>
      </c>
      <c r="E253" s="3" t="s">
        <v>91</v>
      </c>
      <c r="F253" s="3" t="s">
        <v>121</v>
      </c>
      <c r="G253" s="3" t="s">
        <v>99</v>
      </c>
      <c r="H253" s="3" t="s">
        <v>130</v>
      </c>
      <c r="I253" s="3">
        <v>5</v>
      </c>
      <c r="J253" s="11">
        <v>85</v>
      </c>
      <c r="K253" s="4">
        <v>0.15</v>
      </c>
      <c r="L253" s="3" t="s">
        <v>95</v>
      </c>
      <c r="M253" s="3">
        <v>27</v>
      </c>
      <c r="N253" s="3">
        <v>7</v>
      </c>
      <c r="O253" s="3">
        <v>5</v>
      </c>
      <c r="P253" s="11">
        <f>Clean_Data[[#This Row],[Quantity]]*Clean_Data[[#This Row],[UnitPrice]]</f>
        <v>425</v>
      </c>
      <c r="Q253" s="11">
        <f>ROUND(Clean_Data[[#This Row],[GrossSales]]*Clean_Data[[#This Row],[DiscountPct]],2)</f>
        <v>63.75</v>
      </c>
      <c r="R253" s="11">
        <f>IF(Clean_Data[[#This Row],[Status]]="Delivered",ROUND(Clean_Data[[#This Row],[GrossSales]]-Clean_Data[[#This Row],[DiscountAmount]],2),0)</f>
        <v>361.25</v>
      </c>
      <c r="S253" s="3" t="str">
        <f>IF(Clean_Data[[#This Row],[OrderHour]]&lt;6,"Night",IF(Clean_Data[[#This Row],[OrderHour]]&lt;12,"Morning",IF(Clean_Data[[#This Row],[OrderHour]]&lt;18,"Afternoon","Evening")))</f>
        <v>Afternoon</v>
      </c>
      <c r="T253" s="3" t="str">
        <f>TEXT(Clean_Data[[#This Row],[OrderDate]],"[$-409]ddd")</f>
        <v>Wed</v>
      </c>
      <c r="U253" s="3">
        <f>WEEKDAY(Clean_Data[[#This Row],[OrderDate]],2)</f>
        <v>3</v>
      </c>
      <c r="V253" s="3">
        <f>INT(Clean_Data[[#This Row],[OrderHour]]/6)+1</f>
        <v>3</v>
      </c>
      <c r="W253" s="3">
        <f>IF(Clean_Data[[#This Row],[Status]]="Delivered",1,0)</f>
        <v>1</v>
      </c>
      <c r="X253" s="3">
        <f>IF(Clean_Data[[#This Row],[Status]]="Delivered",IF(Clean_Data[[#This Row],[DeliveryMinutes]]&lt;=Dashboard!$X$5,1,0),0)</f>
        <v>1</v>
      </c>
      <c r="Y2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3" s="3">
        <f>IF(AND(Clean_Data[[#This Row],[Include]]=1,Clean_Data[[#This Row],[DeliveredFlag]]=1),1,0)</f>
        <v>1</v>
      </c>
      <c r="AA253" s="1">
        <f>IF(COUNTIF($D$2:D253,D253)=1,ROW()-1,ROWS(Clean_Data[OrderID])+1)</f>
        <v>901</v>
      </c>
      <c r="AB253" s="1">
        <f>IF(COUNTIF($F$2:F253,F253)=1,ROW()-1,ROWS(Clean_Data[OrderID])+1)</f>
        <v>901</v>
      </c>
      <c r="AC253" s="1">
        <f>IF(COUNTIF($G$2:G253,G253)=1,ROW()-1,ROWS(Clean_Data[OrderID])+1)</f>
        <v>901</v>
      </c>
      <c r="AD253" s="1">
        <f>IF(COUNTIF($H$2:H253,H253)=1,ROW()-1,ROWS(Clean_Data[OrderID])+1)</f>
        <v>901</v>
      </c>
      <c r="AE253" s="1">
        <f>IF(COUNTIF($V$2:V253,V253)=1,V253,ROWS(Clean_Data[OrderID])+1)</f>
        <v>901</v>
      </c>
      <c r="AF253" s="1">
        <f>IF(COUNTIF($U$2:U253,U253)=1,U253,ROWS(Clean_Data[OrderID])+1)</f>
        <v>901</v>
      </c>
      <c r="AG253" s="1">
        <f>IF(COUNTIF($E$2:E253,E253)=1,ROW()-1,ROWS(Clean_Data[OrderID])+1)</f>
        <v>901</v>
      </c>
    </row>
    <row r="254" spans="1:33" ht="20" customHeight="1">
      <c r="A254" s="3" t="s">
        <v>550</v>
      </c>
      <c r="B254" s="2">
        <v>46274</v>
      </c>
      <c r="C254" s="3">
        <v>9</v>
      </c>
      <c r="D254" s="3" t="s">
        <v>551</v>
      </c>
      <c r="E254" s="3" t="s">
        <v>117</v>
      </c>
      <c r="F254" s="3" t="s">
        <v>121</v>
      </c>
      <c r="G254" s="3" t="s">
        <v>122</v>
      </c>
      <c r="H254" s="3" t="s">
        <v>214</v>
      </c>
      <c r="I254" s="3">
        <v>2</v>
      </c>
      <c r="J254" s="11">
        <v>55</v>
      </c>
      <c r="K254" s="4">
        <v>0</v>
      </c>
      <c r="L254" s="3" t="s">
        <v>95</v>
      </c>
      <c r="M254" s="3">
        <v>21</v>
      </c>
      <c r="N254" s="3">
        <v>6</v>
      </c>
      <c r="O254" s="3">
        <v>5</v>
      </c>
      <c r="P254" s="11">
        <f>Clean_Data[[#This Row],[Quantity]]*Clean_Data[[#This Row],[UnitPrice]]</f>
        <v>110</v>
      </c>
      <c r="Q254" s="11">
        <f>ROUND(Clean_Data[[#This Row],[GrossSales]]*Clean_Data[[#This Row],[DiscountPct]],2)</f>
        <v>0</v>
      </c>
      <c r="R254" s="11">
        <f>IF(Clean_Data[[#This Row],[Status]]="Delivered",ROUND(Clean_Data[[#This Row],[GrossSales]]-Clean_Data[[#This Row],[DiscountAmount]],2),0)</f>
        <v>110</v>
      </c>
      <c r="S254" s="3" t="str">
        <f>IF(Clean_Data[[#This Row],[OrderHour]]&lt;6,"Night",IF(Clean_Data[[#This Row],[OrderHour]]&lt;12,"Morning",IF(Clean_Data[[#This Row],[OrderHour]]&lt;18,"Afternoon","Evening")))</f>
        <v>Morning</v>
      </c>
      <c r="T254" s="3" t="str">
        <f>TEXT(Clean_Data[[#This Row],[OrderDate]],"[$-409]ddd")</f>
        <v>Wed</v>
      </c>
      <c r="U254" s="3">
        <f>WEEKDAY(Clean_Data[[#This Row],[OrderDate]],2)</f>
        <v>3</v>
      </c>
      <c r="V254" s="3">
        <f>INT(Clean_Data[[#This Row],[OrderHour]]/6)+1</f>
        <v>2</v>
      </c>
      <c r="W254" s="3">
        <f>IF(Clean_Data[[#This Row],[Status]]="Delivered",1,0)</f>
        <v>1</v>
      </c>
      <c r="X254" s="3">
        <f>IF(Clean_Data[[#This Row],[Status]]="Delivered",IF(Clean_Data[[#This Row],[DeliveryMinutes]]&lt;=Dashboard!$X$5,1,0),0)</f>
        <v>1</v>
      </c>
      <c r="Y2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4" s="3">
        <f>IF(AND(Clean_Data[[#This Row],[Include]]=1,Clean_Data[[#This Row],[DeliveredFlag]]=1),1,0)</f>
        <v>1</v>
      </c>
      <c r="AA254" s="1">
        <f>IF(COUNTIF($D$2:D254,D254)=1,ROW()-1,ROWS(Clean_Data[OrderID])+1)</f>
        <v>253</v>
      </c>
      <c r="AB254" s="1">
        <f>IF(COUNTIF($F$2:F254,F254)=1,ROW()-1,ROWS(Clean_Data[OrderID])+1)</f>
        <v>901</v>
      </c>
      <c r="AC254" s="1">
        <f>IF(COUNTIF($G$2:G254,G254)=1,ROW()-1,ROWS(Clean_Data[OrderID])+1)</f>
        <v>901</v>
      </c>
      <c r="AD254" s="1">
        <f>IF(COUNTIF($H$2:H254,H254)=1,ROW()-1,ROWS(Clean_Data[OrderID])+1)</f>
        <v>901</v>
      </c>
      <c r="AE254" s="1">
        <f>IF(COUNTIF($V$2:V254,V254)=1,V254,ROWS(Clean_Data[OrderID])+1)</f>
        <v>901</v>
      </c>
      <c r="AF254" s="1">
        <f>IF(COUNTIF($U$2:U254,U254)=1,U254,ROWS(Clean_Data[OrderID])+1)</f>
        <v>901</v>
      </c>
      <c r="AG254" s="1">
        <f>IF(COUNTIF($E$2:E254,E254)=1,ROW()-1,ROWS(Clean_Data[OrderID])+1)</f>
        <v>901</v>
      </c>
    </row>
    <row r="255" spans="1:33" ht="20" customHeight="1">
      <c r="A255" s="3" t="s">
        <v>552</v>
      </c>
      <c r="B255" s="2">
        <v>46274</v>
      </c>
      <c r="C255" s="3">
        <v>11</v>
      </c>
      <c r="D255" s="3" t="s">
        <v>479</v>
      </c>
      <c r="E255" s="3" t="s">
        <v>117</v>
      </c>
      <c r="F255" s="3" t="s">
        <v>109</v>
      </c>
      <c r="G255" s="3" t="s">
        <v>110</v>
      </c>
      <c r="H255" s="3" t="s">
        <v>206</v>
      </c>
      <c r="I255" s="3">
        <v>2</v>
      </c>
      <c r="J255" s="11">
        <v>220</v>
      </c>
      <c r="K255" s="4">
        <v>0</v>
      </c>
      <c r="L255" s="3" t="s">
        <v>95</v>
      </c>
      <c r="M255" s="3">
        <v>14</v>
      </c>
      <c r="N255" s="3">
        <v>9</v>
      </c>
      <c r="O255" s="3">
        <v>5</v>
      </c>
      <c r="P255" s="11">
        <f>Clean_Data[[#This Row],[Quantity]]*Clean_Data[[#This Row],[UnitPrice]]</f>
        <v>440</v>
      </c>
      <c r="Q255" s="11">
        <f>ROUND(Clean_Data[[#This Row],[GrossSales]]*Clean_Data[[#This Row],[DiscountPct]],2)</f>
        <v>0</v>
      </c>
      <c r="R255" s="11">
        <f>IF(Clean_Data[[#This Row],[Status]]="Delivered",ROUND(Clean_Data[[#This Row],[GrossSales]]-Clean_Data[[#This Row],[DiscountAmount]],2),0)</f>
        <v>440</v>
      </c>
      <c r="S255" s="3" t="str">
        <f>IF(Clean_Data[[#This Row],[OrderHour]]&lt;6,"Night",IF(Clean_Data[[#This Row],[OrderHour]]&lt;12,"Morning",IF(Clean_Data[[#This Row],[OrderHour]]&lt;18,"Afternoon","Evening")))</f>
        <v>Morning</v>
      </c>
      <c r="T255" s="3" t="str">
        <f>TEXT(Clean_Data[[#This Row],[OrderDate]],"[$-409]ddd")</f>
        <v>Wed</v>
      </c>
      <c r="U255" s="3">
        <f>WEEKDAY(Clean_Data[[#This Row],[OrderDate]],2)</f>
        <v>3</v>
      </c>
      <c r="V255" s="3">
        <f>INT(Clean_Data[[#This Row],[OrderHour]]/6)+1</f>
        <v>2</v>
      </c>
      <c r="W255" s="3">
        <f>IF(Clean_Data[[#This Row],[Status]]="Delivered",1,0)</f>
        <v>1</v>
      </c>
      <c r="X255" s="3">
        <f>IF(Clean_Data[[#This Row],[Status]]="Delivered",IF(Clean_Data[[#This Row],[DeliveryMinutes]]&lt;=Dashboard!$X$5,1,0),0)</f>
        <v>1</v>
      </c>
      <c r="Y2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5" s="3">
        <f>IF(AND(Clean_Data[[#This Row],[Include]]=1,Clean_Data[[#This Row],[DeliveredFlag]]=1),1,0)</f>
        <v>1</v>
      </c>
      <c r="AA255" s="1">
        <f>IF(COUNTIF($D$2:D255,D255)=1,ROW()-1,ROWS(Clean_Data[OrderID])+1)</f>
        <v>901</v>
      </c>
      <c r="AB255" s="1">
        <f>IF(COUNTIF($F$2:F255,F255)=1,ROW()-1,ROWS(Clean_Data[OrderID])+1)</f>
        <v>901</v>
      </c>
      <c r="AC255" s="1">
        <f>IF(COUNTIF($G$2:G255,G255)=1,ROW()-1,ROWS(Clean_Data[OrderID])+1)</f>
        <v>901</v>
      </c>
      <c r="AD255" s="1">
        <f>IF(COUNTIF($H$2:H255,H255)=1,ROW()-1,ROWS(Clean_Data[OrderID])+1)</f>
        <v>901</v>
      </c>
      <c r="AE255" s="1">
        <f>IF(COUNTIF($V$2:V255,V255)=1,V255,ROWS(Clean_Data[OrderID])+1)</f>
        <v>901</v>
      </c>
      <c r="AF255" s="1">
        <f>IF(COUNTIF($U$2:U255,U255)=1,U255,ROWS(Clean_Data[OrderID])+1)</f>
        <v>901</v>
      </c>
      <c r="AG255" s="1">
        <f>IF(COUNTIF($E$2:E255,E255)=1,ROW()-1,ROWS(Clean_Data[OrderID])+1)</f>
        <v>901</v>
      </c>
    </row>
    <row r="256" spans="1:33" ht="20" customHeight="1">
      <c r="A256" s="3" t="s">
        <v>553</v>
      </c>
      <c r="B256" s="2">
        <v>46274</v>
      </c>
      <c r="C256" s="3">
        <v>18</v>
      </c>
      <c r="D256" s="3" t="s">
        <v>381</v>
      </c>
      <c r="E256" s="3" t="s">
        <v>117</v>
      </c>
      <c r="F256" s="3" t="s">
        <v>121</v>
      </c>
      <c r="G256" s="3" t="s">
        <v>174</v>
      </c>
      <c r="H256" s="3" t="s">
        <v>184</v>
      </c>
      <c r="I256" s="3">
        <v>2</v>
      </c>
      <c r="J256" s="11">
        <v>62</v>
      </c>
      <c r="K256" s="4">
        <v>0.05</v>
      </c>
      <c r="L256" s="3" t="s">
        <v>95</v>
      </c>
      <c r="M256" s="3">
        <v>20</v>
      </c>
      <c r="N256" s="3">
        <v>15</v>
      </c>
      <c r="O256" s="3">
        <v>3</v>
      </c>
      <c r="P256" s="11">
        <f>Clean_Data[[#This Row],[Quantity]]*Clean_Data[[#This Row],[UnitPrice]]</f>
        <v>124</v>
      </c>
      <c r="Q256" s="11">
        <f>ROUND(Clean_Data[[#This Row],[GrossSales]]*Clean_Data[[#This Row],[DiscountPct]],2)</f>
        <v>6.2</v>
      </c>
      <c r="R256" s="11">
        <f>IF(Clean_Data[[#This Row],[Status]]="Delivered",ROUND(Clean_Data[[#This Row],[GrossSales]]-Clean_Data[[#This Row],[DiscountAmount]],2),0)</f>
        <v>117.8</v>
      </c>
      <c r="S256" s="3" t="str">
        <f>IF(Clean_Data[[#This Row],[OrderHour]]&lt;6,"Night",IF(Clean_Data[[#This Row],[OrderHour]]&lt;12,"Morning",IF(Clean_Data[[#This Row],[OrderHour]]&lt;18,"Afternoon","Evening")))</f>
        <v>Evening</v>
      </c>
      <c r="T256" s="3" t="str">
        <f>TEXT(Clean_Data[[#This Row],[OrderDate]],"[$-409]ddd")</f>
        <v>Wed</v>
      </c>
      <c r="U256" s="3">
        <f>WEEKDAY(Clean_Data[[#This Row],[OrderDate]],2)</f>
        <v>3</v>
      </c>
      <c r="V256" s="3">
        <f>INT(Clean_Data[[#This Row],[OrderHour]]/6)+1</f>
        <v>4</v>
      </c>
      <c r="W256" s="3">
        <f>IF(Clean_Data[[#This Row],[Status]]="Delivered",1,0)</f>
        <v>1</v>
      </c>
      <c r="X256" s="3">
        <f>IF(Clean_Data[[#This Row],[Status]]="Delivered",IF(Clean_Data[[#This Row],[DeliveryMinutes]]&lt;=Dashboard!$X$5,1,0),0)</f>
        <v>1</v>
      </c>
      <c r="Y2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6" s="3">
        <f>IF(AND(Clean_Data[[#This Row],[Include]]=1,Clean_Data[[#This Row],[DeliveredFlag]]=1),1,0)</f>
        <v>1</v>
      </c>
      <c r="AA256" s="1">
        <f>IF(COUNTIF($D$2:D256,D256)=1,ROW()-1,ROWS(Clean_Data[OrderID])+1)</f>
        <v>901</v>
      </c>
      <c r="AB256" s="1">
        <f>IF(COUNTIF($F$2:F256,F256)=1,ROW()-1,ROWS(Clean_Data[OrderID])+1)</f>
        <v>901</v>
      </c>
      <c r="AC256" s="1">
        <f>IF(COUNTIF($G$2:G256,G256)=1,ROW()-1,ROWS(Clean_Data[OrderID])+1)</f>
        <v>901</v>
      </c>
      <c r="AD256" s="1">
        <f>IF(COUNTIF($H$2:H256,H256)=1,ROW()-1,ROWS(Clean_Data[OrderID])+1)</f>
        <v>901</v>
      </c>
      <c r="AE256" s="1">
        <f>IF(COUNTIF($V$2:V256,V256)=1,V256,ROWS(Clean_Data[OrderID])+1)</f>
        <v>901</v>
      </c>
      <c r="AF256" s="1">
        <f>IF(COUNTIF($U$2:U256,U256)=1,U256,ROWS(Clean_Data[OrderID])+1)</f>
        <v>901</v>
      </c>
      <c r="AG256" s="1">
        <f>IF(COUNTIF($E$2:E256,E256)=1,ROW()-1,ROWS(Clean_Data[OrderID])+1)</f>
        <v>901</v>
      </c>
    </row>
    <row r="257" spans="1:33" ht="20" customHeight="1">
      <c r="A257" s="3" t="s">
        <v>554</v>
      </c>
      <c r="B257" s="2">
        <v>46274</v>
      </c>
      <c r="C257" s="3">
        <v>12</v>
      </c>
      <c r="D257" s="3" t="s">
        <v>555</v>
      </c>
      <c r="E257" s="3" t="s">
        <v>117</v>
      </c>
      <c r="F257" s="3" t="s">
        <v>92</v>
      </c>
      <c r="G257" s="3" t="s">
        <v>122</v>
      </c>
      <c r="H257" s="3" t="s">
        <v>214</v>
      </c>
      <c r="I257" s="3">
        <v>5</v>
      </c>
      <c r="J257" s="11">
        <v>55</v>
      </c>
      <c r="K257" s="4">
        <v>0</v>
      </c>
      <c r="L257" s="3" t="s">
        <v>95</v>
      </c>
      <c r="M257" s="3">
        <v>19</v>
      </c>
      <c r="N257" s="3">
        <v>13</v>
      </c>
      <c r="O257" s="3">
        <v>5</v>
      </c>
      <c r="P257" s="11">
        <f>Clean_Data[[#This Row],[Quantity]]*Clean_Data[[#This Row],[UnitPrice]]</f>
        <v>275</v>
      </c>
      <c r="Q257" s="11">
        <f>ROUND(Clean_Data[[#This Row],[GrossSales]]*Clean_Data[[#This Row],[DiscountPct]],2)</f>
        <v>0</v>
      </c>
      <c r="R257" s="11">
        <f>IF(Clean_Data[[#This Row],[Status]]="Delivered",ROUND(Clean_Data[[#This Row],[GrossSales]]-Clean_Data[[#This Row],[DiscountAmount]],2),0)</f>
        <v>275</v>
      </c>
      <c r="S257" s="3" t="str">
        <f>IF(Clean_Data[[#This Row],[OrderHour]]&lt;6,"Night",IF(Clean_Data[[#This Row],[OrderHour]]&lt;12,"Morning",IF(Clean_Data[[#This Row],[OrderHour]]&lt;18,"Afternoon","Evening")))</f>
        <v>Afternoon</v>
      </c>
      <c r="T257" s="3" t="str">
        <f>TEXT(Clean_Data[[#This Row],[OrderDate]],"[$-409]ddd")</f>
        <v>Wed</v>
      </c>
      <c r="U257" s="3">
        <f>WEEKDAY(Clean_Data[[#This Row],[OrderDate]],2)</f>
        <v>3</v>
      </c>
      <c r="V257" s="3">
        <f>INT(Clean_Data[[#This Row],[OrderHour]]/6)+1</f>
        <v>3</v>
      </c>
      <c r="W257" s="3">
        <f>IF(Clean_Data[[#This Row],[Status]]="Delivered",1,0)</f>
        <v>1</v>
      </c>
      <c r="X257" s="3">
        <f>IF(Clean_Data[[#This Row],[Status]]="Delivered",IF(Clean_Data[[#This Row],[DeliveryMinutes]]&lt;=Dashboard!$X$5,1,0),0)</f>
        <v>1</v>
      </c>
      <c r="Y2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7" s="3">
        <f>IF(AND(Clean_Data[[#This Row],[Include]]=1,Clean_Data[[#This Row],[DeliveredFlag]]=1),1,0)</f>
        <v>1</v>
      </c>
      <c r="AA257" s="1">
        <f>IF(COUNTIF($D$2:D257,D257)=1,ROW()-1,ROWS(Clean_Data[OrderID])+1)</f>
        <v>256</v>
      </c>
      <c r="AB257" s="1">
        <f>IF(COUNTIF($F$2:F257,F257)=1,ROW()-1,ROWS(Clean_Data[OrderID])+1)</f>
        <v>901</v>
      </c>
      <c r="AC257" s="1">
        <f>IF(COUNTIF($G$2:G257,G257)=1,ROW()-1,ROWS(Clean_Data[OrderID])+1)</f>
        <v>901</v>
      </c>
      <c r="AD257" s="1">
        <f>IF(COUNTIF($H$2:H257,H257)=1,ROW()-1,ROWS(Clean_Data[OrderID])+1)</f>
        <v>901</v>
      </c>
      <c r="AE257" s="1">
        <f>IF(COUNTIF($V$2:V257,V257)=1,V257,ROWS(Clean_Data[OrderID])+1)</f>
        <v>901</v>
      </c>
      <c r="AF257" s="1">
        <f>IF(COUNTIF($U$2:U257,U257)=1,U257,ROWS(Clean_Data[OrderID])+1)</f>
        <v>901</v>
      </c>
      <c r="AG257" s="1">
        <f>IF(COUNTIF($E$2:E257,E257)=1,ROW()-1,ROWS(Clean_Data[OrderID])+1)</f>
        <v>901</v>
      </c>
    </row>
    <row r="258" spans="1:33" ht="20" customHeight="1">
      <c r="A258" s="3" t="s">
        <v>556</v>
      </c>
      <c r="B258" s="2">
        <v>46274</v>
      </c>
      <c r="C258" s="3">
        <v>18</v>
      </c>
      <c r="D258" s="3" t="s">
        <v>161</v>
      </c>
      <c r="E258" s="3" t="s">
        <v>91</v>
      </c>
      <c r="F258" s="3" t="s">
        <v>109</v>
      </c>
      <c r="G258" s="3" t="s">
        <v>99</v>
      </c>
      <c r="H258" s="3" t="s">
        <v>104</v>
      </c>
      <c r="I258" s="3">
        <v>3</v>
      </c>
      <c r="J258" s="11">
        <v>240</v>
      </c>
      <c r="K258" s="4">
        <v>0.05</v>
      </c>
      <c r="L258" s="3" t="s">
        <v>95</v>
      </c>
      <c r="M258" s="3">
        <v>22</v>
      </c>
      <c r="N258" s="3">
        <v>7</v>
      </c>
      <c r="O258" s="3">
        <v>5</v>
      </c>
      <c r="P258" s="11">
        <f>Clean_Data[[#This Row],[Quantity]]*Clean_Data[[#This Row],[UnitPrice]]</f>
        <v>720</v>
      </c>
      <c r="Q258" s="11">
        <f>ROUND(Clean_Data[[#This Row],[GrossSales]]*Clean_Data[[#This Row],[DiscountPct]],2)</f>
        <v>36</v>
      </c>
      <c r="R258" s="11">
        <f>IF(Clean_Data[[#This Row],[Status]]="Delivered",ROUND(Clean_Data[[#This Row],[GrossSales]]-Clean_Data[[#This Row],[DiscountAmount]],2),0)</f>
        <v>684</v>
      </c>
      <c r="S258" s="3" t="str">
        <f>IF(Clean_Data[[#This Row],[OrderHour]]&lt;6,"Night",IF(Clean_Data[[#This Row],[OrderHour]]&lt;12,"Morning",IF(Clean_Data[[#This Row],[OrderHour]]&lt;18,"Afternoon","Evening")))</f>
        <v>Evening</v>
      </c>
      <c r="T258" s="3" t="str">
        <f>TEXT(Clean_Data[[#This Row],[OrderDate]],"[$-409]ddd")</f>
        <v>Wed</v>
      </c>
      <c r="U258" s="3">
        <f>WEEKDAY(Clean_Data[[#This Row],[OrderDate]],2)</f>
        <v>3</v>
      </c>
      <c r="V258" s="3">
        <f>INT(Clean_Data[[#This Row],[OrderHour]]/6)+1</f>
        <v>4</v>
      </c>
      <c r="W258" s="3">
        <f>IF(Clean_Data[[#This Row],[Status]]="Delivered",1,0)</f>
        <v>1</v>
      </c>
      <c r="X258" s="3">
        <f>IF(Clean_Data[[#This Row],[Status]]="Delivered",IF(Clean_Data[[#This Row],[DeliveryMinutes]]&lt;=Dashboard!$X$5,1,0),0)</f>
        <v>1</v>
      </c>
      <c r="Y2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8" s="3">
        <f>IF(AND(Clean_Data[[#This Row],[Include]]=1,Clean_Data[[#This Row],[DeliveredFlag]]=1),1,0)</f>
        <v>1</v>
      </c>
      <c r="AA258" s="1">
        <f>IF(COUNTIF($D$2:D258,D258)=1,ROW()-1,ROWS(Clean_Data[OrderID])+1)</f>
        <v>901</v>
      </c>
      <c r="AB258" s="1">
        <f>IF(COUNTIF($F$2:F258,F258)=1,ROW()-1,ROWS(Clean_Data[OrderID])+1)</f>
        <v>901</v>
      </c>
      <c r="AC258" s="1">
        <f>IF(COUNTIF($G$2:G258,G258)=1,ROW()-1,ROWS(Clean_Data[OrderID])+1)</f>
        <v>901</v>
      </c>
      <c r="AD258" s="1">
        <f>IF(COUNTIF($H$2:H258,H258)=1,ROW()-1,ROWS(Clean_Data[OrderID])+1)</f>
        <v>901</v>
      </c>
      <c r="AE258" s="1">
        <f>IF(COUNTIF($V$2:V258,V258)=1,V258,ROWS(Clean_Data[OrderID])+1)</f>
        <v>901</v>
      </c>
      <c r="AF258" s="1">
        <f>IF(COUNTIF($U$2:U258,U258)=1,U258,ROWS(Clean_Data[OrderID])+1)</f>
        <v>901</v>
      </c>
      <c r="AG258" s="1">
        <f>IF(COUNTIF($E$2:E258,E258)=1,ROW()-1,ROWS(Clean_Data[OrderID])+1)</f>
        <v>901</v>
      </c>
    </row>
    <row r="259" spans="1:33" ht="20" customHeight="1">
      <c r="A259" s="3" t="s">
        <v>557</v>
      </c>
      <c r="B259" s="2">
        <v>46274</v>
      </c>
      <c r="C259" s="3">
        <v>11</v>
      </c>
      <c r="D259" s="3" t="s">
        <v>558</v>
      </c>
      <c r="E259" s="3" t="s">
        <v>91</v>
      </c>
      <c r="F259" s="3" t="s">
        <v>121</v>
      </c>
      <c r="G259" s="3" t="s">
        <v>135</v>
      </c>
      <c r="H259" s="3" t="s">
        <v>162</v>
      </c>
      <c r="I259" s="3">
        <v>4</v>
      </c>
      <c r="J259" s="11">
        <v>180</v>
      </c>
      <c r="K259" s="4">
        <v>0</v>
      </c>
      <c r="L259" s="3" t="s">
        <v>95</v>
      </c>
      <c r="M259" s="3">
        <v>20</v>
      </c>
      <c r="N259" s="3">
        <v>12</v>
      </c>
      <c r="O259" s="3">
        <v>5</v>
      </c>
      <c r="P259" s="11">
        <f>Clean_Data[[#This Row],[Quantity]]*Clean_Data[[#This Row],[UnitPrice]]</f>
        <v>720</v>
      </c>
      <c r="Q259" s="11">
        <f>ROUND(Clean_Data[[#This Row],[GrossSales]]*Clean_Data[[#This Row],[DiscountPct]],2)</f>
        <v>0</v>
      </c>
      <c r="R259" s="11">
        <f>IF(Clean_Data[[#This Row],[Status]]="Delivered",ROUND(Clean_Data[[#This Row],[GrossSales]]-Clean_Data[[#This Row],[DiscountAmount]],2),0)</f>
        <v>720</v>
      </c>
      <c r="S259" s="3" t="str">
        <f>IF(Clean_Data[[#This Row],[OrderHour]]&lt;6,"Night",IF(Clean_Data[[#This Row],[OrderHour]]&lt;12,"Morning",IF(Clean_Data[[#This Row],[OrderHour]]&lt;18,"Afternoon","Evening")))</f>
        <v>Morning</v>
      </c>
      <c r="T259" s="3" t="str">
        <f>TEXT(Clean_Data[[#This Row],[OrderDate]],"[$-409]ddd")</f>
        <v>Wed</v>
      </c>
      <c r="U259" s="3">
        <f>WEEKDAY(Clean_Data[[#This Row],[OrderDate]],2)</f>
        <v>3</v>
      </c>
      <c r="V259" s="3">
        <f>INT(Clean_Data[[#This Row],[OrderHour]]/6)+1</f>
        <v>2</v>
      </c>
      <c r="W259" s="3">
        <f>IF(Clean_Data[[#This Row],[Status]]="Delivered",1,0)</f>
        <v>1</v>
      </c>
      <c r="X259" s="3">
        <f>IF(Clean_Data[[#This Row],[Status]]="Delivered",IF(Clean_Data[[#This Row],[DeliveryMinutes]]&lt;=Dashboard!$X$5,1,0),0)</f>
        <v>1</v>
      </c>
      <c r="Y2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59" s="3">
        <f>IF(AND(Clean_Data[[#This Row],[Include]]=1,Clean_Data[[#This Row],[DeliveredFlag]]=1),1,0)</f>
        <v>1</v>
      </c>
      <c r="AA259" s="1">
        <f>IF(COUNTIF($D$2:D259,D259)=1,ROW()-1,ROWS(Clean_Data[OrderID])+1)</f>
        <v>258</v>
      </c>
      <c r="AB259" s="1">
        <f>IF(COUNTIF($F$2:F259,F259)=1,ROW()-1,ROWS(Clean_Data[OrderID])+1)</f>
        <v>901</v>
      </c>
      <c r="AC259" s="1">
        <f>IF(COUNTIF($G$2:G259,G259)=1,ROW()-1,ROWS(Clean_Data[OrderID])+1)</f>
        <v>901</v>
      </c>
      <c r="AD259" s="1">
        <f>IF(COUNTIF($H$2:H259,H259)=1,ROW()-1,ROWS(Clean_Data[OrderID])+1)</f>
        <v>901</v>
      </c>
      <c r="AE259" s="1">
        <f>IF(COUNTIF($V$2:V259,V259)=1,V259,ROWS(Clean_Data[OrderID])+1)</f>
        <v>901</v>
      </c>
      <c r="AF259" s="1">
        <f>IF(COUNTIF($U$2:U259,U259)=1,U259,ROWS(Clean_Data[OrderID])+1)</f>
        <v>901</v>
      </c>
      <c r="AG259" s="1">
        <f>IF(COUNTIF($E$2:E259,E259)=1,ROW()-1,ROWS(Clean_Data[OrderID])+1)</f>
        <v>901</v>
      </c>
    </row>
    <row r="260" spans="1:33" ht="20" customHeight="1">
      <c r="A260" s="3" t="s">
        <v>559</v>
      </c>
      <c r="B260" s="2">
        <v>46274</v>
      </c>
      <c r="C260" s="3">
        <v>12</v>
      </c>
      <c r="D260" s="3" t="s">
        <v>208</v>
      </c>
      <c r="E260" s="3" t="s">
        <v>117</v>
      </c>
      <c r="F260" s="3" t="s">
        <v>92</v>
      </c>
      <c r="G260" s="3" t="s">
        <v>174</v>
      </c>
      <c r="H260" s="3" t="s">
        <v>175</v>
      </c>
      <c r="I260" s="3">
        <v>4</v>
      </c>
      <c r="J260" s="11">
        <v>155</v>
      </c>
      <c r="K260" s="4">
        <v>0.15</v>
      </c>
      <c r="L260" s="3" t="s">
        <v>95</v>
      </c>
      <c r="M260" s="3">
        <v>12</v>
      </c>
      <c r="N260" s="3">
        <v>12</v>
      </c>
      <c r="O260" s="3">
        <v>4</v>
      </c>
      <c r="P260" s="11">
        <f>Clean_Data[[#This Row],[Quantity]]*Clean_Data[[#This Row],[UnitPrice]]</f>
        <v>620</v>
      </c>
      <c r="Q260" s="11">
        <f>ROUND(Clean_Data[[#This Row],[GrossSales]]*Clean_Data[[#This Row],[DiscountPct]],2)</f>
        <v>93</v>
      </c>
      <c r="R260" s="11">
        <f>IF(Clean_Data[[#This Row],[Status]]="Delivered",ROUND(Clean_Data[[#This Row],[GrossSales]]-Clean_Data[[#This Row],[DiscountAmount]],2),0)</f>
        <v>527</v>
      </c>
      <c r="S260" s="3" t="str">
        <f>IF(Clean_Data[[#This Row],[OrderHour]]&lt;6,"Night",IF(Clean_Data[[#This Row],[OrderHour]]&lt;12,"Morning",IF(Clean_Data[[#This Row],[OrderHour]]&lt;18,"Afternoon","Evening")))</f>
        <v>Afternoon</v>
      </c>
      <c r="T260" s="3" t="str">
        <f>TEXT(Clean_Data[[#This Row],[OrderDate]],"[$-409]ddd")</f>
        <v>Wed</v>
      </c>
      <c r="U260" s="3">
        <f>WEEKDAY(Clean_Data[[#This Row],[OrderDate]],2)</f>
        <v>3</v>
      </c>
      <c r="V260" s="3">
        <f>INT(Clean_Data[[#This Row],[OrderHour]]/6)+1</f>
        <v>3</v>
      </c>
      <c r="W260" s="3">
        <f>IF(Clean_Data[[#This Row],[Status]]="Delivered",1,0)</f>
        <v>1</v>
      </c>
      <c r="X260" s="3">
        <f>IF(Clean_Data[[#This Row],[Status]]="Delivered",IF(Clean_Data[[#This Row],[DeliveryMinutes]]&lt;=Dashboard!$X$5,1,0),0)</f>
        <v>1</v>
      </c>
      <c r="Y2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0" s="3">
        <f>IF(AND(Clean_Data[[#This Row],[Include]]=1,Clean_Data[[#This Row],[DeliveredFlag]]=1),1,0)</f>
        <v>1</v>
      </c>
      <c r="AA260" s="1">
        <f>IF(COUNTIF($D$2:D260,D260)=1,ROW()-1,ROWS(Clean_Data[OrderID])+1)</f>
        <v>901</v>
      </c>
      <c r="AB260" s="1">
        <f>IF(COUNTIF($F$2:F260,F260)=1,ROW()-1,ROWS(Clean_Data[OrderID])+1)</f>
        <v>901</v>
      </c>
      <c r="AC260" s="1">
        <f>IF(COUNTIF($G$2:G260,G260)=1,ROW()-1,ROWS(Clean_Data[OrderID])+1)</f>
        <v>901</v>
      </c>
      <c r="AD260" s="1">
        <f>IF(COUNTIF($H$2:H260,H260)=1,ROW()-1,ROWS(Clean_Data[OrderID])+1)</f>
        <v>901</v>
      </c>
      <c r="AE260" s="1">
        <f>IF(COUNTIF($V$2:V260,V260)=1,V260,ROWS(Clean_Data[OrderID])+1)</f>
        <v>901</v>
      </c>
      <c r="AF260" s="1">
        <f>IF(COUNTIF($U$2:U260,U260)=1,U260,ROWS(Clean_Data[OrderID])+1)</f>
        <v>901</v>
      </c>
      <c r="AG260" s="1">
        <f>IF(COUNTIF($E$2:E260,E260)=1,ROW()-1,ROWS(Clean_Data[OrderID])+1)</f>
        <v>901</v>
      </c>
    </row>
    <row r="261" spans="1:33" ht="20" customHeight="1">
      <c r="A261" s="3" t="s">
        <v>560</v>
      </c>
      <c r="B261" s="2">
        <v>46274</v>
      </c>
      <c r="C261" s="3">
        <v>16</v>
      </c>
      <c r="D261" s="3" t="s">
        <v>561</v>
      </c>
      <c r="E261" s="3" t="s">
        <v>117</v>
      </c>
      <c r="F261" s="3" t="s">
        <v>121</v>
      </c>
      <c r="G261" s="3" t="s">
        <v>110</v>
      </c>
      <c r="H261" s="3" t="s">
        <v>111</v>
      </c>
      <c r="I261" s="3">
        <v>4</v>
      </c>
      <c r="J261" s="11">
        <v>115</v>
      </c>
      <c r="K261" s="4">
        <v>0.05</v>
      </c>
      <c r="L261" s="3" t="s">
        <v>95</v>
      </c>
      <c r="M261" s="3">
        <v>29</v>
      </c>
      <c r="N261" s="3">
        <v>9</v>
      </c>
      <c r="O261" s="3">
        <v>4</v>
      </c>
      <c r="P261" s="11">
        <f>Clean_Data[[#This Row],[Quantity]]*Clean_Data[[#This Row],[UnitPrice]]</f>
        <v>460</v>
      </c>
      <c r="Q261" s="11">
        <f>ROUND(Clean_Data[[#This Row],[GrossSales]]*Clean_Data[[#This Row],[DiscountPct]],2)</f>
        <v>23</v>
      </c>
      <c r="R261" s="11">
        <f>IF(Clean_Data[[#This Row],[Status]]="Delivered",ROUND(Clean_Data[[#This Row],[GrossSales]]-Clean_Data[[#This Row],[DiscountAmount]],2),0)</f>
        <v>437</v>
      </c>
      <c r="S261" s="3" t="str">
        <f>IF(Clean_Data[[#This Row],[OrderHour]]&lt;6,"Night",IF(Clean_Data[[#This Row],[OrderHour]]&lt;12,"Morning",IF(Clean_Data[[#This Row],[OrderHour]]&lt;18,"Afternoon","Evening")))</f>
        <v>Afternoon</v>
      </c>
      <c r="T261" s="3" t="str">
        <f>TEXT(Clean_Data[[#This Row],[OrderDate]],"[$-409]ddd")</f>
        <v>Wed</v>
      </c>
      <c r="U261" s="3">
        <f>WEEKDAY(Clean_Data[[#This Row],[OrderDate]],2)</f>
        <v>3</v>
      </c>
      <c r="V261" s="3">
        <f>INT(Clean_Data[[#This Row],[OrderHour]]/6)+1</f>
        <v>3</v>
      </c>
      <c r="W261" s="3">
        <f>IF(Clean_Data[[#This Row],[Status]]="Delivered",1,0)</f>
        <v>1</v>
      </c>
      <c r="X261" s="3">
        <f>IF(Clean_Data[[#This Row],[Status]]="Delivered",IF(Clean_Data[[#This Row],[DeliveryMinutes]]&lt;=Dashboard!$X$5,1,0),0)</f>
        <v>1</v>
      </c>
      <c r="Y2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1" s="3">
        <f>IF(AND(Clean_Data[[#This Row],[Include]]=1,Clean_Data[[#This Row],[DeliveredFlag]]=1),1,0)</f>
        <v>1</v>
      </c>
      <c r="AA261" s="1">
        <f>IF(COUNTIF($D$2:D261,D261)=1,ROW()-1,ROWS(Clean_Data[OrderID])+1)</f>
        <v>260</v>
      </c>
      <c r="AB261" s="1">
        <f>IF(COUNTIF($F$2:F261,F261)=1,ROW()-1,ROWS(Clean_Data[OrderID])+1)</f>
        <v>901</v>
      </c>
      <c r="AC261" s="1">
        <f>IF(COUNTIF($G$2:G261,G261)=1,ROW()-1,ROWS(Clean_Data[OrderID])+1)</f>
        <v>901</v>
      </c>
      <c r="AD261" s="1">
        <f>IF(COUNTIF($H$2:H261,H261)=1,ROW()-1,ROWS(Clean_Data[OrderID])+1)</f>
        <v>901</v>
      </c>
      <c r="AE261" s="1">
        <f>IF(COUNTIF($V$2:V261,V261)=1,V261,ROWS(Clean_Data[OrderID])+1)</f>
        <v>901</v>
      </c>
      <c r="AF261" s="1">
        <f>IF(COUNTIF($U$2:U261,U261)=1,U261,ROWS(Clean_Data[OrderID])+1)</f>
        <v>901</v>
      </c>
      <c r="AG261" s="1">
        <f>IF(COUNTIF($E$2:E261,E261)=1,ROW()-1,ROWS(Clean_Data[OrderID])+1)</f>
        <v>901</v>
      </c>
    </row>
    <row r="262" spans="1:33" ht="20" customHeight="1">
      <c r="A262" s="3" t="s">
        <v>562</v>
      </c>
      <c r="B262" s="2">
        <v>46274</v>
      </c>
      <c r="C262" s="3">
        <v>12</v>
      </c>
      <c r="D262" s="3" t="s">
        <v>386</v>
      </c>
      <c r="E262" s="3" t="s">
        <v>117</v>
      </c>
      <c r="F262" s="3" t="s">
        <v>109</v>
      </c>
      <c r="G262" s="3" t="s">
        <v>122</v>
      </c>
      <c r="H262" s="3" t="s">
        <v>123</v>
      </c>
      <c r="I262" s="3">
        <v>3</v>
      </c>
      <c r="J262" s="11">
        <v>45</v>
      </c>
      <c r="K262" s="4">
        <v>0.15</v>
      </c>
      <c r="L262" s="3" t="s">
        <v>95</v>
      </c>
      <c r="M262" s="3">
        <v>30</v>
      </c>
      <c r="N262" s="3">
        <v>4</v>
      </c>
      <c r="O262" s="3">
        <v>4</v>
      </c>
      <c r="P262" s="11">
        <f>Clean_Data[[#This Row],[Quantity]]*Clean_Data[[#This Row],[UnitPrice]]</f>
        <v>135</v>
      </c>
      <c r="Q262" s="11">
        <f>ROUND(Clean_Data[[#This Row],[GrossSales]]*Clean_Data[[#This Row],[DiscountPct]],2)</f>
        <v>20.25</v>
      </c>
      <c r="R262" s="11">
        <f>IF(Clean_Data[[#This Row],[Status]]="Delivered",ROUND(Clean_Data[[#This Row],[GrossSales]]-Clean_Data[[#This Row],[DiscountAmount]],2),0)</f>
        <v>114.75</v>
      </c>
      <c r="S262" s="3" t="str">
        <f>IF(Clean_Data[[#This Row],[OrderHour]]&lt;6,"Night",IF(Clean_Data[[#This Row],[OrderHour]]&lt;12,"Morning",IF(Clean_Data[[#This Row],[OrderHour]]&lt;18,"Afternoon","Evening")))</f>
        <v>Afternoon</v>
      </c>
      <c r="T262" s="3" t="str">
        <f>TEXT(Clean_Data[[#This Row],[OrderDate]],"[$-409]ddd")</f>
        <v>Wed</v>
      </c>
      <c r="U262" s="3">
        <f>WEEKDAY(Clean_Data[[#This Row],[OrderDate]],2)</f>
        <v>3</v>
      </c>
      <c r="V262" s="3">
        <f>INT(Clean_Data[[#This Row],[OrderHour]]/6)+1</f>
        <v>3</v>
      </c>
      <c r="W262" s="3">
        <f>IF(Clean_Data[[#This Row],[Status]]="Delivered",1,0)</f>
        <v>1</v>
      </c>
      <c r="X262" s="3">
        <f>IF(Clean_Data[[#This Row],[Status]]="Delivered",IF(Clean_Data[[#This Row],[DeliveryMinutes]]&lt;=Dashboard!$X$5,1,0),0)</f>
        <v>1</v>
      </c>
      <c r="Y2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2" s="3">
        <f>IF(AND(Clean_Data[[#This Row],[Include]]=1,Clean_Data[[#This Row],[DeliveredFlag]]=1),1,0)</f>
        <v>1</v>
      </c>
      <c r="AA262" s="1">
        <f>IF(COUNTIF($D$2:D262,D262)=1,ROW()-1,ROWS(Clean_Data[OrderID])+1)</f>
        <v>901</v>
      </c>
      <c r="AB262" s="1">
        <f>IF(COUNTIF($F$2:F262,F262)=1,ROW()-1,ROWS(Clean_Data[OrderID])+1)</f>
        <v>901</v>
      </c>
      <c r="AC262" s="1">
        <f>IF(COUNTIF($G$2:G262,G262)=1,ROW()-1,ROWS(Clean_Data[OrderID])+1)</f>
        <v>901</v>
      </c>
      <c r="AD262" s="1">
        <f>IF(COUNTIF($H$2:H262,H262)=1,ROW()-1,ROWS(Clean_Data[OrderID])+1)</f>
        <v>901</v>
      </c>
      <c r="AE262" s="1">
        <f>IF(COUNTIF($V$2:V262,V262)=1,V262,ROWS(Clean_Data[OrderID])+1)</f>
        <v>901</v>
      </c>
      <c r="AF262" s="1">
        <f>IF(COUNTIF($U$2:U262,U262)=1,U262,ROWS(Clean_Data[OrderID])+1)</f>
        <v>901</v>
      </c>
      <c r="AG262" s="1">
        <f>IF(COUNTIF($E$2:E262,E262)=1,ROW()-1,ROWS(Clean_Data[OrderID])+1)</f>
        <v>901</v>
      </c>
    </row>
    <row r="263" spans="1:33" ht="20" customHeight="1">
      <c r="A263" s="3" t="s">
        <v>563</v>
      </c>
      <c r="B263" s="2">
        <v>46274</v>
      </c>
      <c r="C263" s="3">
        <v>18</v>
      </c>
      <c r="D263" s="3" t="s">
        <v>427</v>
      </c>
      <c r="E263" s="3" t="s">
        <v>91</v>
      </c>
      <c r="F263" s="3" t="s">
        <v>92</v>
      </c>
      <c r="G263" s="3" t="s">
        <v>110</v>
      </c>
      <c r="H263" s="3" t="s">
        <v>114</v>
      </c>
      <c r="I263" s="3">
        <v>2</v>
      </c>
      <c r="J263" s="11">
        <v>145</v>
      </c>
      <c r="K263" s="4">
        <v>0</v>
      </c>
      <c r="L263" s="3" t="s">
        <v>95</v>
      </c>
      <c r="M263" s="3">
        <v>22</v>
      </c>
      <c r="N263" s="3">
        <v>13</v>
      </c>
      <c r="O263" s="3">
        <v>5</v>
      </c>
      <c r="P263" s="11">
        <f>Clean_Data[[#This Row],[Quantity]]*Clean_Data[[#This Row],[UnitPrice]]</f>
        <v>290</v>
      </c>
      <c r="Q263" s="11">
        <f>ROUND(Clean_Data[[#This Row],[GrossSales]]*Clean_Data[[#This Row],[DiscountPct]],2)</f>
        <v>0</v>
      </c>
      <c r="R263" s="11">
        <f>IF(Clean_Data[[#This Row],[Status]]="Delivered",ROUND(Clean_Data[[#This Row],[GrossSales]]-Clean_Data[[#This Row],[DiscountAmount]],2),0)</f>
        <v>290</v>
      </c>
      <c r="S263" s="3" t="str">
        <f>IF(Clean_Data[[#This Row],[OrderHour]]&lt;6,"Night",IF(Clean_Data[[#This Row],[OrderHour]]&lt;12,"Morning",IF(Clean_Data[[#This Row],[OrderHour]]&lt;18,"Afternoon","Evening")))</f>
        <v>Evening</v>
      </c>
      <c r="T263" s="3" t="str">
        <f>TEXT(Clean_Data[[#This Row],[OrderDate]],"[$-409]ddd")</f>
        <v>Wed</v>
      </c>
      <c r="U263" s="3">
        <f>WEEKDAY(Clean_Data[[#This Row],[OrderDate]],2)</f>
        <v>3</v>
      </c>
      <c r="V263" s="3">
        <f>INT(Clean_Data[[#This Row],[OrderHour]]/6)+1</f>
        <v>4</v>
      </c>
      <c r="W263" s="3">
        <f>IF(Clean_Data[[#This Row],[Status]]="Delivered",1,0)</f>
        <v>1</v>
      </c>
      <c r="X263" s="3">
        <f>IF(Clean_Data[[#This Row],[Status]]="Delivered",IF(Clean_Data[[#This Row],[DeliveryMinutes]]&lt;=Dashboard!$X$5,1,0),0)</f>
        <v>1</v>
      </c>
      <c r="Y2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3" s="3">
        <f>IF(AND(Clean_Data[[#This Row],[Include]]=1,Clean_Data[[#This Row],[DeliveredFlag]]=1),1,0)</f>
        <v>1</v>
      </c>
      <c r="AA263" s="1">
        <f>IF(COUNTIF($D$2:D263,D263)=1,ROW()-1,ROWS(Clean_Data[OrderID])+1)</f>
        <v>901</v>
      </c>
      <c r="AB263" s="1">
        <f>IF(COUNTIF($F$2:F263,F263)=1,ROW()-1,ROWS(Clean_Data[OrderID])+1)</f>
        <v>901</v>
      </c>
      <c r="AC263" s="1">
        <f>IF(COUNTIF($G$2:G263,G263)=1,ROW()-1,ROWS(Clean_Data[OrderID])+1)</f>
        <v>901</v>
      </c>
      <c r="AD263" s="1">
        <f>IF(COUNTIF($H$2:H263,H263)=1,ROW()-1,ROWS(Clean_Data[OrderID])+1)</f>
        <v>901</v>
      </c>
      <c r="AE263" s="1">
        <f>IF(COUNTIF($V$2:V263,V263)=1,V263,ROWS(Clean_Data[OrderID])+1)</f>
        <v>901</v>
      </c>
      <c r="AF263" s="1">
        <f>IF(COUNTIF($U$2:U263,U263)=1,U263,ROWS(Clean_Data[OrderID])+1)</f>
        <v>901</v>
      </c>
      <c r="AG263" s="1">
        <f>IF(COUNTIF($E$2:E263,E263)=1,ROW()-1,ROWS(Clean_Data[OrderID])+1)</f>
        <v>901</v>
      </c>
    </row>
    <row r="264" spans="1:33" ht="20" customHeight="1">
      <c r="A264" s="3" t="s">
        <v>564</v>
      </c>
      <c r="B264" s="2">
        <v>46274</v>
      </c>
      <c r="C264" s="3">
        <v>22</v>
      </c>
      <c r="D264" s="3" t="s">
        <v>361</v>
      </c>
      <c r="E264" s="3" t="s">
        <v>91</v>
      </c>
      <c r="F264" s="3" t="s">
        <v>92</v>
      </c>
      <c r="G264" s="3" t="s">
        <v>93</v>
      </c>
      <c r="H264" s="3" t="s">
        <v>118</v>
      </c>
      <c r="I264" s="3">
        <v>1</v>
      </c>
      <c r="J264" s="11">
        <v>45</v>
      </c>
      <c r="K264" s="4">
        <v>0.15</v>
      </c>
      <c r="L264" s="3" t="s">
        <v>95</v>
      </c>
      <c r="M264" s="3">
        <v>16</v>
      </c>
      <c r="N264" s="3">
        <v>9</v>
      </c>
      <c r="O264" s="3">
        <v>5</v>
      </c>
      <c r="P264" s="11">
        <f>Clean_Data[[#This Row],[Quantity]]*Clean_Data[[#This Row],[UnitPrice]]</f>
        <v>45</v>
      </c>
      <c r="Q264" s="11">
        <f>ROUND(Clean_Data[[#This Row],[GrossSales]]*Clean_Data[[#This Row],[DiscountPct]],2)</f>
        <v>6.75</v>
      </c>
      <c r="R264" s="11">
        <f>IF(Clean_Data[[#This Row],[Status]]="Delivered",ROUND(Clean_Data[[#This Row],[GrossSales]]-Clean_Data[[#This Row],[DiscountAmount]],2),0)</f>
        <v>38.25</v>
      </c>
      <c r="S264" s="3" t="str">
        <f>IF(Clean_Data[[#This Row],[OrderHour]]&lt;6,"Night",IF(Clean_Data[[#This Row],[OrderHour]]&lt;12,"Morning",IF(Clean_Data[[#This Row],[OrderHour]]&lt;18,"Afternoon","Evening")))</f>
        <v>Evening</v>
      </c>
      <c r="T264" s="3" t="str">
        <f>TEXT(Clean_Data[[#This Row],[OrderDate]],"[$-409]ddd")</f>
        <v>Wed</v>
      </c>
      <c r="U264" s="3">
        <f>WEEKDAY(Clean_Data[[#This Row],[OrderDate]],2)</f>
        <v>3</v>
      </c>
      <c r="V264" s="3">
        <f>INT(Clean_Data[[#This Row],[OrderHour]]/6)+1</f>
        <v>4</v>
      </c>
      <c r="W264" s="3">
        <f>IF(Clean_Data[[#This Row],[Status]]="Delivered",1,0)</f>
        <v>1</v>
      </c>
      <c r="X264" s="3">
        <f>IF(Clean_Data[[#This Row],[Status]]="Delivered",IF(Clean_Data[[#This Row],[DeliveryMinutes]]&lt;=Dashboard!$X$5,1,0),0)</f>
        <v>1</v>
      </c>
      <c r="Y2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4" s="3">
        <f>IF(AND(Clean_Data[[#This Row],[Include]]=1,Clean_Data[[#This Row],[DeliveredFlag]]=1),1,0)</f>
        <v>1</v>
      </c>
      <c r="AA264" s="1">
        <f>IF(COUNTIF($D$2:D264,D264)=1,ROW()-1,ROWS(Clean_Data[OrderID])+1)</f>
        <v>901</v>
      </c>
      <c r="AB264" s="1">
        <f>IF(COUNTIF($F$2:F264,F264)=1,ROW()-1,ROWS(Clean_Data[OrderID])+1)</f>
        <v>901</v>
      </c>
      <c r="AC264" s="1">
        <f>IF(COUNTIF($G$2:G264,G264)=1,ROW()-1,ROWS(Clean_Data[OrderID])+1)</f>
        <v>901</v>
      </c>
      <c r="AD264" s="1">
        <f>IF(COUNTIF($H$2:H264,H264)=1,ROW()-1,ROWS(Clean_Data[OrderID])+1)</f>
        <v>901</v>
      </c>
      <c r="AE264" s="1">
        <f>IF(COUNTIF($V$2:V264,V264)=1,V264,ROWS(Clean_Data[OrderID])+1)</f>
        <v>901</v>
      </c>
      <c r="AF264" s="1">
        <f>IF(COUNTIF($U$2:U264,U264)=1,U264,ROWS(Clean_Data[OrderID])+1)</f>
        <v>901</v>
      </c>
      <c r="AG264" s="1">
        <f>IF(COUNTIF($E$2:E264,E264)=1,ROW()-1,ROWS(Clean_Data[OrderID])+1)</f>
        <v>901</v>
      </c>
    </row>
    <row r="265" spans="1:33" ht="20" customHeight="1">
      <c r="A265" s="3" t="s">
        <v>565</v>
      </c>
      <c r="B265" s="2">
        <v>46274</v>
      </c>
      <c r="C265" s="3">
        <v>9</v>
      </c>
      <c r="D265" s="3" t="s">
        <v>378</v>
      </c>
      <c r="E265" s="3" t="s">
        <v>117</v>
      </c>
      <c r="F265" s="3" t="s">
        <v>139</v>
      </c>
      <c r="G265" s="3" t="s">
        <v>122</v>
      </c>
      <c r="H265" s="3" t="s">
        <v>214</v>
      </c>
      <c r="I265" s="3">
        <v>1</v>
      </c>
      <c r="J265" s="11">
        <v>55</v>
      </c>
      <c r="K265" s="4">
        <v>0.1</v>
      </c>
      <c r="L265" s="3" t="s">
        <v>95</v>
      </c>
      <c r="M265" s="3">
        <v>14</v>
      </c>
      <c r="N265" s="3">
        <v>4</v>
      </c>
      <c r="O265" s="3">
        <v>5</v>
      </c>
      <c r="P265" s="11">
        <f>Clean_Data[[#This Row],[Quantity]]*Clean_Data[[#This Row],[UnitPrice]]</f>
        <v>55</v>
      </c>
      <c r="Q265" s="11">
        <f>ROUND(Clean_Data[[#This Row],[GrossSales]]*Clean_Data[[#This Row],[DiscountPct]],2)</f>
        <v>5.5</v>
      </c>
      <c r="R265" s="11">
        <f>IF(Clean_Data[[#This Row],[Status]]="Delivered",ROUND(Clean_Data[[#This Row],[GrossSales]]-Clean_Data[[#This Row],[DiscountAmount]],2),0)</f>
        <v>49.5</v>
      </c>
      <c r="S265" s="3" t="str">
        <f>IF(Clean_Data[[#This Row],[OrderHour]]&lt;6,"Night",IF(Clean_Data[[#This Row],[OrderHour]]&lt;12,"Morning",IF(Clean_Data[[#This Row],[OrderHour]]&lt;18,"Afternoon","Evening")))</f>
        <v>Morning</v>
      </c>
      <c r="T265" s="3" t="str">
        <f>TEXT(Clean_Data[[#This Row],[OrderDate]],"[$-409]ddd")</f>
        <v>Wed</v>
      </c>
      <c r="U265" s="3">
        <f>WEEKDAY(Clean_Data[[#This Row],[OrderDate]],2)</f>
        <v>3</v>
      </c>
      <c r="V265" s="3">
        <f>INT(Clean_Data[[#This Row],[OrderHour]]/6)+1</f>
        <v>2</v>
      </c>
      <c r="W265" s="3">
        <f>IF(Clean_Data[[#This Row],[Status]]="Delivered",1,0)</f>
        <v>1</v>
      </c>
      <c r="X265" s="3">
        <f>IF(Clean_Data[[#This Row],[Status]]="Delivered",IF(Clean_Data[[#This Row],[DeliveryMinutes]]&lt;=Dashboard!$X$5,1,0),0)</f>
        <v>1</v>
      </c>
      <c r="Y2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5" s="3">
        <f>IF(AND(Clean_Data[[#This Row],[Include]]=1,Clean_Data[[#This Row],[DeliveredFlag]]=1),1,0)</f>
        <v>1</v>
      </c>
      <c r="AA265" s="1">
        <f>IF(COUNTIF($D$2:D265,D265)=1,ROW()-1,ROWS(Clean_Data[OrderID])+1)</f>
        <v>901</v>
      </c>
      <c r="AB265" s="1">
        <f>IF(COUNTIF($F$2:F265,F265)=1,ROW()-1,ROWS(Clean_Data[OrderID])+1)</f>
        <v>901</v>
      </c>
      <c r="AC265" s="1">
        <f>IF(COUNTIF($G$2:G265,G265)=1,ROW()-1,ROWS(Clean_Data[OrderID])+1)</f>
        <v>901</v>
      </c>
      <c r="AD265" s="1">
        <f>IF(COUNTIF($H$2:H265,H265)=1,ROW()-1,ROWS(Clean_Data[OrderID])+1)</f>
        <v>901</v>
      </c>
      <c r="AE265" s="1">
        <f>IF(COUNTIF($V$2:V265,V265)=1,V265,ROWS(Clean_Data[OrderID])+1)</f>
        <v>901</v>
      </c>
      <c r="AF265" s="1">
        <f>IF(COUNTIF($U$2:U265,U265)=1,U265,ROWS(Clean_Data[OrderID])+1)</f>
        <v>901</v>
      </c>
      <c r="AG265" s="1">
        <f>IF(COUNTIF($E$2:E265,E265)=1,ROW()-1,ROWS(Clean_Data[OrderID])+1)</f>
        <v>901</v>
      </c>
    </row>
    <row r="266" spans="1:33" ht="20" customHeight="1">
      <c r="A266" s="3" t="s">
        <v>566</v>
      </c>
      <c r="B266" s="2">
        <v>46274</v>
      </c>
      <c r="C266" s="3">
        <v>17</v>
      </c>
      <c r="D266" s="3" t="s">
        <v>342</v>
      </c>
      <c r="E266" s="3" t="s">
        <v>91</v>
      </c>
      <c r="F266" s="3" t="s">
        <v>98</v>
      </c>
      <c r="G266" s="3" t="s">
        <v>110</v>
      </c>
      <c r="H266" s="3" t="s">
        <v>111</v>
      </c>
      <c r="I266" s="3">
        <v>3</v>
      </c>
      <c r="J266" s="11">
        <v>115</v>
      </c>
      <c r="K266" s="4">
        <v>0.05</v>
      </c>
      <c r="L266" s="3" t="s">
        <v>95</v>
      </c>
      <c r="M266" s="3">
        <v>18</v>
      </c>
      <c r="N266" s="3">
        <v>6</v>
      </c>
      <c r="O266" s="3">
        <v>5</v>
      </c>
      <c r="P266" s="11">
        <f>Clean_Data[[#This Row],[Quantity]]*Clean_Data[[#This Row],[UnitPrice]]</f>
        <v>345</v>
      </c>
      <c r="Q266" s="11">
        <f>ROUND(Clean_Data[[#This Row],[GrossSales]]*Clean_Data[[#This Row],[DiscountPct]],2)</f>
        <v>17.25</v>
      </c>
      <c r="R266" s="11">
        <f>IF(Clean_Data[[#This Row],[Status]]="Delivered",ROUND(Clean_Data[[#This Row],[GrossSales]]-Clean_Data[[#This Row],[DiscountAmount]],2),0)</f>
        <v>327.75</v>
      </c>
      <c r="S266" s="3" t="str">
        <f>IF(Clean_Data[[#This Row],[OrderHour]]&lt;6,"Night",IF(Clean_Data[[#This Row],[OrderHour]]&lt;12,"Morning",IF(Clean_Data[[#This Row],[OrderHour]]&lt;18,"Afternoon","Evening")))</f>
        <v>Afternoon</v>
      </c>
      <c r="T266" s="3" t="str">
        <f>TEXT(Clean_Data[[#This Row],[OrderDate]],"[$-409]ddd")</f>
        <v>Wed</v>
      </c>
      <c r="U266" s="3">
        <f>WEEKDAY(Clean_Data[[#This Row],[OrderDate]],2)</f>
        <v>3</v>
      </c>
      <c r="V266" s="3">
        <f>INT(Clean_Data[[#This Row],[OrderHour]]/6)+1</f>
        <v>3</v>
      </c>
      <c r="W266" s="3">
        <f>IF(Clean_Data[[#This Row],[Status]]="Delivered",1,0)</f>
        <v>1</v>
      </c>
      <c r="X266" s="3">
        <f>IF(Clean_Data[[#This Row],[Status]]="Delivered",IF(Clean_Data[[#This Row],[DeliveryMinutes]]&lt;=Dashboard!$X$5,1,0),0)</f>
        <v>1</v>
      </c>
      <c r="Y2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6" s="3">
        <f>IF(AND(Clean_Data[[#This Row],[Include]]=1,Clean_Data[[#This Row],[DeliveredFlag]]=1),1,0)</f>
        <v>1</v>
      </c>
      <c r="AA266" s="1">
        <f>IF(COUNTIF($D$2:D266,D266)=1,ROW()-1,ROWS(Clean_Data[OrderID])+1)</f>
        <v>901</v>
      </c>
      <c r="AB266" s="1">
        <f>IF(COUNTIF($F$2:F266,F266)=1,ROW()-1,ROWS(Clean_Data[OrderID])+1)</f>
        <v>901</v>
      </c>
      <c r="AC266" s="1">
        <f>IF(COUNTIF($G$2:G266,G266)=1,ROW()-1,ROWS(Clean_Data[OrderID])+1)</f>
        <v>901</v>
      </c>
      <c r="AD266" s="1">
        <f>IF(COUNTIF($H$2:H266,H266)=1,ROW()-1,ROWS(Clean_Data[OrderID])+1)</f>
        <v>901</v>
      </c>
      <c r="AE266" s="1">
        <f>IF(COUNTIF($V$2:V266,V266)=1,V266,ROWS(Clean_Data[OrderID])+1)</f>
        <v>901</v>
      </c>
      <c r="AF266" s="1">
        <f>IF(COUNTIF($U$2:U266,U266)=1,U266,ROWS(Clean_Data[OrderID])+1)</f>
        <v>901</v>
      </c>
      <c r="AG266" s="1">
        <f>IF(COUNTIF($E$2:E266,E266)=1,ROW()-1,ROWS(Clean_Data[OrderID])+1)</f>
        <v>901</v>
      </c>
    </row>
    <row r="267" spans="1:33" ht="20" customHeight="1">
      <c r="A267" s="3" t="s">
        <v>567</v>
      </c>
      <c r="B267" s="2">
        <v>46274</v>
      </c>
      <c r="C267" s="3">
        <v>12</v>
      </c>
      <c r="D267" s="3" t="s">
        <v>383</v>
      </c>
      <c r="E267" s="3" t="s">
        <v>91</v>
      </c>
      <c r="F267" s="3" t="s">
        <v>139</v>
      </c>
      <c r="G267" s="3" t="s">
        <v>135</v>
      </c>
      <c r="H267" s="3" t="s">
        <v>136</v>
      </c>
      <c r="I267" s="3">
        <v>4</v>
      </c>
      <c r="J267" s="11">
        <v>40</v>
      </c>
      <c r="K267" s="4">
        <v>0</v>
      </c>
      <c r="L267" s="3" t="s">
        <v>95</v>
      </c>
      <c r="M267" s="3">
        <v>37</v>
      </c>
      <c r="N267" s="3">
        <v>6</v>
      </c>
      <c r="O267" s="3">
        <v>5</v>
      </c>
      <c r="P267" s="11">
        <f>Clean_Data[[#This Row],[Quantity]]*Clean_Data[[#This Row],[UnitPrice]]</f>
        <v>160</v>
      </c>
      <c r="Q267" s="11">
        <f>ROUND(Clean_Data[[#This Row],[GrossSales]]*Clean_Data[[#This Row],[DiscountPct]],2)</f>
        <v>0</v>
      </c>
      <c r="R267" s="11">
        <f>IF(Clean_Data[[#This Row],[Status]]="Delivered",ROUND(Clean_Data[[#This Row],[GrossSales]]-Clean_Data[[#This Row],[DiscountAmount]],2),0)</f>
        <v>160</v>
      </c>
      <c r="S267" s="3" t="str">
        <f>IF(Clean_Data[[#This Row],[OrderHour]]&lt;6,"Night",IF(Clean_Data[[#This Row],[OrderHour]]&lt;12,"Morning",IF(Clean_Data[[#This Row],[OrderHour]]&lt;18,"Afternoon","Evening")))</f>
        <v>Afternoon</v>
      </c>
      <c r="T267" s="3" t="str">
        <f>TEXT(Clean_Data[[#This Row],[OrderDate]],"[$-409]ddd")</f>
        <v>Wed</v>
      </c>
      <c r="U267" s="3">
        <f>WEEKDAY(Clean_Data[[#This Row],[OrderDate]],2)</f>
        <v>3</v>
      </c>
      <c r="V267" s="3">
        <f>INT(Clean_Data[[#This Row],[OrderHour]]/6)+1</f>
        <v>3</v>
      </c>
      <c r="W267" s="3">
        <f>IF(Clean_Data[[#This Row],[Status]]="Delivered",1,0)</f>
        <v>1</v>
      </c>
      <c r="X267" s="3">
        <f>IF(Clean_Data[[#This Row],[Status]]="Delivered",IF(Clean_Data[[#This Row],[DeliveryMinutes]]&lt;=Dashboard!$X$5,1,0),0)</f>
        <v>0</v>
      </c>
      <c r="Y2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7" s="3">
        <f>IF(AND(Clean_Data[[#This Row],[Include]]=1,Clean_Data[[#This Row],[DeliveredFlag]]=1),1,0)</f>
        <v>1</v>
      </c>
      <c r="AA267" s="1">
        <f>IF(COUNTIF($D$2:D267,D267)=1,ROW()-1,ROWS(Clean_Data[OrderID])+1)</f>
        <v>901</v>
      </c>
      <c r="AB267" s="1">
        <f>IF(COUNTIF($F$2:F267,F267)=1,ROW()-1,ROWS(Clean_Data[OrderID])+1)</f>
        <v>901</v>
      </c>
      <c r="AC267" s="1">
        <f>IF(COUNTIF($G$2:G267,G267)=1,ROW()-1,ROWS(Clean_Data[OrderID])+1)</f>
        <v>901</v>
      </c>
      <c r="AD267" s="1">
        <f>IF(COUNTIF($H$2:H267,H267)=1,ROW()-1,ROWS(Clean_Data[OrderID])+1)</f>
        <v>901</v>
      </c>
      <c r="AE267" s="1">
        <f>IF(COUNTIF($V$2:V267,V267)=1,V267,ROWS(Clean_Data[OrderID])+1)</f>
        <v>901</v>
      </c>
      <c r="AF267" s="1">
        <f>IF(COUNTIF($U$2:U267,U267)=1,U267,ROWS(Clean_Data[OrderID])+1)</f>
        <v>901</v>
      </c>
      <c r="AG267" s="1">
        <f>IF(COUNTIF($E$2:E267,E267)=1,ROW()-1,ROWS(Clean_Data[OrderID])+1)</f>
        <v>901</v>
      </c>
    </row>
    <row r="268" spans="1:33" ht="20" customHeight="1">
      <c r="A268" s="3" t="s">
        <v>568</v>
      </c>
      <c r="B268" s="2">
        <v>46274</v>
      </c>
      <c r="C268" s="3">
        <v>19</v>
      </c>
      <c r="D268" s="3" t="s">
        <v>452</v>
      </c>
      <c r="E268" s="3" t="s">
        <v>91</v>
      </c>
      <c r="F268" s="3" t="s">
        <v>139</v>
      </c>
      <c r="G268" s="3" t="s">
        <v>174</v>
      </c>
      <c r="H268" s="3" t="s">
        <v>175</v>
      </c>
      <c r="I268" s="3">
        <v>5</v>
      </c>
      <c r="J268" s="11">
        <v>155</v>
      </c>
      <c r="K268" s="4">
        <v>0.05</v>
      </c>
      <c r="L268" s="3" t="s">
        <v>95</v>
      </c>
      <c r="M268" s="3">
        <v>23</v>
      </c>
      <c r="N268" s="3">
        <v>7</v>
      </c>
      <c r="O268" s="3">
        <v>5</v>
      </c>
      <c r="P268" s="11">
        <f>Clean_Data[[#This Row],[Quantity]]*Clean_Data[[#This Row],[UnitPrice]]</f>
        <v>775</v>
      </c>
      <c r="Q268" s="11">
        <f>ROUND(Clean_Data[[#This Row],[GrossSales]]*Clean_Data[[#This Row],[DiscountPct]],2)</f>
        <v>38.75</v>
      </c>
      <c r="R268" s="11">
        <f>IF(Clean_Data[[#This Row],[Status]]="Delivered",ROUND(Clean_Data[[#This Row],[GrossSales]]-Clean_Data[[#This Row],[DiscountAmount]],2),0)</f>
        <v>736.25</v>
      </c>
      <c r="S268" s="3" t="str">
        <f>IF(Clean_Data[[#This Row],[OrderHour]]&lt;6,"Night",IF(Clean_Data[[#This Row],[OrderHour]]&lt;12,"Morning",IF(Clean_Data[[#This Row],[OrderHour]]&lt;18,"Afternoon","Evening")))</f>
        <v>Evening</v>
      </c>
      <c r="T268" s="3" t="str">
        <f>TEXT(Clean_Data[[#This Row],[OrderDate]],"[$-409]ddd")</f>
        <v>Wed</v>
      </c>
      <c r="U268" s="3">
        <f>WEEKDAY(Clean_Data[[#This Row],[OrderDate]],2)</f>
        <v>3</v>
      </c>
      <c r="V268" s="3">
        <f>INT(Clean_Data[[#This Row],[OrderHour]]/6)+1</f>
        <v>4</v>
      </c>
      <c r="W268" s="3">
        <f>IF(Clean_Data[[#This Row],[Status]]="Delivered",1,0)</f>
        <v>1</v>
      </c>
      <c r="X268" s="3">
        <f>IF(Clean_Data[[#This Row],[Status]]="Delivered",IF(Clean_Data[[#This Row],[DeliveryMinutes]]&lt;=Dashboard!$X$5,1,0),0)</f>
        <v>1</v>
      </c>
      <c r="Y2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8" s="3">
        <f>IF(AND(Clean_Data[[#This Row],[Include]]=1,Clean_Data[[#This Row],[DeliveredFlag]]=1),1,0)</f>
        <v>1</v>
      </c>
      <c r="AA268" s="1">
        <f>IF(COUNTIF($D$2:D268,D268)=1,ROW()-1,ROWS(Clean_Data[OrderID])+1)</f>
        <v>901</v>
      </c>
      <c r="AB268" s="1">
        <f>IF(COUNTIF($F$2:F268,F268)=1,ROW()-1,ROWS(Clean_Data[OrderID])+1)</f>
        <v>901</v>
      </c>
      <c r="AC268" s="1">
        <f>IF(COUNTIF($G$2:G268,G268)=1,ROW()-1,ROWS(Clean_Data[OrderID])+1)</f>
        <v>901</v>
      </c>
      <c r="AD268" s="1">
        <f>IF(COUNTIF($H$2:H268,H268)=1,ROW()-1,ROWS(Clean_Data[OrderID])+1)</f>
        <v>901</v>
      </c>
      <c r="AE268" s="1">
        <f>IF(COUNTIF($V$2:V268,V268)=1,V268,ROWS(Clean_Data[OrderID])+1)</f>
        <v>901</v>
      </c>
      <c r="AF268" s="1">
        <f>IF(COUNTIF($U$2:U268,U268)=1,U268,ROWS(Clean_Data[OrderID])+1)</f>
        <v>901</v>
      </c>
      <c r="AG268" s="1">
        <f>IF(COUNTIF($E$2:E268,E268)=1,ROW()-1,ROWS(Clean_Data[OrderID])+1)</f>
        <v>901</v>
      </c>
    </row>
    <row r="269" spans="1:33" ht="20" customHeight="1">
      <c r="A269" s="3" t="s">
        <v>569</v>
      </c>
      <c r="B269" s="2">
        <v>46274</v>
      </c>
      <c r="C269" s="3">
        <v>18</v>
      </c>
      <c r="D269" s="3" t="s">
        <v>244</v>
      </c>
      <c r="E269" s="3" t="s">
        <v>117</v>
      </c>
      <c r="F269" s="3" t="s">
        <v>109</v>
      </c>
      <c r="G269" s="3" t="s">
        <v>93</v>
      </c>
      <c r="H269" s="3" t="s">
        <v>146</v>
      </c>
      <c r="I269" s="3">
        <v>5</v>
      </c>
      <c r="J269" s="11">
        <v>110</v>
      </c>
      <c r="K269" s="4">
        <v>0</v>
      </c>
      <c r="L269" s="3" t="s">
        <v>95</v>
      </c>
      <c r="M269" s="3">
        <v>19</v>
      </c>
      <c r="N269" s="3">
        <v>10</v>
      </c>
      <c r="O269" s="3">
        <v>4</v>
      </c>
      <c r="P269" s="11">
        <f>Clean_Data[[#This Row],[Quantity]]*Clean_Data[[#This Row],[UnitPrice]]</f>
        <v>550</v>
      </c>
      <c r="Q269" s="11">
        <f>ROUND(Clean_Data[[#This Row],[GrossSales]]*Clean_Data[[#This Row],[DiscountPct]],2)</f>
        <v>0</v>
      </c>
      <c r="R269" s="11">
        <f>IF(Clean_Data[[#This Row],[Status]]="Delivered",ROUND(Clean_Data[[#This Row],[GrossSales]]-Clean_Data[[#This Row],[DiscountAmount]],2),0)</f>
        <v>550</v>
      </c>
      <c r="S269" s="3" t="str">
        <f>IF(Clean_Data[[#This Row],[OrderHour]]&lt;6,"Night",IF(Clean_Data[[#This Row],[OrderHour]]&lt;12,"Morning",IF(Clean_Data[[#This Row],[OrderHour]]&lt;18,"Afternoon","Evening")))</f>
        <v>Evening</v>
      </c>
      <c r="T269" s="3" t="str">
        <f>TEXT(Clean_Data[[#This Row],[OrderDate]],"[$-409]ddd")</f>
        <v>Wed</v>
      </c>
      <c r="U269" s="3">
        <f>WEEKDAY(Clean_Data[[#This Row],[OrderDate]],2)</f>
        <v>3</v>
      </c>
      <c r="V269" s="3">
        <f>INT(Clean_Data[[#This Row],[OrderHour]]/6)+1</f>
        <v>4</v>
      </c>
      <c r="W269" s="3">
        <f>IF(Clean_Data[[#This Row],[Status]]="Delivered",1,0)</f>
        <v>1</v>
      </c>
      <c r="X269" s="3">
        <f>IF(Clean_Data[[#This Row],[Status]]="Delivered",IF(Clean_Data[[#This Row],[DeliveryMinutes]]&lt;=Dashboard!$X$5,1,0),0)</f>
        <v>1</v>
      </c>
      <c r="Y2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69" s="3">
        <f>IF(AND(Clean_Data[[#This Row],[Include]]=1,Clean_Data[[#This Row],[DeliveredFlag]]=1),1,0)</f>
        <v>1</v>
      </c>
      <c r="AA269" s="1">
        <f>IF(COUNTIF($D$2:D269,D269)=1,ROW()-1,ROWS(Clean_Data[OrderID])+1)</f>
        <v>901</v>
      </c>
      <c r="AB269" s="1">
        <f>IF(COUNTIF($F$2:F269,F269)=1,ROW()-1,ROWS(Clean_Data[OrderID])+1)</f>
        <v>901</v>
      </c>
      <c r="AC269" s="1">
        <f>IF(COUNTIF($G$2:G269,G269)=1,ROW()-1,ROWS(Clean_Data[OrderID])+1)</f>
        <v>901</v>
      </c>
      <c r="AD269" s="1">
        <f>IF(COUNTIF($H$2:H269,H269)=1,ROW()-1,ROWS(Clean_Data[OrderID])+1)</f>
        <v>901</v>
      </c>
      <c r="AE269" s="1">
        <f>IF(COUNTIF($V$2:V269,V269)=1,V269,ROWS(Clean_Data[OrderID])+1)</f>
        <v>901</v>
      </c>
      <c r="AF269" s="1">
        <f>IF(COUNTIF($U$2:U269,U269)=1,U269,ROWS(Clean_Data[OrderID])+1)</f>
        <v>901</v>
      </c>
      <c r="AG269" s="1">
        <f>IF(COUNTIF($E$2:E269,E269)=1,ROW()-1,ROWS(Clean_Data[OrderID])+1)</f>
        <v>901</v>
      </c>
    </row>
    <row r="270" spans="1:33" ht="20" customHeight="1">
      <c r="A270" s="3" t="s">
        <v>570</v>
      </c>
      <c r="B270" s="2">
        <v>46274</v>
      </c>
      <c r="C270" s="3">
        <v>10</v>
      </c>
      <c r="D270" s="3" t="s">
        <v>571</v>
      </c>
      <c r="E270" s="3" t="s">
        <v>91</v>
      </c>
      <c r="F270" s="3" t="s">
        <v>92</v>
      </c>
      <c r="G270" s="3" t="s">
        <v>122</v>
      </c>
      <c r="H270" s="3" t="s">
        <v>214</v>
      </c>
      <c r="I270" s="3">
        <v>4</v>
      </c>
      <c r="J270" s="11">
        <v>55</v>
      </c>
      <c r="K270" s="4">
        <v>0</v>
      </c>
      <c r="L270" s="3" t="s">
        <v>95</v>
      </c>
      <c r="M270" s="3">
        <v>30</v>
      </c>
      <c r="N270" s="3">
        <v>10</v>
      </c>
      <c r="O270" s="3">
        <v>5</v>
      </c>
      <c r="P270" s="11">
        <f>Clean_Data[[#This Row],[Quantity]]*Clean_Data[[#This Row],[UnitPrice]]</f>
        <v>220</v>
      </c>
      <c r="Q270" s="11">
        <f>ROUND(Clean_Data[[#This Row],[GrossSales]]*Clean_Data[[#This Row],[DiscountPct]],2)</f>
        <v>0</v>
      </c>
      <c r="R270" s="11">
        <f>IF(Clean_Data[[#This Row],[Status]]="Delivered",ROUND(Clean_Data[[#This Row],[GrossSales]]-Clean_Data[[#This Row],[DiscountAmount]],2),0)</f>
        <v>220</v>
      </c>
      <c r="S270" s="3" t="str">
        <f>IF(Clean_Data[[#This Row],[OrderHour]]&lt;6,"Night",IF(Clean_Data[[#This Row],[OrderHour]]&lt;12,"Morning",IF(Clean_Data[[#This Row],[OrderHour]]&lt;18,"Afternoon","Evening")))</f>
        <v>Morning</v>
      </c>
      <c r="T270" s="3" t="str">
        <f>TEXT(Clean_Data[[#This Row],[OrderDate]],"[$-409]ddd")</f>
        <v>Wed</v>
      </c>
      <c r="U270" s="3">
        <f>WEEKDAY(Clean_Data[[#This Row],[OrderDate]],2)</f>
        <v>3</v>
      </c>
      <c r="V270" s="3">
        <f>INT(Clean_Data[[#This Row],[OrderHour]]/6)+1</f>
        <v>2</v>
      </c>
      <c r="W270" s="3">
        <f>IF(Clean_Data[[#This Row],[Status]]="Delivered",1,0)</f>
        <v>1</v>
      </c>
      <c r="X270" s="3">
        <f>IF(Clean_Data[[#This Row],[Status]]="Delivered",IF(Clean_Data[[#This Row],[DeliveryMinutes]]&lt;=Dashboard!$X$5,1,0),0)</f>
        <v>1</v>
      </c>
      <c r="Y2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0" s="3">
        <f>IF(AND(Clean_Data[[#This Row],[Include]]=1,Clean_Data[[#This Row],[DeliveredFlag]]=1),1,0)</f>
        <v>1</v>
      </c>
      <c r="AA270" s="1">
        <f>IF(COUNTIF($D$2:D270,D270)=1,ROW()-1,ROWS(Clean_Data[OrderID])+1)</f>
        <v>269</v>
      </c>
      <c r="AB270" s="1">
        <f>IF(COUNTIF($F$2:F270,F270)=1,ROW()-1,ROWS(Clean_Data[OrderID])+1)</f>
        <v>901</v>
      </c>
      <c r="AC270" s="1">
        <f>IF(COUNTIF($G$2:G270,G270)=1,ROW()-1,ROWS(Clean_Data[OrderID])+1)</f>
        <v>901</v>
      </c>
      <c r="AD270" s="1">
        <f>IF(COUNTIF($H$2:H270,H270)=1,ROW()-1,ROWS(Clean_Data[OrderID])+1)</f>
        <v>901</v>
      </c>
      <c r="AE270" s="1">
        <f>IF(COUNTIF($V$2:V270,V270)=1,V270,ROWS(Clean_Data[OrderID])+1)</f>
        <v>901</v>
      </c>
      <c r="AF270" s="1">
        <f>IF(COUNTIF($U$2:U270,U270)=1,U270,ROWS(Clean_Data[OrderID])+1)</f>
        <v>901</v>
      </c>
      <c r="AG270" s="1">
        <f>IF(COUNTIF($E$2:E270,E270)=1,ROW()-1,ROWS(Clean_Data[OrderID])+1)</f>
        <v>901</v>
      </c>
    </row>
    <row r="271" spans="1:33" ht="20" customHeight="1">
      <c r="A271" s="3" t="s">
        <v>572</v>
      </c>
      <c r="B271" s="2">
        <v>46274</v>
      </c>
      <c r="C271" s="3">
        <v>8</v>
      </c>
      <c r="D271" s="3" t="s">
        <v>573</v>
      </c>
      <c r="E271" s="3" t="s">
        <v>91</v>
      </c>
      <c r="F271" s="3" t="s">
        <v>139</v>
      </c>
      <c r="G271" s="3" t="s">
        <v>99</v>
      </c>
      <c r="H271" s="3" t="s">
        <v>100</v>
      </c>
      <c r="I271" s="3">
        <v>2</v>
      </c>
      <c r="J271" s="11">
        <v>120</v>
      </c>
      <c r="K271" s="4">
        <v>0</v>
      </c>
      <c r="L271" s="3" t="s">
        <v>95</v>
      </c>
      <c r="M271" s="3">
        <v>36</v>
      </c>
      <c r="N271" s="3">
        <v>14</v>
      </c>
      <c r="O271" s="3">
        <v>4</v>
      </c>
      <c r="P271" s="11">
        <f>Clean_Data[[#This Row],[Quantity]]*Clean_Data[[#This Row],[UnitPrice]]</f>
        <v>240</v>
      </c>
      <c r="Q271" s="11">
        <f>ROUND(Clean_Data[[#This Row],[GrossSales]]*Clean_Data[[#This Row],[DiscountPct]],2)</f>
        <v>0</v>
      </c>
      <c r="R271" s="11">
        <f>IF(Clean_Data[[#This Row],[Status]]="Delivered",ROUND(Clean_Data[[#This Row],[GrossSales]]-Clean_Data[[#This Row],[DiscountAmount]],2),0)</f>
        <v>240</v>
      </c>
      <c r="S271" s="3" t="str">
        <f>IF(Clean_Data[[#This Row],[OrderHour]]&lt;6,"Night",IF(Clean_Data[[#This Row],[OrderHour]]&lt;12,"Morning",IF(Clean_Data[[#This Row],[OrderHour]]&lt;18,"Afternoon","Evening")))</f>
        <v>Morning</v>
      </c>
      <c r="T271" s="3" t="str">
        <f>TEXT(Clean_Data[[#This Row],[OrderDate]],"[$-409]ddd")</f>
        <v>Wed</v>
      </c>
      <c r="U271" s="3">
        <f>WEEKDAY(Clean_Data[[#This Row],[OrderDate]],2)</f>
        <v>3</v>
      </c>
      <c r="V271" s="3">
        <f>INT(Clean_Data[[#This Row],[OrderHour]]/6)+1</f>
        <v>2</v>
      </c>
      <c r="W271" s="3">
        <f>IF(Clean_Data[[#This Row],[Status]]="Delivered",1,0)</f>
        <v>1</v>
      </c>
      <c r="X271" s="3">
        <f>IF(Clean_Data[[#This Row],[Status]]="Delivered",IF(Clean_Data[[#This Row],[DeliveryMinutes]]&lt;=Dashboard!$X$5,1,0),0)</f>
        <v>0</v>
      </c>
      <c r="Y2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1" s="3">
        <f>IF(AND(Clean_Data[[#This Row],[Include]]=1,Clean_Data[[#This Row],[DeliveredFlag]]=1),1,0)</f>
        <v>1</v>
      </c>
      <c r="AA271" s="1">
        <f>IF(COUNTIF($D$2:D271,D271)=1,ROW()-1,ROWS(Clean_Data[OrderID])+1)</f>
        <v>270</v>
      </c>
      <c r="AB271" s="1">
        <f>IF(COUNTIF($F$2:F271,F271)=1,ROW()-1,ROWS(Clean_Data[OrderID])+1)</f>
        <v>901</v>
      </c>
      <c r="AC271" s="1">
        <f>IF(COUNTIF($G$2:G271,G271)=1,ROW()-1,ROWS(Clean_Data[OrderID])+1)</f>
        <v>901</v>
      </c>
      <c r="AD271" s="1">
        <f>IF(COUNTIF($H$2:H271,H271)=1,ROW()-1,ROWS(Clean_Data[OrderID])+1)</f>
        <v>901</v>
      </c>
      <c r="AE271" s="1">
        <f>IF(COUNTIF($V$2:V271,V271)=1,V271,ROWS(Clean_Data[OrderID])+1)</f>
        <v>901</v>
      </c>
      <c r="AF271" s="1">
        <f>IF(COUNTIF($U$2:U271,U271)=1,U271,ROWS(Clean_Data[OrderID])+1)</f>
        <v>901</v>
      </c>
      <c r="AG271" s="1">
        <f>IF(COUNTIF($E$2:E271,E271)=1,ROW()-1,ROWS(Clean_Data[OrderID])+1)</f>
        <v>901</v>
      </c>
    </row>
    <row r="272" spans="1:33" ht="20" customHeight="1">
      <c r="A272" s="3" t="s">
        <v>574</v>
      </c>
      <c r="B272" s="2">
        <v>46275</v>
      </c>
      <c r="C272" s="3">
        <v>14</v>
      </c>
      <c r="D272" s="3" t="s">
        <v>120</v>
      </c>
      <c r="E272" s="3" t="s">
        <v>91</v>
      </c>
      <c r="F272" s="3" t="s">
        <v>139</v>
      </c>
      <c r="G272" s="3" t="s">
        <v>93</v>
      </c>
      <c r="H272" s="3" t="s">
        <v>146</v>
      </c>
      <c r="I272" s="3">
        <v>2</v>
      </c>
      <c r="J272" s="11">
        <v>110</v>
      </c>
      <c r="K272" s="4">
        <v>0</v>
      </c>
      <c r="L272" s="3" t="s">
        <v>95</v>
      </c>
      <c r="M272" s="3">
        <v>24</v>
      </c>
      <c r="N272" s="3">
        <v>9</v>
      </c>
      <c r="O272" s="3">
        <v>5</v>
      </c>
      <c r="P272" s="11">
        <f>Clean_Data[[#This Row],[Quantity]]*Clean_Data[[#This Row],[UnitPrice]]</f>
        <v>220</v>
      </c>
      <c r="Q272" s="11">
        <f>ROUND(Clean_Data[[#This Row],[GrossSales]]*Clean_Data[[#This Row],[DiscountPct]],2)</f>
        <v>0</v>
      </c>
      <c r="R272" s="11">
        <f>IF(Clean_Data[[#This Row],[Status]]="Delivered",ROUND(Clean_Data[[#This Row],[GrossSales]]-Clean_Data[[#This Row],[DiscountAmount]],2),0)</f>
        <v>220</v>
      </c>
      <c r="S272" s="3" t="str">
        <f>IF(Clean_Data[[#This Row],[OrderHour]]&lt;6,"Night",IF(Clean_Data[[#This Row],[OrderHour]]&lt;12,"Morning",IF(Clean_Data[[#This Row],[OrderHour]]&lt;18,"Afternoon","Evening")))</f>
        <v>Afternoon</v>
      </c>
      <c r="T272" s="3" t="str">
        <f>TEXT(Clean_Data[[#This Row],[OrderDate]],"[$-409]ddd")</f>
        <v>Thu</v>
      </c>
      <c r="U272" s="3">
        <f>WEEKDAY(Clean_Data[[#This Row],[OrderDate]],2)</f>
        <v>4</v>
      </c>
      <c r="V272" s="3">
        <f>INT(Clean_Data[[#This Row],[OrderHour]]/6)+1</f>
        <v>3</v>
      </c>
      <c r="W272" s="3">
        <f>IF(Clean_Data[[#This Row],[Status]]="Delivered",1,0)</f>
        <v>1</v>
      </c>
      <c r="X272" s="3">
        <f>IF(Clean_Data[[#This Row],[Status]]="Delivered",IF(Clean_Data[[#This Row],[DeliveryMinutes]]&lt;=Dashboard!$X$5,1,0),0)</f>
        <v>1</v>
      </c>
      <c r="Y2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2" s="3">
        <f>IF(AND(Clean_Data[[#This Row],[Include]]=1,Clean_Data[[#This Row],[DeliveredFlag]]=1),1,0)</f>
        <v>1</v>
      </c>
      <c r="AA272" s="1">
        <f>IF(COUNTIF($D$2:D272,D272)=1,ROW()-1,ROWS(Clean_Data[OrderID])+1)</f>
        <v>901</v>
      </c>
      <c r="AB272" s="1">
        <f>IF(COUNTIF($F$2:F272,F272)=1,ROW()-1,ROWS(Clean_Data[OrderID])+1)</f>
        <v>901</v>
      </c>
      <c r="AC272" s="1">
        <f>IF(COUNTIF($G$2:G272,G272)=1,ROW()-1,ROWS(Clean_Data[OrderID])+1)</f>
        <v>901</v>
      </c>
      <c r="AD272" s="1">
        <f>IF(COUNTIF($H$2:H272,H272)=1,ROW()-1,ROWS(Clean_Data[OrderID])+1)</f>
        <v>901</v>
      </c>
      <c r="AE272" s="1">
        <f>IF(COUNTIF($V$2:V272,V272)=1,V272,ROWS(Clean_Data[OrderID])+1)</f>
        <v>901</v>
      </c>
      <c r="AF272" s="1">
        <f>IF(COUNTIF($U$2:U272,U272)=1,U272,ROWS(Clean_Data[OrderID])+1)</f>
        <v>901</v>
      </c>
      <c r="AG272" s="1">
        <f>IF(COUNTIF($E$2:E272,E272)=1,ROW()-1,ROWS(Clean_Data[OrderID])+1)</f>
        <v>901</v>
      </c>
    </row>
    <row r="273" spans="1:33" ht="20" customHeight="1">
      <c r="A273" s="3" t="s">
        <v>575</v>
      </c>
      <c r="B273" s="2">
        <v>46275</v>
      </c>
      <c r="C273" s="3">
        <v>10</v>
      </c>
      <c r="D273" s="3" t="s">
        <v>576</v>
      </c>
      <c r="E273" s="3" t="s">
        <v>91</v>
      </c>
      <c r="F273" s="3" t="s">
        <v>92</v>
      </c>
      <c r="G273" s="3" t="s">
        <v>122</v>
      </c>
      <c r="H273" s="3" t="s">
        <v>123</v>
      </c>
      <c r="I273" s="3">
        <v>6</v>
      </c>
      <c r="J273" s="11">
        <v>45</v>
      </c>
      <c r="K273" s="4">
        <v>0</v>
      </c>
      <c r="L273" s="3" t="s">
        <v>95</v>
      </c>
      <c r="M273" s="3">
        <v>19</v>
      </c>
      <c r="N273" s="3">
        <v>12</v>
      </c>
      <c r="O273" s="3">
        <v>4</v>
      </c>
      <c r="P273" s="11">
        <f>Clean_Data[[#This Row],[Quantity]]*Clean_Data[[#This Row],[UnitPrice]]</f>
        <v>270</v>
      </c>
      <c r="Q273" s="11">
        <f>ROUND(Clean_Data[[#This Row],[GrossSales]]*Clean_Data[[#This Row],[DiscountPct]],2)</f>
        <v>0</v>
      </c>
      <c r="R273" s="11">
        <f>IF(Clean_Data[[#This Row],[Status]]="Delivered",ROUND(Clean_Data[[#This Row],[GrossSales]]-Clean_Data[[#This Row],[DiscountAmount]],2),0)</f>
        <v>270</v>
      </c>
      <c r="S273" s="3" t="str">
        <f>IF(Clean_Data[[#This Row],[OrderHour]]&lt;6,"Night",IF(Clean_Data[[#This Row],[OrderHour]]&lt;12,"Morning",IF(Clean_Data[[#This Row],[OrderHour]]&lt;18,"Afternoon","Evening")))</f>
        <v>Morning</v>
      </c>
      <c r="T273" s="3" t="str">
        <f>TEXT(Clean_Data[[#This Row],[OrderDate]],"[$-409]ddd")</f>
        <v>Thu</v>
      </c>
      <c r="U273" s="3">
        <f>WEEKDAY(Clean_Data[[#This Row],[OrderDate]],2)</f>
        <v>4</v>
      </c>
      <c r="V273" s="3">
        <f>INT(Clean_Data[[#This Row],[OrderHour]]/6)+1</f>
        <v>2</v>
      </c>
      <c r="W273" s="3">
        <f>IF(Clean_Data[[#This Row],[Status]]="Delivered",1,0)</f>
        <v>1</v>
      </c>
      <c r="X273" s="3">
        <f>IF(Clean_Data[[#This Row],[Status]]="Delivered",IF(Clean_Data[[#This Row],[DeliveryMinutes]]&lt;=Dashboard!$X$5,1,0),0)</f>
        <v>1</v>
      </c>
      <c r="Y2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3" s="3">
        <f>IF(AND(Clean_Data[[#This Row],[Include]]=1,Clean_Data[[#This Row],[DeliveredFlag]]=1),1,0)</f>
        <v>1</v>
      </c>
      <c r="AA273" s="1">
        <f>IF(COUNTIF($D$2:D273,D273)=1,ROW()-1,ROWS(Clean_Data[OrderID])+1)</f>
        <v>272</v>
      </c>
      <c r="AB273" s="1">
        <f>IF(COUNTIF($F$2:F273,F273)=1,ROW()-1,ROWS(Clean_Data[OrderID])+1)</f>
        <v>901</v>
      </c>
      <c r="AC273" s="1">
        <f>IF(COUNTIF($G$2:G273,G273)=1,ROW()-1,ROWS(Clean_Data[OrderID])+1)</f>
        <v>901</v>
      </c>
      <c r="AD273" s="1">
        <f>IF(COUNTIF($H$2:H273,H273)=1,ROW()-1,ROWS(Clean_Data[OrderID])+1)</f>
        <v>901</v>
      </c>
      <c r="AE273" s="1">
        <f>IF(COUNTIF($V$2:V273,V273)=1,V273,ROWS(Clean_Data[OrderID])+1)</f>
        <v>901</v>
      </c>
      <c r="AF273" s="1">
        <f>IF(COUNTIF($U$2:U273,U273)=1,U273,ROWS(Clean_Data[OrderID])+1)</f>
        <v>901</v>
      </c>
      <c r="AG273" s="1">
        <f>IF(COUNTIF($E$2:E273,E273)=1,ROW()-1,ROWS(Clean_Data[OrderID])+1)</f>
        <v>901</v>
      </c>
    </row>
    <row r="274" spans="1:33" ht="20" customHeight="1">
      <c r="A274" s="3" t="s">
        <v>577</v>
      </c>
      <c r="B274" s="2">
        <v>46275</v>
      </c>
      <c r="C274" s="3">
        <v>10</v>
      </c>
      <c r="D274" s="3" t="s">
        <v>276</v>
      </c>
      <c r="E274" s="3" t="s">
        <v>117</v>
      </c>
      <c r="F274" s="3" t="s">
        <v>109</v>
      </c>
      <c r="G274" s="3" t="s">
        <v>99</v>
      </c>
      <c r="H274" s="3" t="s">
        <v>100</v>
      </c>
      <c r="I274" s="3">
        <v>4</v>
      </c>
      <c r="J274" s="11">
        <v>120</v>
      </c>
      <c r="K274" s="4">
        <v>0</v>
      </c>
      <c r="L274" s="3" t="s">
        <v>95</v>
      </c>
      <c r="M274" s="3">
        <v>33</v>
      </c>
      <c r="N274" s="3">
        <v>7</v>
      </c>
      <c r="O274" s="3">
        <v>5</v>
      </c>
      <c r="P274" s="11">
        <f>Clean_Data[[#This Row],[Quantity]]*Clean_Data[[#This Row],[UnitPrice]]</f>
        <v>480</v>
      </c>
      <c r="Q274" s="11">
        <f>ROUND(Clean_Data[[#This Row],[GrossSales]]*Clean_Data[[#This Row],[DiscountPct]],2)</f>
        <v>0</v>
      </c>
      <c r="R274" s="11">
        <f>IF(Clean_Data[[#This Row],[Status]]="Delivered",ROUND(Clean_Data[[#This Row],[GrossSales]]-Clean_Data[[#This Row],[DiscountAmount]],2),0)</f>
        <v>480</v>
      </c>
      <c r="S274" s="3" t="str">
        <f>IF(Clean_Data[[#This Row],[OrderHour]]&lt;6,"Night",IF(Clean_Data[[#This Row],[OrderHour]]&lt;12,"Morning",IF(Clean_Data[[#This Row],[OrderHour]]&lt;18,"Afternoon","Evening")))</f>
        <v>Morning</v>
      </c>
      <c r="T274" s="3" t="str">
        <f>TEXT(Clean_Data[[#This Row],[OrderDate]],"[$-409]ddd")</f>
        <v>Thu</v>
      </c>
      <c r="U274" s="3">
        <f>WEEKDAY(Clean_Data[[#This Row],[OrderDate]],2)</f>
        <v>4</v>
      </c>
      <c r="V274" s="3">
        <f>INT(Clean_Data[[#This Row],[OrderHour]]/6)+1</f>
        <v>2</v>
      </c>
      <c r="W274" s="3">
        <f>IF(Clean_Data[[#This Row],[Status]]="Delivered",1,0)</f>
        <v>1</v>
      </c>
      <c r="X274" s="3">
        <f>IF(Clean_Data[[#This Row],[Status]]="Delivered",IF(Clean_Data[[#This Row],[DeliveryMinutes]]&lt;=Dashboard!$X$5,1,0),0)</f>
        <v>0</v>
      </c>
      <c r="Y2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4" s="3">
        <f>IF(AND(Clean_Data[[#This Row],[Include]]=1,Clean_Data[[#This Row],[DeliveredFlag]]=1),1,0)</f>
        <v>1</v>
      </c>
      <c r="AA274" s="1">
        <f>IF(COUNTIF($D$2:D274,D274)=1,ROW()-1,ROWS(Clean_Data[OrderID])+1)</f>
        <v>901</v>
      </c>
      <c r="AB274" s="1">
        <f>IF(COUNTIF($F$2:F274,F274)=1,ROW()-1,ROWS(Clean_Data[OrderID])+1)</f>
        <v>901</v>
      </c>
      <c r="AC274" s="1">
        <f>IF(COUNTIF($G$2:G274,G274)=1,ROW()-1,ROWS(Clean_Data[OrderID])+1)</f>
        <v>901</v>
      </c>
      <c r="AD274" s="1">
        <f>IF(COUNTIF($H$2:H274,H274)=1,ROW()-1,ROWS(Clean_Data[OrderID])+1)</f>
        <v>901</v>
      </c>
      <c r="AE274" s="1">
        <f>IF(COUNTIF($V$2:V274,V274)=1,V274,ROWS(Clean_Data[OrderID])+1)</f>
        <v>901</v>
      </c>
      <c r="AF274" s="1">
        <f>IF(COUNTIF($U$2:U274,U274)=1,U274,ROWS(Clean_Data[OrderID])+1)</f>
        <v>901</v>
      </c>
      <c r="AG274" s="1">
        <f>IF(COUNTIF($E$2:E274,E274)=1,ROW()-1,ROWS(Clean_Data[OrderID])+1)</f>
        <v>901</v>
      </c>
    </row>
    <row r="275" spans="1:33" ht="20" customHeight="1">
      <c r="A275" s="3" t="s">
        <v>578</v>
      </c>
      <c r="B275" s="2">
        <v>46275</v>
      </c>
      <c r="C275" s="3">
        <v>11</v>
      </c>
      <c r="D275" s="3" t="s">
        <v>579</v>
      </c>
      <c r="E275" s="3" t="s">
        <v>117</v>
      </c>
      <c r="F275" s="3" t="s">
        <v>92</v>
      </c>
      <c r="G275" s="3" t="s">
        <v>174</v>
      </c>
      <c r="H275" s="3" t="s">
        <v>274</v>
      </c>
      <c r="I275" s="3">
        <v>5</v>
      </c>
      <c r="J275" s="11">
        <v>90</v>
      </c>
      <c r="K275" s="4">
        <v>0</v>
      </c>
      <c r="L275" s="3" t="s">
        <v>95</v>
      </c>
      <c r="M275" s="3">
        <v>30</v>
      </c>
      <c r="N275" s="3">
        <v>8</v>
      </c>
      <c r="O275" s="3">
        <v>4</v>
      </c>
      <c r="P275" s="11">
        <f>Clean_Data[[#This Row],[Quantity]]*Clean_Data[[#This Row],[UnitPrice]]</f>
        <v>450</v>
      </c>
      <c r="Q275" s="11">
        <f>ROUND(Clean_Data[[#This Row],[GrossSales]]*Clean_Data[[#This Row],[DiscountPct]],2)</f>
        <v>0</v>
      </c>
      <c r="R275" s="11">
        <f>IF(Clean_Data[[#This Row],[Status]]="Delivered",ROUND(Clean_Data[[#This Row],[GrossSales]]-Clean_Data[[#This Row],[DiscountAmount]],2),0)</f>
        <v>450</v>
      </c>
      <c r="S275" s="3" t="str">
        <f>IF(Clean_Data[[#This Row],[OrderHour]]&lt;6,"Night",IF(Clean_Data[[#This Row],[OrderHour]]&lt;12,"Morning",IF(Clean_Data[[#This Row],[OrderHour]]&lt;18,"Afternoon","Evening")))</f>
        <v>Morning</v>
      </c>
      <c r="T275" s="3" t="str">
        <f>TEXT(Clean_Data[[#This Row],[OrderDate]],"[$-409]ddd")</f>
        <v>Thu</v>
      </c>
      <c r="U275" s="3">
        <f>WEEKDAY(Clean_Data[[#This Row],[OrderDate]],2)</f>
        <v>4</v>
      </c>
      <c r="V275" s="3">
        <f>INT(Clean_Data[[#This Row],[OrderHour]]/6)+1</f>
        <v>2</v>
      </c>
      <c r="W275" s="3">
        <f>IF(Clean_Data[[#This Row],[Status]]="Delivered",1,0)</f>
        <v>1</v>
      </c>
      <c r="X275" s="3">
        <f>IF(Clean_Data[[#This Row],[Status]]="Delivered",IF(Clean_Data[[#This Row],[DeliveryMinutes]]&lt;=Dashboard!$X$5,1,0),0)</f>
        <v>1</v>
      </c>
      <c r="Y2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5" s="3">
        <f>IF(AND(Clean_Data[[#This Row],[Include]]=1,Clean_Data[[#This Row],[DeliveredFlag]]=1),1,0)</f>
        <v>1</v>
      </c>
      <c r="AA275" s="1">
        <f>IF(COUNTIF($D$2:D275,D275)=1,ROW()-1,ROWS(Clean_Data[OrderID])+1)</f>
        <v>274</v>
      </c>
      <c r="AB275" s="1">
        <f>IF(COUNTIF($F$2:F275,F275)=1,ROW()-1,ROWS(Clean_Data[OrderID])+1)</f>
        <v>901</v>
      </c>
      <c r="AC275" s="1">
        <f>IF(COUNTIF($G$2:G275,G275)=1,ROW()-1,ROWS(Clean_Data[OrderID])+1)</f>
        <v>901</v>
      </c>
      <c r="AD275" s="1">
        <f>IF(COUNTIF($H$2:H275,H275)=1,ROW()-1,ROWS(Clean_Data[OrderID])+1)</f>
        <v>901</v>
      </c>
      <c r="AE275" s="1">
        <f>IF(COUNTIF($V$2:V275,V275)=1,V275,ROWS(Clean_Data[OrderID])+1)</f>
        <v>901</v>
      </c>
      <c r="AF275" s="1">
        <f>IF(COUNTIF($U$2:U275,U275)=1,U275,ROWS(Clean_Data[OrderID])+1)</f>
        <v>901</v>
      </c>
      <c r="AG275" s="1">
        <f>IF(COUNTIF($E$2:E275,E275)=1,ROW()-1,ROWS(Clean_Data[OrderID])+1)</f>
        <v>901</v>
      </c>
    </row>
    <row r="276" spans="1:33" ht="20" customHeight="1">
      <c r="A276" s="3" t="s">
        <v>580</v>
      </c>
      <c r="B276" s="2">
        <v>46275</v>
      </c>
      <c r="C276" s="3">
        <v>21</v>
      </c>
      <c r="D276" s="3" t="s">
        <v>581</v>
      </c>
      <c r="E276" s="3" t="s">
        <v>117</v>
      </c>
      <c r="F276" s="3" t="s">
        <v>98</v>
      </c>
      <c r="G276" s="3" t="s">
        <v>93</v>
      </c>
      <c r="H276" s="3" t="s">
        <v>94</v>
      </c>
      <c r="I276" s="3">
        <v>5</v>
      </c>
      <c r="J276" s="11">
        <v>95</v>
      </c>
      <c r="K276" s="4">
        <v>0</v>
      </c>
      <c r="L276" s="3" t="s">
        <v>95</v>
      </c>
      <c r="M276" s="3">
        <v>33</v>
      </c>
      <c r="N276" s="3">
        <v>14</v>
      </c>
      <c r="O276" s="3">
        <v>5</v>
      </c>
      <c r="P276" s="11">
        <f>Clean_Data[[#This Row],[Quantity]]*Clean_Data[[#This Row],[UnitPrice]]</f>
        <v>475</v>
      </c>
      <c r="Q276" s="11">
        <f>ROUND(Clean_Data[[#This Row],[GrossSales]]*Clean_Data[[#This Row],[DiscountPct]],2)</f>
        <v>0</v>
      </c>
      <c r="R276" s="11">
        <f>IF(Clean_Data[[#This Row],[Status]]="Delivered",ROUND(Clean_Data[[#This Row],[GrossSales]]-Clean_Data[[#This Row],[DiscountAmount]],2),0)</f>
        <v>475</v>
      </c>
      <c r="S276" s="3" t="str">
        <f>IF(Clean_Data[[#This Row],[OrderHour]]&lt;6,"Night",IF(Clean_Data[[#This Row],[OrderHour]]&lt;12,"Morning",IF(Clean_Data[[#This Row],[OrderHour]]&lt;18,"Afternoon","Evening")))</f>
        <v>Evening</v>
      </c>
      <c r="T276" s="3" t="str">
        <f>TEXT(Clean_Data[[#This Row],[OrderDate]],"[$-409]ddd")</f>
        <v>Thu</v>
      </c>
      <c r="U276" s="3">
        <f>WEEKDAY(Clean_Data[[#This Row],[OrderDate]],2)</f>
        <v>4</v>
      </c>
      <c r="V276" s="3">
        <f>INT(Clean_Data[[#This Row],[OrderHour]]/6)+1</f>
        <v>4</v>
      </c>
      <c r="W276" s="3">
        <f>IF(Clean_Data[[#This Row],[Status]]="Delivered",1,0)</f>
        <v>1</v>
      </c>
      <c r="X276" s="3">
        <f>IF(Clean_Data[[#This Row],[Status]]="Delivered",IF(Clean_Data[[#This Row],[DeliveryMinutes]]&lt;=Dashboard!$X$5,1,0),0)</f>
        <v>0</v>
      </c>
      <c r="Y2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6" s="3">
        <f>IF(AND(Clean_Data[[#This Row],[Include]]=1,Clean_Data[[#This Row],[DeliveredFlag]]=1),1,0)</f>
        <v>1</v>
      </c>
      <c r="AA276" s="1">
        <f>IF(COUNTIF($D$2:D276,D276)=1,ROW()-1,ROWS(Clean_Data[OrderID])+1)</f>
        <v>275</v>
      </c>
      <c r="AB276" s="1">
        <f>IF(COUNTIF($F$2:F276,F276)=1,ROW()-1,ROWS(Clean_Data[OrderID])+1)</f>
        <v>901</v>
      </c>
      <c r="AC276" s="1">
        <f>IF(COUNTIF($G$2:G276,G276)=1,ROW()-1,ROWS(Clean_Data[OrderID])+1)</f>
        <v>901</v>
      </c>
      <c r="AD276" s="1">
        <f>IF(COUNTIF($H$2:H276,H276)=1,ROW()-1,ROWS(Clean_Data[OrderID])+1)</f>
        <v>901</v>
      </c>
      <c r="AE276" s="1">
        <f>IF(COUNTIF($V$2:V276,V276)=1,V276,ROWS(Clean_Data[OrderID])+1)</f>
        <v>901</v>
      </c>
      <c r="AF276" s="1">
        <f>IF(COUNTIF($U$2:U276,U276)=1,U276,ROWS(Clean_Data[OrderID])+1)</f>
        <v>901</v>
      </c>
      <c r="AG276" s="1">
        <f>IF(COUNTIF($E$2:E276,E276)=1,ROW()-1,ROWS(Clean_Data[OrderID])+1)</f>
        <v>901</v>
      </c>
    </row>
    <row r="277" spans="1:33" ht="20" customHeight="1">
      <c r="A277" s="3" t="s">
        <v>582</v>
      </c>
      <c r="B277" s="2">
        <v>46275</v>
      </c>
      <c r="C277" s="3">
        <v>18</v>
      </c>
      <c r="D277" s="3" t="s">
        <v>417</v>
      </c>
      <c r="E277" s="3" t="s">
        <v>91</v>
      </c>
      <c r="F277" s="3" t="s">
        <v>121</v>
      </c>
      <c r="G277" s="3" t="s">
        <v>93</v>
      </c>
      <c r="H277" s="3" t="s">
        <v>94</v>
      </c>
      <c r="I277" s="3">
        <v>4</v>
      </c>
      <c r="J277" s="11">
        <v>95</v>
      </c>
      <c r="K277" s="4">
        <v>0.15</v>
      </c>
      <c r="L277" s="3" t="s">
        <v>95</v>
      </c>
      <c r="M277" s="3">
        <v>31</v>
      </c>
      <c r="N277" s="3">
        <v>12</v>
      </c>
      <c r="O277" s="3">
        <v>5</v>
      </c>
      <c r="P277" s="11">
        <f>Clean_Data[[#This Row],[Quantity]]*Clean_Data[[#This Row],[UnitPrice]]</f>
        <v>380</v>
      </c>
      <c r="Q277" s="11">
        <f>ROUND(Clean_Data[[#This Row],[GrossSales]]*Clean_Data[[#This Row],[DiscountPct]],2)</f>
        <v>57</v>
      </c>
      <c r="R277" s="11">
        <f>IF(Clean_Data[[#This Row],[Status]]="Delivered",ROUND(Clean_Data[[#This Row],[GrossSales]]-Clean_Data[[#This Row],[DiscountAmount]],2),0)</f>
        <v>323</v>
      </c>
      <c r="S277" s="3" t="str">
        <f>IF(Clean_Data[[#This Row],[OrderHour]]&lt;6,"Night",IF(Clean_Data[[#This Row],[OrderHour]]&lt;12,"Morning",IF(Clean_Data[[#This Row],[OrderHour]]&lt;18,"Afternoon","Evening")))</f>
        <v>Evening</v>
      </c>
      <c r="T277" s="3" t="str">
        <f>TEXT(Clean_Data[[#This Row],[OrderDate]],"[$-409]ddd")</f>
        <v>Thu</v>
      </c>
      <c r="U277" s="3">
        <f>WEEKDAY(Clean_Data[[#This Row],[OrderDate]],2)</f>
        <v>4</v>
      </c>
      <c r="V277" s="3">
        <f>INT(Clean_Data[[#This Row],[OrderHour]]/6)+1</f>
        <v>4</v>
      </c>
      <c r="W277" s="3">
        <f>IF(Clean_Data[[#This Row],[Status]]="Delivered",1,0)</f>
        <v>1</v>
      </c>
      <c r="X277" s="3">
        <f>IF(Clean_Data[[#This Row],[Status]]="Delivered",IF(Clean_Data[[#This Row],[DeliveryMinutes]]&lt;=Dashboard!$X$5,1,0),0)</f>
        <v>0</v>
      </c>
      <c r="Y2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7" s="3">
        <f>IF(AND(Clean_Data[[#This Row],[Include]]=1,Clean_Data[[#This Row],[DeliveredFlag]]=1),1,0)</f>
        <v>1</v>
      </c>
      <c r="AA277" s="1">
        <f>IF(COUNTIF($D$2:D277,D277)=1,ROW()-1,ROWS(Clean_Data[OrderID])+1)</f>
        <v>901</v>
      </c>
      <c r="AB277" s="1">
        <f>IF(COUNTIF($F$2:F277,F277)=1,ROW()-1,ROWS(Clean_Data[OrderID])+1)</f>
        <v>901</v>
      </c>
      <c r="AC277" s="1">
        <f>IF(COUNTIF($G$2:G277,G277)=1,ROW()-1,ROWS(Clean_Data[OrderID])+1)</f>
        <v>901</v>
      </c>
      <c r="AD277" s="1">
        <f>IF(COUNTIF($H$2:H277,H277)=1,ROW()-1,ROWS(Clean_Data[OrderID])+1)</f>
        <v>901</v>
      </c>
      <c r="AE277" s="1">
        <f>IF(COUNTIF($V$2:V277,V277)=1,V277,ROWS(Clean_Data[OrderID])+1)</f>
        <v>901</v>
      </c>
      <c r="AF277" s="1">
        <f>IF(COUNTIF($U$2:U277,U277)=1,U277,ROWS(Clean_Data[OrderID])+1)</f>
        <v>901</v>
      </c>
      <c r="AG277" s="1">
        <f>IF(COUNTIF($E$2:E277,E277)=1,ROW()-1,ROWS(Clean_Data[OrderID])+1)</f>
        <v>901</v>
      </c>
    </row>
    <row r="278" spans="1:33" ht="20" customHeight="1">
      <c r="A278" s="3" t="s">
        <v>583</v>
      </c>
      <c r="B278" s="2">
        <v>46275</v>
      </c>
      <c r="C278" s="3">
        <v>8</v>
      </c>
      <c r="D278" s="3" t="s">
        <v>106</v>
      </c>
      <c r="E278" s="3" t="s">
        <v>91</v>
      </c>
      <c r="F278" s="3" t="s">
        <v>98</v>
      </c>
      <c r="G278" s="3" t="s">
        <v>93</v>
      </c>
      <c r="H278" s="3" t="s">
        <v>146</v>
      </c>
      <c r="I278" s="3">
        <v>5</v>
      </c>
      <c r="J278" s="11">
        <v>110</v>
      </c>
      <c r="K278" s="4">
        <v>0.15</v>
      </c>
      <c r="L278" s="3" t="s">
        <v>95</v>
      </c>
      <c r="M278" s="3">
        <v>30</v>
      </c>
      <c r="N278" s="3">
        <v>12</v>
      </c>
      <c r="O278" s="3">
        <v>5</v>
      </c>
      <c r="P278" s="11">
        <f>Clean_Data[[#This Row],[Quantity]]*Clean_Data[[#This Row],[UnitPrice]]</f>
        <v>550</v>
      </c>
      <c r="Q278" s="11">
        <f>ROUND(Clean_Data[[#This Row],[GrossSales]]*Clean_Data[[#This Row],[DiscountPct]],2)</f>
        <v>82.5</v>
      </c>
      <c r="R278" s="11">
        <f>IF(Clean_Data[[#This Row],[Status]]="Delivered",ROUND(Clean_Data[[#This Row],[GrossSales]]-Clean_Data[[#This Row],[DiscountAmount]],2),0)</f>
        <v>467.5</v>
      </c>
      <c r="S278" s="3" t="str">
        <f>IF(Clean_Data[[#This Row],[OrderHour]]&lt;6,"Night",IF(Clean_Data[[#This Row],[OrderHour]]&lt;12,"Morning",IF(Clean_Data[[#This Row],[OrderHour]]&lt;18,"Afternoon","Evening")))</f>
        <v>Morning</v>
      </c>
      <c r="T278" s="3" t="str">
        <f>TEXT(Clean_Data[[#This Row],[OrderDate]],"[$-409]ddd")</f>
        <v>Thu</v>
      </c>
      <c r="U278" s="3">
        <f>WEEKDAY(Clean_Data[[#This Row],[OrderDate]],2)</f>
        <v>4</v>
      </c>
      <c r="V278" s="3">
        <f>INT(Clean_Data[[#This Row],[OrderHour]]/6)+1</f>
        <v>2</v>
      </c>
      <c r="W278" s="3">
        <f>IF(Clean_Data[[#This Row],[Status]]="Delivered",1,0)</f>
        <v>1</v>
      </c>
      <c r="X278" s="3">
        <f>IF(Clean_Data[[#This Row],[Status]]="Delivered",IF(Clean_Data[[#This Row],[DeliveryMinutes]]&lt;=Dashboard!$X$5,1,0),0)</f>
        <v>1</v>
      </c>
      <c r="Y2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8" s="3">
        <f>IF(AND(Clean_Data[[#This Row],[Include]]=1,Clean_Data[[#This Row],[DeliveredFlag]]=1),1,0)</f>
        <v>1</v>
      </c>
      <c r="AA278" s="1">
        <f>IF(COUNTIF($D$2:D278,D278)=1,ROW()-1,ROWS(Clean_Data[OrderID])+1)</f>
        <v>901</v>
      </c>
      <c r="AB278" s="1">
        <f>IF(COUNTIF($F$2:F278,F278)=1,ROW()-1,ROWS(Clean_Data[OrderID])+1)</f>
        <v>901</v>
      </c>
      <c r="AC278" s="1">
        <f>IF(COUNTIF($G$2:G278,G278)=1,ROW()-1,ROWS(Clean_Data[OrderID])+1)</f>
        <v>901</v>
      </c>
      <c r="AD278" s="1">
        <f>IF(COUNTIF($H$2:H278,H278)=1,ROW()-1,ROWS(Clean_Data[OrderID])+1)</f>
        <v>901</v>
      </c>
      <c r="AE278" s="1">
        <f>IF(COUNTIF($V$2:V278,V278)=1,V278,ROWS(Clean_Data[OrderID])+1)</f>
        <v>901</v>
      </c>
      <c r="AF278" s="1">
        <f>IF(COUNTIF($U$2:U278,U278)=1,U278,ROWS(Clean_Data[OrderID])+1)</f>
        <v>901</v>
      </c>
      <c r="AG278" s="1">
        <f>IF(COUNTIF($E$2:E278,E278)=1,ROW()-1,ROWS(Clean_Data[OrderID])+1)</f>
        <v>901</v>
      </c>
    </row>
    <row r="279" spans="1:33" ht="20" customHeight="1">
      <c r="A279" s="3" t="s">
        <v>584</v>
      </c>
      <c r="B279" s="2">
        <v>46275</v>
      </c>
      <c r="C279" s="3">
        <v>15</v>
      </c>
      <c r="D279" s="3" t="s">
        <v>351</v>
      </c>
      <c r="E279" s="3" t="s">
        <v>91</v>
      </c>
      <c r="F279" s="3" t="s">
        <v>92</v>
      </c>
      <c r="G279" s="3" t="s">
        <v>122</v>
      </c>
      <c r="H279" s="3" t="s">
        <v>123</v>
      </c>
      <c r="I279" s="3">
        <v>6</v>
      </c>
      <c r="J279" s="11">
        <v>45</v>
      </c>
      <c r="K279" s="4">
        <v>0.05</v>
      </c>
      <c r="L279" s="3" t="s">
        <v>95</v>
      </c>
      <c r="M279" s="3">
        <v>33</v>
      </c>
      <c r="N279" s="3">
        <v>11</v>
      </c>
      <c r="O279" s="3">
        <v>3</v>
      </c>
      <c r="P279" s="11">
        <f>Clean_Data[[#This Row],[Quantity]]*Clean_Data[[#This Row],[UnitPrice]]</f>
        <v>270</v>
      </c>
      <c r="Q279" s="11">
        <f>ROUND(Clean_Data[[#This Row],[GrossSales]]*Clean_Data[[#This Row],[DiscountPct]],2)</f>
        <v>13.5</v>
      </c>
      <c r="R279" s="11">
        <f>IF(Clean_Data[[#This Row],[Status]]="Delivered",ROUND(Clean_Data[[#This Row],[GrossSales]]-Clean_Data[[#This Row],[DiscountAmount]],2),0)</f>
        <v>256.5</v>
      </c>
      <c r="S279" s="3" t="str">
        <f>IF(Clean_Data[[#This Row],[OrderHour]]&lt;6,"Night",IF(Clean_Data[[#This Row],[OrderHour]]&lt;12,"Morning",IF(Clean_Data[[#This Row],[OrderHour]]&lt;18,"Afternoon","Evening")))</f>
        <v>Afternoon</v>
      </c>
      <c r="T279" s="3" t="str">
        <f>TEXT(Clean_Data[[#This Row],[OrderDate]],"[$-409]ddd")</f>
        <v>Thu</v>
      </c>
      <c r="U279" s="3">
        <f>WEEKDAY(Clean_Data[[#This Row],[OrderDate]],2)</f>
        <v>4</v>
      </c>
      <c r="V279" s="3">
        <f>INT(Clean_Data[[#This Row],[OrderHour]]/6)+1</f>
        <v>3</v>
      </c>
      <c r="W279" s="3">
        <f>IF(Clean_Data[[#This Row],[Status]]="Delivered",1,0)</f>
        <v>1</v>
      </c>
      <c r="X279" s="3">
        <f>IF(Clean_Data[[#This Row],[Status]]="Delivered",IF(Clean_Data[[#This Row],[DeliveryMinutes]]&lt;=Dashboard!$X$5,1,0),0)</f>
        <v>0</v>
      </c>
      <c r="Y2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79" s="3">
        <f>IF(AND(Clean_Data[[#This Row],[Include]]=1,Clean_Data[[#This Row],[DeliveredFlag]]=1),1,0)</f>
        <v>1</v>
      </c>
      <c r="AA279" s="1">
        <f>IF(COUNTIF($D$2:D279,D279)=1,ROW()-1,ROWS(Clean_Data[OrderID])+1)</f>
        <v>901</v>
      </c>
      <c r="AB279" s="1">
        <f>IF(COUNTIF($F$2:F279,F279)=1,ROW()-1,ROWS(Clean_Data[OrderID])+1)</f>
        <v>901</v>
      </c>
      <c r="AC279" s="1">
        <f>IF(COUNTIF($G$2:G279,G279)=1,ROW()-1,ROWS(Clean_Data[OrderID])+1)</f>
        <v>901</v>
      </c>
      <c r="AD279" s="1">
        <f>IF(COUNTIF($H$2:H279,H279)=1,ROW()-1,ROWS(Clean_Data[OrderID])+1)</f>
        <v>901</v>
      </c>
      <c r="AE279" s="1">
        <f>IF(COUNTIF($V$2:V279,V279)=1,V279,ROWS(Clean_Data[OrderID])+1)</f>
        <v>901</v>
      </c>
      <c r="AF279" s="1">
        <f>IF(COUNTIF($U$2:U279,U279)=1,U279,ROWS(Clean_Data[OrderID])+1)</f>
        <v>901</v>
      </c>
      <c r="AG279" s="1">
        <f>IF(COUNTIF($E$2:E279,E279)=1,ROW()-1,ROWS(Clean_Data[OrderID])+1)</f>
        <v>901</v>
      </c>
    </row>
    <row r="280" spans="1:33" ht="20" customHeight="1">
      <c r="A280" s="3" t="s">
        <v>585</v>
      </c>
      <c r="B280" s="2">
        <v>46275</v>
      </c>
      <c r="C280" s="3">
        <v>11</v>
      </c>
      <c r="D280" s="3" t="s">
        <v>236</v>
      </c>
      <c r="E280" s="3" t="s">
        <v>91</v>
      </c>
      <c r="F280" s="3" t="s">
        <v>98</v>
      </c>
      <c r="G280" s="3" t="s">
        <v>110</v>
      </c>
      <c r="H280" s="3" t="s">
        <v>114</v>
      </c>
      <c r="I280" s="3">
        <v>4</v>
      </c>
      <c r="J280" s="11">
        <v>145</v>
      </c>
      <c r="K280" s="4">
        <v>0.15</v>
      </c>
      <c r="L280" s="3" t="s">
        <v>101</v>
      </c>
      <c r="M280" s="3"/>
      <c r="N280" s="3"/>
      <c r="O280" s="3"/>
      <c r="P280" s="11">
        <f>Clean_Data[[#This Row],[Quantity]]*Clean_Data[[#This Row],[UnitPrice]]</f>
        <v>580</v>
      </c>
      <c r="Q280" s="11">
        <f>ROUND(Clean_Data[[#This Row],[GrossSales]]*Clean_Data[[#This Row],[DiscountPct]],2)</f>
        <v>87</v>
      </c>
      <c r="R280" s="11">
        <f>IF(Clean_Data[[#This Row],[Status]]="Delivered",ROUND(Clean_Data[[#This Row],[GrossSales]]-Clean_Data[[#This Row],[DiscountAmount]],2),0)</f>
        <v>0</v>
      </c>
      <c r="S280" s="3" t="str">
        <f>IF(Clean_Data[[#This Row],[OrderHour]]&lt;6,"Night",IF(Clean_Data[[#This Row],[OrderHour]]&lt;12,"Morning",IF(Clean_Data[[#This Row],[OrderHour]]&lt;18,"Afternoon","Evening")))</f>
        <v>Morning</v>
      </c>
      <c r="T280" s="3" t="str">
        <f>TEXT(Clean_Data[[#This Row],[OrderDate]],"[$-409]ddd")</f>
        <v>Thu</v>
      </c>
      <c r="U280" s="3">
        <f>WEEKDAY(Clean_Data[[#This Row],[OrderDate]],2)</f>
        <v>4</v>
      </c>
      <c r="V280" s="3">
        <f>INT(Clean_Data[[#This Row],[OrderHour]]/6)+1</f>
        <v>2</v>
      </c>
      <c r="W280" s="3">
        <f>IF(Clean_Data[[#This Row],[Status]]="Delivered",1,0)</f>
        <v>0</v>
      </c>
      <c r="X280" s="3">
        <f>IF(Clean_Data[[#This Row],[Status]]="Delivered",IF(Clean_Data[[#This Row],[DeliveryMinutes]]&lt;=Dashboard!$X$5,1,0),0)</f>
        <v>0</v>
      </c>
      <c r="Y2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0" s="3">
        <f>IF(AND(Clean_Data[[#This Row],[Include]]=1,Clean_Data[[#This Row],[DeliveredFlag]]=1),1,0)</f>
        <v>0</v>
      </c>
      <c r="AA280" s="1">
        <f>IF(COUNTIF($D$2:D280,D280)=1,ROW()-1,ROWS(Clean_Data[OrderID])+1)</f>
        <v>901</v>
      </c>
      <c r="AB280" s="1">
        <f>IF(COUNTIF($F$2:F280,F280)=1,ROW()-1,ROWS(Clean_Data[OrderID])+1)</f>
        <v>901</v>
      </c>
      <c r="AC280" s="1">
        <f>IF(COUNTIF($G$2:G280,G280)=1,ROW()-1,ROWS(Clean_Data[OrderID])+1)</f>
        <v>901</v>
      </c>
      <c r="AD280" s="1">
        <f>IF(COUNTIF($H$2:H280,H280)=1,ROW()-1,ROWS(Clean_Data[OrderID])+1)</f>
        <v>901</v>
      </c>
      <c r="AE280" s="1">
        <f>IF(COUNTIF($V$2:V280,V280)=1,V280,ROWS(Clean_Data[OrderID])+1)</f>
        <v>901</v>
      </c>
      <c r="AF280" s="1">
        <f>IF(COUNTIF($U$2:U280,U280)=1,U280,ROWS(Clean_Data[OrderID])+1)</f>
        <v>901</v>
      </c>
      <c r="AG280" s="1">
        <f>IF(COUNTIF($E$2:E280,E280)=1,ROW()-1,ROWS(Clean_Data[OrderID])+1)</f>
        <v>901</v>
      </c>
    </row>
    <row r="281" spans="1:33" ht="20" customHeight="1">
      <c r="A281" s="3" t="s">
        <v>586</v>
      </c>
      <c r="B281" s="2">
        <v>46275</v>
      </c>
      <c r="C281" s="3">
        <v>11</v>
      </c>
      <c r="D281" s="3" t="s">
        <v>587</v>
      </c>
      <c r="E281" s="3" t="s">
        <v>91</v>
      </c>
      <c r="F281" s="3" t="s">
        <v>139</v>
      </c>
      <c r="G281" s="3" t="s">
        <v>110</v>
      </c>
      <c r="H281" s="3" t="s">
        <v>114</v>
      </c>
      <c r="I281" s="3">
        <v>2</v>
      </c>
      <c r="J281" s="11">
        <v>145</v>
      </c>
      <c r="K281" s="4">
        <v>0.1</v>
      </c>
      <c r="L281" s="3" t="s">
        <v>101</v>
      </c>
      <c r="M281" s="3"/>
      <c r="N281" s="3"/>
      <c r="O281" s="3"/>
      <c r="P281" s="11">
        <f>Clean_Data[[#This Row],[Quantity]]*Clean_Data[[#This Row],[UnitPrice]]</f>
        <v>290</v>
      </c>
      <c r="Q281" s="11">
        <f>ROUND(Clean_Data[[#This Row],[GrossSales]]*Clean_Data[[#This Row],[DiscountPct]],2)</f>
        <v>29</v>
      </c>
      <c r="R281" s="11">
        <f>IF(Clean_Data[[#This Row],[Status]]="Delivered",ROUND(Clean_Data[[#This Row],[GrossSales]]-Clean_Data[[#This Row],[DiscountAmount]],2),0)</f>
        <v>0</v>
      </c>
      <c r="S281" s="3" t="str">
        <f>IF(Clean_Data[[#This Row],[OrderHour]]&lt;6,"Night",IF(Clean_Data[[#This Row],[OrderHour]]&lt;12,"Morning",IF(Clean_Data[[#This Row],[OrderHour]]&lt;18,"Afternoon","Evening")))</f>
        <v>Morning</v>
      </c>
      <c r="T281" s="3" t="str">
        <f>TEXT(Clean_Data[[#This Row],[OrderDate]],"[$-409]ddd")</f>
        <v>Thu</v>
      </c>
      <c r="U281" s="3">
        <f>WEEKDAY(Clean_Data[[#This Row],[OrderDate]],2)</f>
        <v>4</v>
      </c>
      <c r="V281" s="3">
        <f>INT(Clean_Data[[#This Row],[OrderHour]]/6)+1</f>
        <v>2</v>
      </c>
      <c r="W281" s="3">
        <f>IF(Clean_Data[[#This Row],[Status]]="Delivered",1,0)</f>
        <v>0</v>
      </c>
      <c r="X281" s="3">
        <f>IF(Clean_Data[[#This Row],[Status]]="Delivered",IF(Clean_Data[[#This Row],[DeliveryMinutes]]&lt;=Dashboard!$X$5,1,0),0)</f>
        <v>0</v>
      </c>
      <c r="Y2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1" s="3">
        <f>IF(AND(Clean_Data[[#This Row],[Include]]=1,Clean_Data[[#This Row],[DeliveredFlag]]=1),1,0)</f>
        <v>0</v>
      </c>
      <c r="AA281" s="1">
        <f>IF(COUNTIF($D$2:D281,D281)=1,ROW()-1,ROWS(Clean_Data[OrderID])+1)</f>
        <v>280</v>
      </c>
      <c r="AB281" s="1">
        <f>IF(COUNTIF($F$2:F281,F281)=1,ROW()-1,ROWS(Clean_Data[OrderID])+1)</f>
        <v>901</v>
      </c>
      <c r="AC281" s="1">
        <f>IF(COUNTIF($G$2:G281,G281)=1,ROW()-1,ROWS(Clean_Data[OrderID])+1)</f>
        <v>901</v>
      </c>
      <c r="AD281" s="1">
        <f>IF(COUNTIF($H$2:H281,H281)=1,ROW()-1,ROWS(Clean_Data[OrderID])+1)</f>
        <v>901</v>
      </c>
      <c r="AE281" s="1">
        <f>IF(COUNTIF($V$2:V281,V281)=1,V281,ROWS(Clean_Data[OrderID])+1)</f>
        <v>901</v>
      </c>
      <c r="AF281" s="1">
        <f>IF(COUNTIF($U$2:U281,U281)=1,U281,ROWS(Clean_Data[OrderID])+1)</f>
        <v>901</v>
      </c>
      <c r="AG281" s="1">
        <f>IF(COUNTIF($E$2:E281,E281)=1,ROW()-1,ROWS(Clean_Data[OrderID])+1)</f>
        <v>901</v>
      </c>
    </row>
    <row r="282" spans="1:33" ht="20" customHeight="1">
      <c r="A282" s="3" t="s">
        <v>588</v>
      </c>
      <c r="B282" s="2">
        <v>46275</v>
      </c>
      <c r="C282" s="3">
        <v>13</v>
      </c>
      <c r="D282" s="3" t="s">
        <v>589</v>
      </c>
      <c r="E282" s="3" t="s">
        <v>91</v>
      </c>
      <c r="F282" s="3" t="s">
        <v>121</v>
      </c>
      <c r="G282" s="3" t="s">
        <v>99</v>
      </c>
      <c r="H282" s="3" t="s">
        <v>100</v>
      </c>
      <c r="I282" s="3">
        <v>3</v>
      </c>
      <c r="J282" s="11">
        <v>120</v>
      </c>
      <c r="K282" s="4">
        <v>0.1</v>
      </c>
      <c r="L282" s="3" t="s">
        <v>95</v>
      </c>
      <c r="M282" s="3">
        <v>27</v>
      </c>
      <c r="N282" s="3">
        <v>11</v>
      </c>
      <c r="O282" s="3">
        <v>5</v>
      </c>
      <c r="P282" s="11">
        <f>Clean_Data[[#This Row],[Quantity]]*Clean_Data[[#This Row],[UnitPrice]]</f>
        <v>360</v>
      </c>
      <c r="Q282" s="11">
        <f>ROUND(Clean_Data[[#This Row],[GrossSales]]*Clean_Data[[#This Row],[DiscountPct]],2)</f>
        <v>36</v>
      </c>
      <c r="R282" s="11">
        <f>IF(Clean_Data[[#This Row],[Status]]="Delivered",ROUND(Clean_Data[[#This Row],[GrossSales]]-Clean_Data[[#This Row],[DiscountAmount]],2),0)</f>
        <v>324</v>
      </c>
      <c r="S282" s="3" t="str">
        <f>IF(Clean_Data[[#This Row],[OrderHour]]&lt;6,"Night",IF(Clean_Data[[#This Row],[OrderHour]]&lt;12,"Morning",IF(Clean_Data[[#This Row],[OrderHour]]&lt;18,"Afternoon","Evening")))</f>
        <v>Afternoon</v>
      </c>
      <c r="T282" s="3" t="str">
        <f>TEXT(Clean_Data[[#This Row],[OrderDate]],"[$-409]ddd")</f>
        <v>Thu</v>
      </c>
      <c r="U282" s="3">
        <f>WEEKDAY(Clean_Data[[#This Row],[OrderDate]],2)</f>
        <v>4</v>
      </c>
      <c r="V282" s="3">
        <f>INT(Clean_Data[[#This Row],[OrderHour]]/6)+1</f>
        <v>3</v>
      </c>
      <c r="W282" s="3">
        <f>IF(Clean_Data[[#This Row],[Status]]="Delivered",1,0)</f>
        <v>1</v>
      </c>
      <c r="X282" s="3">
        <f>IF(Clean_Data[[#This Row],[Status]]="Delivered",IF(Clean_Data[[#This Row],[DeliveryMinutes]]&lt;=Dashboard!$X$5,1,0),0)</f>
        <v>1</v>
      </c>
      <c r="Y2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2" s="3">
        <f>IF(AND(Clean_Data[[#This Row],[Include]]=1,Clean_Data[[#This Row],[DeliveredFlag]]=1),1,0)</f>
        <v>1</v>
      </c>
      <c r="AA282" s="1">
        <f>IF(COUNTIF($D$2:D282,D282)=1,ROW()-1,ROWS(Clean_Data[OrderID])+1)</f>
        <v>281</v>
      </c>
      <c r="AB282" s="1">
        <f>IF(COUNTIF($F$2:F282,F282)=1,ROW()-1,ROWS(Clean_Data[OrderID])+1)</f>
        <v>901</v>
      </c>
      <c r="AC282" s="1">
        <f>IF(COUNTIF($G$2:G282,G282)=1,ROW()-1,ROWS(Clean_Data[OrderID])+1)</f>
        <v>901</v>
      </c>
      <c r="AD282" s="1">
        <f>IF(COUNTIF($H$2:H282,H282)=1,ROW()-1,ROWS(Clean_Data[OrderID])+1)</f>
        <v>901</v>
      </c>
      <c r="AE282" s="1">
        <f>IF(COUNTIF($V$2:V282,V282)=1,V282,ROWS(Clean_Data[OrderID])+1)</f>
        <v>901</v>
      </c>
      <c r="AF282" s="1">
        <f>IF(COUNTIF($U$2:U282,U282)=1,U282,ROWS(Clean_Data[OrderID])+1)</f>
        <v>901</v>
      </c>
      <c r="AG282" s="1">
        <f>IF(COUNTIF($E$2:E282,E282)=1,ROW()-1,ROWS(Clean_Data[OrderID])+1)</f>
        <v>901</v>
      </c>
    </row>
    <row r="283" spans="1:33" ht="20" customHeight="1">
      <c r="A283" s="3" t="s">
        <v>590</v>
      </c>
      <c r="B283" s="2">
        <v>46275</v>
      </c>
      <c r="C283" s="3">
        <v>13</v>
      </c>
      <c r="D283" s="3" t="s">
        <v>401</v>
      </c>
      <c r="E283" s="3" t="s">
        <v>91</v>
      </c>
      <c r="F283" s="3" t="s">
        <v>139</v>
      </c>
      <c r="G283" s="3" t="s">
        <v>122</v>
      </c>
      <c r="H283" s="3" t="s">
        <v>214</v>
      </c>
      <c r="I283" s="3">
        <v>6</v>
      </c>
      <c r="J283" s="11">
        <v>55</v>
      </c>
      <c r="K283" s="4">
        <v>0.05</v>
      </c>
      <c r="L283" s="3" t="s">
        <v>95</v>
      </c>
      <c r="M283" s="3">
        <v>22</v>
      </c>
      <c r="N283" s="3">
        <v>8</v>
      </c>
      <c r="O283" s="3">
        <v>5</v>
      </c>
      <c r="P283" s="11">
        <f>Clean_Data[[#This Row],[Quantity]]*Clean_Data[[#This Row],[UnitPrice]]</f>
        <v>330</v>
      </c>
      <c r="Q283" s="11">
        <f>ROUND(Clean_Data[[#This Row],[GrossSales]]*Clean_Data[[#This Row],[DiscountPct]],2)</f>
        <v>16.5</v>
      </c>
      <c r="R283" s="11">
        <f>IF(Clean_Data[[#This Row],[Status]]="Delivered",ROUND(Clean_Data[[#This Row],[GrossSales]]-Clean_Data[[#This Row],[DiscountAmount]],2),0)</f>
        <v>313.5</v>
      </c>
      <c r="S283" s="3" t="str">
        <f>IF(Clean_Data[[#This Row],[OrderHour]]&lt;6,"Night",IF(Clean_Data[[#This Row],[OrderHour]]&lt;12,"Morning",IF(Clean_Data[[#This Row],[OrderHour]]&lt;18,"Afternoon","Evening")))</f>
        <v>Afternoon</v>
      </c>
      <c r="T283" s="3" t="str">
        <f>TEXT(Clean_Data[[#This Row],[OrderDate]],"[$-409]ddd")</f>
        <v>Thu</v>
      </c>
      <c r="U283" s="3">
        <f>WEEKDAY(Clean_Data[[#This Row],[OrderDate]],2)</f>
        <v>4</v>
      </c>
      <c r="V283" s="3">
        <f>INT(Clean_Data[[#This Row],[OrderHour]]/6)+1</f>
        <v>3</v>
      </c>
      <c r="W283" s="3">
        <f>IF(Clean_Data[[#This Row],[Status]]="Delivered",1,0)</f>
        <v>1</v>
      </c>
      <c r="X283" s="3">
        <f>IF(Clean_Data[[#This Row],[Status]]="Delivered",IF(Clean_Data[[#This Row],[DeliveryMinutes]]&lt;=Dashboard!$X$5,1,0),0)</f>
        <v>1</v>
      </c>
      <c r="Y2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3" s="3">
        <f>IF(AND(Clean_Data[[#This Row],[Include]]=1,Clean_Data[[#This Row],[DeliveredFlag]]=1),1,0)</f>
        <v>1</v>
      </c>
      <c r="AA283" s="1">
        <f>IF(COUNTIF($D$2:D283,D283)=1,ROW()-1,ROWS(Clean_Data[OrderID])+1)</f>
        <v>901</v>
      </c>
      <c r="AB283" s="1">
        <f>IF(COUNTIF($F$2:F283,F283)=1,ROW()-1,ROWS(Clean_Data[OrderID])+1)</f>
        <v>901</v>
      </c>
      <c r="AC283" s="1">
        <f>IF(COUNTIF($G$2:G283,G283)=1,ROW()-1,ROWS(Clean_Data[OrderID])+1)</f>
        <v>901</v>
      </c>
      <c r="AD283" s="1">
        <f>IF(COUNTIF($H$2:H283,H283)=1,ROW()-1,ROWS(Clean_Data[OrderID])+1)</f>
        <v>901</v>
      </c>
      <c r="AE283" s="1">
        <f>IF(COUNTIF($V$2:V283,V283)=1,V283,ROWS(Clean_Data[OrderID])+1)</f>
        <v>901</v>
      </c>
      <c r="AF283" s="1">
        <f>IF(COUNTIF($U$2:U283,U283)=1,U283,ROWS(Clean_Data[OrderID])+1)</f>
        <v>901</v>
      </c>
      <c r="AG283" s="1">
        <f>IF(COUNTIF($E$2:E283,E283)=1,ROW()-1,ROWS(Clean_Data[OrderID])+1)</f>
        <v>901</v>
      </c>
    </row>
    <row r="284" spans="1:33" ht="20" customHeight="1">
      <c r="A284" s="3" t="s">
        <v>591</v>
      </c>
      <c r="B284" s="2">
        <v>46275</v>
      </c>
      <c r="C284" s="3">
        <v>8</v>
      </c>
      <c r="D284" s="3" t="s">
        <v>592</v>
      </c>
      <c r="E284" s="3" t="s">
        <v>91</v>
      </c>
      <c r="F284" s="3" t="s">
        <v>139</v>
      </c>
      <c r="G284" s="3" t="s">
        <v>122</v>
      </c>
      <c r="H284" s="3" t="s">
        <v>123</v>
      </c>
      <c r="I284" s="3">
        <v>2</v>
      </c>
      <c r="J284" s="11">
        <v>45</v>
      </c>
      <c r="K284" s="4">
        <v>0</v>
      </c>
      <c r="L284" s="3" t="s">
        <v>95</v>
      </c>
      <c r="M284" s="3">
        <v>32</v>
      </c>
      <c r="N284" s="3">
        <v>11</v>
      </c>
      <c r="O284" s="3">
        <v>4</v>
      </c>
      <c r="P284" s="11">
        <f>Clean_Data[[#This Row],[Quantity]]*Clean_Data[[#This Row],[UnitPrice]]</f>
        <v>90</v>
      </c>
      <c r="Q284" s="11">
        <f>ROUND(Clean_Data[[#This Row],[GrossSales]]*Clean_Data[[#This Row],[DiscountPct]],2)</f>
        <v>0</v>
      </c>
      <c r="R284" s="11">
        <f>IF(Clean_Data[[#This Row],[Status]]="Delivered",ROUND(Clean_Data[[#This Row],[GrossSales]]-Clean_Data[[#This Row],[DiscountAmount]],2),0)</f>
        <v>90</v>
      </c>
      <c r="S284" s="3" t="str">
        <f>IF(Clean_Data[[#This Row],[OrderHour]]&lt;6,"Night",IF(Clean_Data[[#This Row],[OrderHour]]&lt;12,"Morning",IF(Clean_Data[[#This Row],[OrderHour]]&lt;18,"Afternoon","Evening")))</f>
        <v>Morning</v>
      </c>
      <c r="T284" s="3" t="str">
        <f>TEXT(Clean_Data[[#This Row],[OrderDate]],"[$-409]ddd")</f>
        <v>Thu</v>
      </c>
      <c r="U284" s="3">
        <f>WEEKDAY(Clean_Data[[#This Row],[OrderDate]],2)</f>
        <v>4</v>
      </c>
      <c r="V284" s="3">
        <f>INT(Clean_Data[[#This Row],[OrderHour]]/6)+1</f>
        <v>2</v>
      </c>
      <c r="W284" s="3">
        <f>IF(Clean_Data[[#This Row],[Status]]="Delivered",1,0)</f>
        <v>1</v>
      </c>
      <c r="X284" s="3">
        <f>IF(Clean_Data[[#This Row],[Status]]="Delivered",IF(Clean_Data[[#This Row],[DeliveryMinutes]]&lt;=Dashboard!$X$5,1,0),0)</f>
        <v>0</v>
      </c>
      <c r="Y2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4" s="3">
        <f>IF(AND(Clean_Data[[#This Row],[Include]]=1,Clean_Data[[#This Row],[DeliveredFlag]]=1),1,0)</f>
        <v>1</v>
      </c>
      <c r="AA284" s="1">
        <f>IF(COUNTIF($D$2:D284,D284)=1,ROW()-1,ROWS(Clean_Data[OrderID])+1)</f>
        <v>283</v>
      </c>
      <c r="AB284" s="1">
        <f>IF(COUNTIF($F$2:F284,F284)=1,ROW()-1,ROWS(Clean_Data[OrderID])+1)</f>
        <v>901</v>
      </c>
      <c r="AC284" s="1">
        <f>IF(COUNTIF($G$2:G284,G284)=1,ROW()-1,ROWS(Clean_Data[OrderID])+1)</f>
        <v>901</v>
      </c>
      <c r="AD284" s="1">
        <f>IF(COUNTIF($H$2:H284,H284)=1,ROW()-1,ROWS(Clean_Data[OrderID])+1)</f>
        <v>901</v>
      </c>
      <c r="AE284" s="1">
        <f>IF(COUNTIF($V$2:V284,V284)=1,V284,ROWS(Clean_Data[OrderID])+1)</f>
        <v>901</v>
      </c>
      <c r="AF284" s="1">
        <f>IF(COUNTIF($U$2:U284,U284)=1,U284,ROWS(Clean_Data[OrderID])+1)</f>
        <v>901</v>
      </c>
      <c r="AG284" s="1">
        <f>IF(COUNTIF($E$2:E284,E284)=1,ROW()-1,ROWS(Clean_Data[OrderID])+1)</f>
        <v>901</v>
      </c>
    </row>
    <row r="285" spans="1:33" ht="20" customHeight="1">
      <c r="A285" s="3" t="s">
        <v>593</v>
      </c>
      <c r="B285" s="2">
        <v>46275</v>
      </c>
      <c r="C285" s="3">
        <v>22</v>
      </c>
      <c r="D285" s="3" t="s">
        <v>145</v>
      </c>
      <c r="E285" s="3" t="s">
        <v>117</v>
      </c>
      <c r="F285" s="3" t="s">
        <v>139</v>
      </c>
      <c r="G285" s="3" t="s">
        <v>122</v>
      </c>
      <c r="H285" s="3" t="s">
        <v>214</v>
      </c>
      <c r="I285" s="3">
        <v>4</v>
      </c>
      <c r="J285" s="11">
        <v>55</v>
      </c>
      <c r="K285" s="4">
        <v>0</v>
      </c>
      <c r="L285" s="3" t="s">
        <v>101</v>
      </c>
      <c r="M285" s="3"/>
      <c r="N285" s="3"/>
      <c r="O285" s="3"/>
      <c r="P285" s="11">
        <f>Clean_Data[[#This Row],[Quantity]]*Clean_Data[[#This Row],[UnitPrice]]</f>
        <v>220</v>
      </c>
      <c r="Q285" s="11">
        <f>ROUND(Clean_Data[[#This Row],[GrossSales]]*Clean_Data[[#This Row],[DiscountPct]],2)</f>
        <v>0</v>
      </c>
      <c r="R285" s="11">
        <f>IF(Clean_Data[[#This Row],[Status]]="Delivered",ROUND(Clean_Data[[#This Row],[GrossSales]]-Clean_Data[[#This Row],[DiscountAmount]],2),0)</f>
        <v>0</v>
      </c>
      <c r="S285" s="3" t="str">
        <f>IF(Clean_Data[[#This Row],[OrderHour]]&lt;6,"Night",IF(Clean_Data[[#This Row],[OrderHour]]&lt;12,"Morning",IF(Clean_Data[[#This Row],[OrderHour]]&lt;18,"Afternoon","Evening")))</f>
        <v>Evening</v>
      </c>
      <c r="T285" s="3" t="str">
        <f>TEXT(Clean_Data[[#This Row],[OrderDate]],"[$-409]ddd")</f>
        <v>Thu</v>
      </c>
      <c r="U285" s="3">
        <f>WEEKDAY(Clean_Data[[#This Row],[OrderDate]],2)</f>
        <v>4</v>
      </c>
      <c r="V285" s="3">
        <f>INT(Clean_Data[[#This Row],[OrderHour]]/6)+1</f>
        <v>4</v>
      </c>
      <c r="W285" s="3">
        <f>IF(Clean_Data[[#This Row],[Status]]="Delivered",1,0)</f>
        <v>0</v>
      </c>
      <c r="X285" s="3">
        <f>IF(Clean_Data[[#This Row],[Status]]="Delivered",IF(Clean_Data[[#This Row],[DeliveryMinutes]]&lt;=Dashboard!$X$5,1,0),0)</f>
        <v>0</v>
      </c>
      <c r="Y2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5" s="3">
        <f>IF(AND(Clean_Data[[#This Row],[Include]]=1,Clean_Data[[#This Row],[DeliveredFlag]]=1),1,0)</f>
        <v>0</v>
      </c>
      <c r="AA285" s="1">
        <f>IF(COUNTIF($D$2:D285,D285)=1,ROW()-1,ROWS(Clean_Data[OrderID])+1)</f>
        <v>901</v>
      </c>
      <c r="AB285" s="1">
        <f>IF(COUNTIF($F$2:F285,F285)=1,ROW()-1,ROWS(Clean_Data[OrderID])+1)</f>
        <v>901</v>
      </c>
      <c r="AC285" s="1">
        <f>IF(COUNTIF($G$2:G285,G285)=1,ROW()-1,ROWS(Clean_Data[OrderID])+1)</f>
        <v>901</v>
      </c>
      <c r="AD285" s="1">
        <f>IF(COUNTIF($H$2:H285,H285)=1,ROW()-1,ROWS(Clean_Data[OrderID])+1)</f>
        <v>901</v>
      </c>
      <c r="AE285" s="1">
        <f>IF(COUNTIF($V$2:V285,V285)=1,V285,ROWS(Clean_Data[OrderID])+1)</f>
        <v>901</v>
      </c>
      <c r="AF285" s="1">
        <f>IF(COUNTIF($U$2:U285,U285)=1,U285,ROWS(Clean_Data[OrderID])+1)</f>
        <v>901</v>
      </c>
      <c r="AG285" s="1">
        <f>IF(COUNTIF($E$2:E285,E285)=1,ROW()-1,ROWS(Clean_Data[OrderID])+1)</f>
        <v>901</v>
      </c>
    </row>
    <row r="286" spans="1:33" ht="20" customHeight="1">
      <c r="A286" s="3" t="s">
        <v>594</v>
      </c>
      <c r="B286" s="2">
        <v>46275</v>
      </c>
      <c r="C286" s="3">
        <v>21</v>
      </c>
      <c r="D286" s="3" t="s">
        <v>492</v>
      </c>
      <c r="E286" s="3" t="s">
        <v>91</v>
      </c>
      <c r="F286" s="3" t="s">
        <v>109</v>
      </c>
      <c r="G286" s="3" t="s">
        <v>135</v>
      </c>
      <c r="H286" s="3" t="s">
        <v>162</v>
      </c>
      <c r="I286" s="3">
        <v>5</v>
      </c>
      <c r="J286" s="11">
        <v>180</v>
      </c>
      <c r="K286" s="4">
        <v>0</v>
      </c>
      <c r="L286" s="3" t="s">
        <v>95</v>
      </c>
      <c r="M286" s="3">
        <v>16</v>
      </c>
      <c r="N286" s="3">
        <v>14</v>
      </c>
      <c r="O286" s="3">
        <v>5</v>
      </c>
      <c r="P286" s="11">
        <f>Clean_Data[[#This Row],[Quantity]]*Clean_Data[[#This Row],[UnitPrice]]</f>
        <v>900</v>
      </c>
      <c r="Q286" s="11">
        <f>ROUND(Clean_Data[[#This Row],[GrossSales]]*Clean_Data[[#This Row],[DiscountPct]],2)</f>
        <v>0</v>
      </c>
      <c r="R286" s="11">
        <f>IF(Clean_Data[[#This Row],[Status]]="Delivered",ROUND(Clean_Data[[#This Row],[GrossSales]]-Clean_Data[[#This Row],[DiscountAmount]],2),0)</f>
        <v>900</v>
      </c>
      <c r="S286" s="3" t="str">
        <f>IF(Clean_Data[[#This Row],[OrderHour]]&lt;6,"Night",IF(Clean_Data[[#This Row],[OrderHour]]&lt;12,"Morning",IF(Clean_Data[[#This Row],[OrderHour]]&lt;18,"Afternoon","Evening")))</f>
        <v>Evening</v>
      </c>
      <c r="T286" s="3" t="str">
        <f>TEXT(Clean_Data[[#This Row],[OrderDate]],"[$-409]ddd")</f>
        <v>Thu</v>
      </c>
      <c r="U286" s="3">
        <f>WEEKDAY(Clean_Data[[#This Row],[OrderDate]],2)</f>
        <v>4</v>
      </c>
      <c r="V286" s="3">
        <f>INT(Clean_Data[[#This Row],[OrderHour]]/6)+1</f>
        <v>4</v>
      </c>
      <c r="W286" s="3">
        <f>IF(Clean_Data[[#This Row],[Status]]="Delivered",1,0)</f>
        <v>1</v>
      </c>
      <c r="X286" s="3">
        <f>IF(Clean_Data[[#This Row],[Status]]="Delivered",IF(Clean_Data[[#This Row],[DeliveryMinutes]]&lt;=Dashboard!$X$5,1,0),0)</f>
        <v>1</v>
      </c>
      <c r="Y2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6" s="3">
        <f>IF(AND(Clean_Data[[#This Row],[Include]]=1,Clean_Data[[#This Row],[DeliveredFlag]]=1),1,0)</f>
        <v>1</v>
      </c>
      <c r="AA286" s="1">
        <f>IF(COUNTIF($D$2:D286,D286)=1,ROW()-1,ROWS(Clean_Data[OrderID])+1)</f>
        <v>901</v>
      </c>
      <c r="AB286" s="1">
        <f>IF(COUNTIF($F$2:F286,F286)=1,ROW()-1,ROWS(Clean_Data[OrderID])+1)</f>
        <v>901</v>
      </c>
      <c r="AC286" s="1">
        <f>IF(COUNTIF($G$2:G286,G286)=1,ROW()-1,ROWS(Clean_Data[OrderID])+1)</f>
        <v>901</v>
      </c>
      <c r="AD286" s="1">
        <f>IF(COUNTIF($H$2:H286,H286)=1,ROW()-1,ROWS(Clean_Data[OrderID])+1)</f>
        <v>901</v>
      </c>
      <c r="AE286" s="1">
        <f>IF(COUNTIF($V$2:V286,V286)=1,V286,ROWS(Clean_Data[OrderID])+1)</f>
        <v>901</v>
      </c>
      <c r="AF286" s="1">
        <f>IF(COUNTIF($U$2:U286,U286)=1,U286,ROWS(Clean_Data[OrderID])+1)</f>
        <v>901</v>
      </c>
      <c r="AG286" s="1">
        <f>IF(COUNTIF($E$2:E286,E286)=1,ROW()-1,ROWS(Clean_Data[OrderID])+1)</f>
        <v>901</v>
      </c>
    </row>
    <row r="287" spans="1:33" ht="20" customHeight="1">
      <c r="A287" s="3" t="s">
        <v>595</v>
      </c>
      <c r="B287" s="2">
        <v>46275</v>
      </c>
      <c r="C287" s="3">
        <v>13</v>
      </c>
      <c r="D287" s="3" t="s">
        <v>295</v>
      </c>
      <c r="E287" s="3" t="s">
        <v>117</v>
      </c>
      <c r="F287" s="3" t="s">
        <v>109</v>
      </c>
      <c r="G287" s="3" t="s">
        <v>93</v>
      </c>
      <c r="H287" s="3" t="s">
        <v>146</v>
      </c>
      <c r="I287" s="3">
        <v>1</v>
      </c>
      <c r="J287" s="11">
        <v>110</v>
      </c>
      <c r="K287" s="4">
        <v>0</v>
      </c>
      <c r="L287" s="3" t="s">
        <v>95</v>
      </c>
      <c r="M287" s="3">
        <v>24</v>
      </c>
      <c r="N287" s="3">
        <v>9</v>
      </c>
      <c r="O287" s="3">
        <v>3</v>
      </c>
      <c r="P287" s="11">
        <f>Clean_Data[[#This Row],[Quantity]]*Clean_Data[[#This Row],[UnitPrice]]</f>
        <v>110</v>
      </c>
      <c r="Q287" s="11">
        <f>ROUND(Clean_Data[[#This Row],[GrossSales]]*Clean_Data[[#This Row],[DiscountPct]],2)</f>
        <v>0</v>
      </c>
      <c r="R287" s="11">
        <f>IF(Clean_Data[[#This Row],[Status]]="Delivered",ROUND(Clean_Data[[#This Row],[GrossSales]]-Clean_Data[[#This Row],[DiscountAmount]],2),0)</f>
        <v>110</v>
      </c>
      <c r="S287" s="3" t="str">
        <f>IF(Clean_Data[[#This Row],[OrderHour]]&lt;6,"Night",IF(Clean_Data[[#This Row],[OrderHour]]&lt;12,"Morning",IF(Clean_Data[[#This Row],[OrderHour]]&lt;18,"Afternoon","Evening")))</f>
        <v>Afternoon</v>
      </c>
      <c r="T287" s="3" t="str">
        <f>TEXT(Clean_Data[[#This Row],[OrderDate]],"[$-409]ddd")</f>
        <v>Thu</v>
      </c>
      <c r="U287" s="3">
        <f>WEEKDAY(Clean_Data[[#This Row],[OrderDate]],2)</f>
        <v>4</v>
      </c>
      <c r="V287" s="3">
        <f>INT(Clean_Data[[#This Row],[OrderHour]]/6)+1</f>
        <v>3</v>
      </c>
      <c r="W287" s="3">
        <f>IF(Clean_Data[[#This Row],[Status]]="Delivered",1,0)</f>
        <v>1</v>
      </c>
      <c r="X287" s="3">
        <f>IF(Clean_Data[[#This Row],[Status]]="Delivered",IF(Clean_Data[[#This Row],[DeliveryMinutes]]&lt;=Dashboard!$X$5,1,0),0)</f>
        <v>1</v>
      </c>
      <c r="Y2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7" s="3">
        <f>IF(AND(Clean_Data[[#This Row],[Include]]=1,Clean_Data[[#This Row],[DeliveredFlag]]=1),1,0)</f>
        <v>1</v>
      </c>
      <c r="AA287" s="1">
        <f>IF(COUNTIF($D$2:D287,D287)=1,ROW()-1,ROWS(Clean_Data[OrderID])+1)</f>
        <v>901</v>
      </c>
      <c r="AB287" s="1">
        <f>IF(COUNTIF($F$2:F287,F287)=1,ROW()-1,ROWS(Clean_Data[OrderID])+1)</f>
        <v>901</v>
      </c>
      <c r="AC287" s="1">
        <f>IF(COUNTIF($G$2:G287,G287)=1,ROW()-1,ROWS(Clean_Data[OrderID])+1)</f>
        <v>901</v>
      </c>
      <c r="AD287" s="1">
        <f>IF(COUNTIF($H$2:H287,H287)=1,ROW()-1,ROWS(Clean_Data[OrderID])+1)</f>
        <v>901</v>
      </c>
      <c r="AE287" s="1">
        <f>IF(COUNTIF($V$2:V287,V287)=1,V287,ROWS(Clean_Data[OrderID])+1)</f>
        <v>901</v>
      </c>
      <c r="AF287" s="1">
        <f>IF(COUNTIF($U$2:U287,U287)=1,U287,ROWS(Clean_Data[OrderID])+1)</f>
        <v>901</v>
      </c>
      <c r="AG287" s="1">
        <f>IF(COUNTIF($E$2:E287,E287)=1,ROW()-1,ROWS(Clean_Data[OrderID])+1)</f>
        <v>901</v>
      </c>
    </row>
    <row r="288" spans="1:33" ht="20" customHeight="1">
      <c r="A288" s="3" t="s">
        <v>596</v>
      </c>
      <c r="B288" s="2">
        <v>46275</v>
      </c>
      <c r="C288" s="3">
        <v>10</v>
      </c>
      <c r="D288" s="3" t="s">
        <v>597</v>
      </c>
      <c r="E288" s="3" t="s">
        <v>117</v>
      </c>
      <c r="F288" s="3" t="s">
        <v>139</v>
      </c>
      <c r="G288" s="3" t="s">
        <v>174</v>
      </c>
      <c r="H288" s="3" t="s">
        <v>175</v>
      </c>
      <c r="I288" s="3">
        <v>1</v>
      </c>
      <c r="J288" s="11">
        <v>155</v>
      </c>
      <c r="K288" s="4">
        <v>0.1</v>
      </c>
      <c r="L288" s="3" t="s">
        <v>95</v>
      </c>
      <c r="M288" s="3">
        <v>20</v>
      </c>
      <c r="N288" s="3">
        <v>7</v>
      </c>
      <c r="O288" s="3">
        <v>4</v>
      </c>
      <c r="P288" s="11">
        <f>Clean_Data[[#This Row],[Quantity]]*Clean_Data[[#This Row],[UnitPrice]]</f>
        <v>155</v>
      </c>
      <c r="Q288" s="11">
        <f>ROUND(Clean_Data[[#This Row],[GrossSales]]*Clean_Data[[#This Row],[DiscountPct]],2)</f>
        <v>15.5</v>
      </c>
      <c r="R288" s="11">
        <f>IF(Clean_Data[[#This Row],[Status]]="Delivered",ROUND(Clean_Data[[#This Row],[GrossSales]]-Clean_Data[[#This Row],[DiscountAmount]],2),0)</f>
        <v>139.5</v>
      </c>
      <c r="S288" s="3" t="str">
        <f>IF(Clean_Data[[#This Row],[OrderHour]]&lt;6,"Night",IF(Clean_Data[[#This Row],[OrderHour]]&lt;12,"Morning",IF(Clean_Data[[#This Row],[OrderHour]]&lt;18,"Afternoon","Evening")))</f>
        <v>Morning</v>
      </c>
      <c r="T288" s="3" t="str">
        <f>TEXT(Clean_Data[[#This Row],[OrderDate]],"[$-409]ddd")</f>
        <v>Thu</v>
      </c>
      <c r="U288" s="3">
        <f>WEEKDAY(Clean_Data[[#This Row],[OrderDate]],2)</f>
        <v>4</v>
      </c>
      <c r="V288" s="3">
        <f>INT(Clean_Data[[#This Row],[OrderHour]]/6)+1</f>
        <v>2</v>
      </c>
      <c r="W288" s="3">
        <f>IF(Clean_Data[[#This Row],[Status]]="Delivered",1,0)</f>
        <v>1</v>
      </c>
      <c r="X288" s="3">
        <f>IF(Clean_Data[[#This Row],[Status]]="Delivered",IF(Clean_Data[[#This Row],[DeliveryMinutes]]&lt;=Dashboard!$X$5,1,0),0)</f>
        <v>1</v>
      </c>
      <c r="Y2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8" s="3">
        <f>IF(AND(Clean_Data[[#This Row],[Include]]=1,Clean_Data[[#This Row],[DeliveredFlag]]=1),1,0)</f>
        <v>1</v>
      </c>
      <c r="AA288" s="1">
        <f>IF(COUNTIF($D$2:D288,D288)=1,ROW()-1,ROWS(Clean_Data[OrderID])+1)</f>
        <v>287</v>
      </c>
      <c r="AB288" s="1">
        <f>IF(COUNTIF($F$2:F288,F288)=1,ROW()-1,ROWS(Clean_Data[OrderID])+1)</f>
        <v>901</v>
      </c>
      <c r="AC288" s="1">
        <f>IF(COUNTIF($G$2:G288,G288)=1,ROW()-1,ROWS(Clean_Data[OrderID])+1)</f>
        <v>901</v>
      </c>
      <c r="AD288" s="1">
        <f>IF(COUNTIF($H$2:H288,H288)=1,ROW()-1,ROWS(Clean_Data[OrderID])+1)</f>
        <v>901</v>
      </c>
      <c r="AE288" s="1">
        <f>IF(COUNTIF($V$2:V288,V288)=1,V288,ROWS(Clean_Data[OrderID])+1)</f>
        <v>901</v>
      </c>
      <c r="AF288" s="1">
        <f>IF(COUNTIF($U$2:U288,U288)=1,U288,ROWS(Clean_Data[OrderID])+1)</f>
        <v>901</v>
      </c>
      <c r="AG288" s="1">
        <f>IF(COUNTIF($E$2:E288,E288)=1,ROW()-1,ROWS(Clean_Data[OrderID])+1)</f>
        <v>901</v>
      </c>
    </row>
    <row r="289" spans="1:33" ht="20" customHeight="1">
      <c r="A289" s="3" t="s">
        <v>598</v>
      </c>
      <c r="B289" s="2">
        <v>46275</v>
      </c>
      <c r="C289" s="3">
        <v>14</v>
      </c>
      <c r="D289" s="3" t="s">
        <v>334</v>
      </c>
      <c r="E289" s="3" t="s">
        <v>91</v>
      </c>
      <c r="F289" s="3" t="s">
        <v>98</v>
      </c>
      <c r="G289" s="3" t="s">
        <v>110</v>
      </c>
      <c r="H289" s="3" t="s">
        <v>111</v>
      </c>
      <c r="I289" s="3">
        <v>2</v>
      </c>
      <c r="J289" s="11">
        <v>115</v>
      </c>
      <c r="K289" s="4">
        <v>0.05</v>
      </c>
      <c r="L289" s="3" t="s">
        <v>95</v>
      </c>
      <c r="M289" s="3">
        <v>36</v>
      </c>
      <c r="N289" s="3">
        <v>10</v>
      </c>
      <c r="O289" s="3">
        <v>4</v>
      </c>
      <c r="P289" s="11">
        <f>Clean_Data[[#This Row],[Quantity]]*Clean_Data[[#This Row],[UnitPrice]]</f>
        <v>230</v>
      </c>
      <c r="Q289" s="11">
        <f>ROUND(Clean_Data[[#This Row],[GrossSales]]*Clean_Data[[#This Row],[DiscountPct]],2)</f>
        <v>11.5</v>
      </c>
      <c r="R289" s="11">
        <f>IF(Clean_Data[[#This Row],[Status]]="Delivered",ROUND(Clean_Data[[#This Row],[GrossSales]]-Clean_Data[[#This Row],[DiscountAmount]],2),0)</f>
        <v>218.5</v>
      </c>
      <c r="S289" s="3" t="str">
        <f>IF(Clean_Data[[#This Row],[OrderHour]]&lt;6,"Night",IF(Clean_Data[[#This Row],[OrderHour]]&lt;12,"Morning",IF(Clean_Data[[#This Row],[OrderHour]]&lt;18,"Afternoon","Evening")))</f>
        <v>Afternoon</v>
      </c>
      <c r="T289" s="3" t="str">
        <f>TEXT(Clean_Data[[#This Row],[OrderDate]],"[$-409]ddd")</f>
        <v>Thu</v>
      </c>
      <c r="U289" s="3">
        <f>WEEKDAY(Clean_Data[[#This Row],[OrderDate]],2)</f>
        <v>4</v>
      </c>
      <c r="V289" s="3">
        <f>INT(Clean_Data[[#This Row],[OrderHour]]/6)+1</f>
        <v>3</v>
      </c>
      <c r="W289" s="3">
        <f>IF(Clean_Data[[#This Row],[Status]]="Delivered",1,0)</f>
        <v>1</v>
      </c>
      <c r="X289" s="3">
        <f>IF(Clean_Data[[#This Row],[Status]]="Delivered",IF(Clean_Data[[#This Row],[DeliveryMinutes]]&lt;=Dashboard!$X$5,1,0),0)</f>
        <v>0</v>
      </c>
      <c r="Y2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89" s="3">
        <f>IF(AND(Clean_Data[[#This Row],[Include]]=1,Clean_Data[[#This Row],[DeliveredFlag]]=1),1,0)</f>
        <v>1</v>
      </c>
      <c r="AA289" s="1">
        <f>IF(COUNTIF($D$2:D289,D289)=1,ROW()-1,ROWS(Clean_Data[OrderID])+1)</f>
        <v>901</v>
      </c>
      <c r="AB289" s="1">
        <f>IF(COUNTIF($F$2:F289,F289)=1,ROW()-1,ROWS(Clean_Data[OrderID])+1)</f>
        <v>901</v>
      </c>
      <c r="AC289" s="1">
        <f>IF(COUNTIF($G$2:G289,G289)=1,ROW()-1,ROWS(Clean_Data[OrderID])+1)</f>
        <v>901</v>
      </c>
      <c r="AD289" s="1">
        <f>IF(COUNTIF($H$2:H289,H289)=1,ROW()-1,ROWS(Clean_Data[OrderID])+1)</f>
        <v>901</v>
      </c>
      <c r="AE289" s="1">
        <f>IF(COUNTIF($V$2:V289,V289)=1,V289,ROWS(Clean_Data[OrderID])+1)</f>
        <v>901</v>
      </c>
      <c r="AF289" s="1">
        <f>IF(COUNTIF($U$2:U289,U289)=1,U289,ROWS(Clean_Data[OrderID])+1)</f>
        <v>901</v>
      </c>
      <c r="AG289" s="1">
        <f>IF(COUNTIF($E$2:E289,E289)=1,ROW()-1,ROWS(Clean_Data[OrderID])+1)</f>
        <v>901</v>
      </c>
    </row>
    <row r="290" spans="1:33" ht="20" customHeight="1">
      <c r="A290" s="3" t="s">
        <v>599</v>
      </c>
      <c r="B290" s="2">
        <v>46275</v>
      </c>
      <c r="C290" s="3">
        <v>9</v>
      </c>
      <c r="D290" s="3" t="s">
        <v>232</v>
      </c>
      <c r="E290" s="3" t="s">
        <v>91</v>
      </c>
      <c r="F290" s="3" t="s">
        <v>92</v>
      </c>
      <c r="G290" s="3" t="s">
        <v>93</v>
      </c>
      <c r="H290" s="3" t="s">
        <v>118</v>
      </c>
      <c r="I290" s="3">
        <v>1</v>
      </c>
      <c r="J290" s="11">
        <v>45</v>
      </c>
      <c r="K290" s="4">
        <v>0.15</v>
      </c>
      <c r="L290" s="3" t="s">
        <v>95</v>
      </c>
      <c r="M290" s="3">
        <v>22</v>
      </c>
      <c r="N290" s="3">
        <v>8</v>
      </c>
      <c r="O290" s="3">
        <v>5</v>
      </c>
      <c r="P290" s="11">
        <f>Clean_Data[[#This Row],[Quantity]]*Clean_Data[[#This Row],[UnitPrice]]</f>
        <v>45</v>
      </c>
      <c r="Q290" s="11">
        <f>ROUND(Clean_Data[[#This Row],[GrossSales]]*Clean_Data[[#This Row],[DiscountPct]],2)</f>
        <v>6.75</v>
      </c>
      <c r="R290" s="11">
        <f>IF(Clean_Data[[#This Row],[Status]]="Delivered",ROUND(Clean_Data[[#This Row],[GrossSales]]-Clean_Data[[#This Row],[DiscountAmount]],2),0)</f>
        <v>38.25</v>
      </c>
      <c r="S290" s="3" t="str">
        <f>IF(Clean_Data[[#This Row],[OrderHour]]&lt;6,"Night",IF(Clean_Data[[#This Row],[OrderHour]]&lt;12,"Morning",IF(Clean_Data[[#This Row],[OrderHour]]&lt;18,"Afternoon","Evening")))</f>
        <v>Morning</v>
      </c>
      <c r="T290" s="3" t="str">
        <f>TEXT(Clean_Data[[#This Row],[OrderDate]],"[$-409]ddd")</f>
        <v>Thu</v>
      </c>
      <c r="U290" s="3">
        <f>WEEKDAY(Clean_Data[[#This Row],[OrderDate]],2)</f>
        <v>4</v>
      </c>
      <c r="V290" s="3">
        <f>INT(Clean_Data[[#This Row],[OrderHour]]/6)+1</f>
        <v>2</v>
      </c>
      <c r="W290" s="3">
        <f>IF(Clean_Data[[#This Row],[Status]]="Delivered",1,0)</f>
        <v>1</v>
      </c>
      <c r="X290" s="3">
        <f>IF(Clean_Data[[#This Row],[Status]]="Delivered",IF(Clean_Data[[#This Row],[DeliveryMinutes]]&lt;=Dashboard!$X$5,1,0),0)</f>
        <v>1</v>
      </c>
      <c r="Y2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0" s="3">
        <f>IF(AND(Clean_Data[[#This Row],[Include]]=1,Clean_Data[[#This Row],[DeliveredFlag]]=1),1,0)</f>
        <v>1</v>
      </c>
      <c r="AA290" s="1">
        <f>IF(COUNTIF($D$2:D290,D290)=1,ROW()-1,ROWS(Clean_Data[OrderID])+1)</f>
        <v>901</v>
      </c>
      <c r="AB290" s="1">
        <f>IF(COUNTIF($F$2:F290,F290)=1,ROW()-1,ROWS(Clean_Data[OrderID])+1)</f>
        <v>901</v>
      </c>
      <c r="AC290" s="1">
        <f>IF(COUNTIF($G$2:G290,G290)=1,ROW()-1,ROWS(Clean_Data[OrderID])+1)</f>
        <v>901</v>
      </c>
      <c r="AD290" s="1">
        <f>IF(COUNTIF($H$2:H290,H290)=1,ROW()-1,ROWS(Clean_Data[OrderID])+1)</f>
        <v>901</v>
      </c>
      <c r="AE290" s="1">
        <f>IF(COUNTIF($V$2:V290,V290)=1,V290,ROWS(Clean_Data[OrderID])+1)</f>
        <v>901</v>
      </c>
      <c r="AF290" s="1">
        <f>IF(COUNTIF($U$2:U290,U290)=1,U290,ROWS(Clean_Data[OrderID])+1)</f>
        <v>901</v>
      </c>
      <c r="AG290" s="1">
        <f>IF(COUNTIF($E$2:E290,E290)=1,ROW()-1,ROWS(Clean_Data[OrderID])+1)</f>
        <v>901</v>
      </c>
    </row>
    <row r="291" spans="1:33" ht="20" customHeight="1">
      <c r="A291" s="3" t="s">
        <v>600</v>
      </c>
      <c r="B291" s="2">
        <v>46275</v>
      </c>
      <c r="C291" s="3">
        <v>10</v>
      </c>
      <c r="D291" s="3" t="s">
        <v>169</v>
      </c>
      <c r="E291" s="3" t="s">
        <v>91</v>
      </c>
      <c r="F291" s="3" t="s">
        <v>92</v>
      </c>
      <c r="G291" s="3" t="s">
        <v>174</v>
      </c>
      <c r="H291" s="3" t="s">
        <v>184</v>
      </c>
      <c r="I291" s="3">
        <v>3</v>
      </c>
      <c r="J291" s="11">
        <v>62</v>
      </c>
      <c r="K291" s="4">
        <v>0</v>
      </c>
      <c r="L291" s="3" t="s">
        <v>101</v>
      </c>
      <c r="M291" s="3"/>
      <c r="N291" s="3"/>
      <c r="O291" s="3"/>
      <c r="P291" s="11">
        <f>Clean_Data[[#This Row],[Quantity]]*Clean_Data[[#This Row],[UnitPrice]]</f>
        <v>186</v>
      </c>
      <c r="Q291" s="11">
        <f>ROUND(Clean_Data[[#This Row],[GrossSales]]*Clean_Data[[#This Row],[DiscountPct]],2)</f>
        <v>0</v>
      </c>
      <c r="R291" s="11">
        <f>IF(Clean_Data[[#This Row],[Status]]="Delivered",ROUND(Clean_Data[[#This Row],[GrossSales]]-Clean_Data[[#This Row],[DiscountAmount]],2),0)</f>
        <v>0</v>
      </c>
      <c r="S291" s="3" t="str">
        <f>IF(Clean_Data[[#This Row],[OrderHour]]&lt;6,"Night",IF(Clean_Data[[#This Row],[OrderHour]]&lt;12,"Morning",IF(Clean_Data[[#This Row],[OrderHour]]&lt;18,"Afternoon","Evening")))</f>
        <v>Morning</v>
      </c>
      <c r="T291" s="3" t="str">
        <f>TEXT(Clean_Data[[#This Row],[OrderDate]],"[$-409]ddd")</f>
        <v>Thu</v>
      </c>
      <c r="U291" s="3">
        <f>WEEKDAY(Clean_Data[[#This Row],[OrderDate]],2)</f>
        <v>4</v>
      </c>
      <c r="V291" s="3">
        <f>INT(Clean_Data[[#This Row],[OrderHour]]/6)+1</f>
        <v>2</v>
      </c>
      <c r="W291" s="3">
        <f>IF(Clean_Data[[#This Row],[Status]]="Delivered",1,0)</f>
        <v>0</v>
      </c>
      <c r="X291" s="3">
        <f>IF(Clean_Data[[#This Row],[Status]]="Delivered",IF(Clean_Data[[#This Row],[DeliveryMinutes]]&lt;=Dashboard!$X$5,1,0),0)</f>
        <v>0</v>
      </c>
      <c r="Y2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1" s="3">
        <f>IF(AND(Clean_Data[[#This Row],[Include]]=1,Clean_Data[[#This Row],[DeliveredFlag]]=1),1,0)</f>
        <v>0</v>
      </c>
      <c r="AA291" s="1">
        <f>IF(COUNTIF($D$2:D291,D291)=1,ROW()-1,ROWS(Clean_Data[OrderID])+1)</f>
        <v>901</v>
      </c>
      <c r="AB291" s="1">
        <f>IF(COUNTIF($F$2:F291,F291)=1,ROW()-1,ROWS(Clean_Data[OrderID])+1)</f>
        <v>901</v>
      </c>
      <c r="AC291" s="1">
        <f>IF(COUNTIF($G$2:G291,G291)=1,ROW()-1,ROWS(Clean_Data[OrderID])+1)</f>
        <v>901</v>
      </c>
      <c r="AD291" s="1">
        <f>IF(COUNTIF($H$2:H291,H291)=1,ROW()-1,ROWS(Clean_Data[OrderID])+1)</f>
        <v>901</v>
      </c>
      <c r="AE291" s="1">
        <f>IF(COUNTIF($V$2:V291,V291)=1,V291,ROWS(Clean_Data[OrderID])+1)</f>
        <v>901</v>
      </c>
      <c r="AF291" s="1">
        <f>IF(COUNTIF($U$2:U291,U291)=1,U291,ROWS(Clean_Data[OrderID])+1)</f>
        <v>901</v>
      </c>
      <c r="AG291" s="1">
        <f>IF(COUNTIF($E$2:E291,E291)=1,ROW()-1,ROWS(Clean_Data[OrderID])+1)</f>
        <v>901</v>
      </c>
    </row>
    <row r="292" spans="1:33" ht="20" customHeight="1">
      <c r="A292" s="3" t="s">
        <v>601</v>
      </c>
      <c r="B292" s="2">
        <v>46275</v>
      </c>
      <c r="C292" s="3">
        <v>7</v>
      </c>
      <c r="D292" s="3" t="s">
        <v>602</v>
      </c>
      <c r="E292" s="3" t="s">
        <v>117</v>
      </c>
      <c r="F292" s="3" t="s">
        <v>98</v>
      </c>
      <c r="G292" s="3" t="s">
        <v>99</v>
      </c>
      <c r="H292" s="3" t="s">
        <v>130</v>
      </c>
      <c r="I292" s="3">
        <v>6</v>
      </c>
      <c r="J292" s="11">
        <v>85</v>
      </c>
      <c r="K292" s="4">
        <v>0</v>
      </c>
      <c r="L292" s="3" t="s">
        <v>95</v>
      </c>
      <c r="M292" s="3">
        <v>20</v>
      </c>
      <c r="N292" s="3">
        <v>13</v>
      </c>
      <c r="O292" s="3">
        <v>3</v>
      </c>
      <c r="P292" s="11">
        <f>Clean_Data[[#This Row],[Quantity]]*Clean_Data[[#This Row],[UnitPrice]]</f>
        <v>510</v>
      </c>
      <c r="Q292" s="11">
        <f>ROUND(Clean_Data[[#This Row],[GrossSales]]*Clean_Data[[#This Row],[DiscountPct]],2)</f>
        <v>0</v>
      </c>
      <c r="R292" s="11">
        <f>IF(Clean_Data[[#This Row],[Status]]="Delivered",ROUND(Clean_Data[[#This Row],[GrossSales]]-Clean_Data[[#This Row],[DiscountAmount]],2),0)</f>
        <v>510</v>
      </c>
      <c r="S292" s="3" t="str">
        <f>IF(Clean_Data[[#This Row],[OrderHour]]&lt;6,"Night",IF(Clean_Data[[#This Row],[OrderHour]]&lt;12,"Morning",IF(Clean_Data[[#This Row],[OrderHour]]&lt;18,"Afternoon","Evening")))</f>
        <v>Morning</v>
      </c>
      <c r="T292" s="3" t="str">
        <f>TEXT(Clean_Data[[#This Row],[OrderDate]],"[$-409]ddd")</f>
        <v>Thu</v>
      </c>
      <c r="U292" s="3">
        <f>WEEKDAY(Clean_Data[[#This Row],[OrderDate]],2)</f>
        <v>4</v>
      </c>
      <c r="V292" s="3">
        <f>INT(Clean_Data[[#This Row],[OrderHour]]/6)+1</f>
        <v>2</v>
      </c>
      <c r="W292" s="3">
        <f>IF(Clean_Data[[#This Row],[Status]]="Delivered",1,0)</f>
        <v>1</v>
      </c>
      <c r="X292" s="3">
        <f>IF(Clean_Data[[#This Row],[Status]]="Delivered",IF(Clean_Data[[#This Row],[DeliveryMinutes]]&lt;=Dashboard!$X$5,1,0),0)</f>
        <v>1</v>
      </c>
      <c r="Y2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2" s="3">
        <f>IF(AND(Clean_Data[[#This Row],[Include]]=1,Clean_Data[[#This Row],[DeliveredFlag]]=1),1,0)</f>
        <v>1</v>
      </c>
      <c r="AA292" s="1">
        <f>IF(COUNTIF($D$2:D292,D292)=1,ROW()-1,ROWS(Clean_Data[OrderID])+1)</f>
        <v>291</v>
      </c>
      <c r="AB292" s="1">
        <f>IF(COUNTIF($F$2:F292,F292)=1,ROW()-1,ROWS(Clean_Data[OrderID])+1)</f>
        <v>901</v>
      </c>
      <c r="AC292" s="1">
        <f>IF(COUNTIF($G$2:G292,G292)=1,ROW()-1,ROWS(Clean_Data[OrderID])+1)</f>
        <v>901</v>
      </c>
      <c r="AD292" s="1">
        <f>IF(COUNTIF($H$2:H292,H292)=1,ROW()-1,ROWS(Clean_Data[OrderID])+1)</f>
        <v>901</v>
      </c>
      <c r="AE292" s="1">
        <f>IF(COUNTIF($V$2:V292,V292)=1,V292,ROWS(Clean_Data[OrderID])+1)</f>
        <v>901</v>
      </c>
      <c r="AF292" s="1">
        <f>IF(COUNTIF($U$2:U292,U292)=1,U292,ROWS(Clean_Data[OrderID])+1)</f>
        <v>901</v>
      </c>
      <c r="AG292" s="1">
        <f>IF(COUNTIF($E$2:E292,E292)=1,ROW()-1,ROWS(Clean_Data[OrderID])+1)</f>
        <v>901</v>
      </c>
    </row>
    <row r="293" spans="1:33" ht="20" customHeight="1">
      <c r="A293" s="3" t="s">
        <v>603</v>
      </c>
      <c r="B293" s="2">
        <v>46275</v>
      </c>
      <c r="C293" s="3">
        <v>12</v>
      </c>
      <c r="D293" s="3" t="s">
        <v>183</v>
      </c>
      <c r="E293" s="3" t="s">
        <v>91</v>
      </c>
      <c r="F293" s="3" t="s">
        <v>92</v>
      </c>
      <c r="G293" s="3" t="s">
        <v>99</v>
      </c>
      <c r="H293" s="3" t="s">
        <v>130</v>
      </c>
      <c r="I293" s="3">
        <v>4</v>
      </c>
      <c r="J293" s="11">
        <v>85</v>
      </c>
      <c r="K293" s="4">
        <v>0.1</v>
      </c>
      <c r="L293" s="3" t="s">
        <v>95</v>
      </c>
      <c r="M293" s="3">
        <v>12</v>
      </c>
      <c r="N293" s="3">
        <v>5</v>
      </c>
      <c r="O293" s="3">
        <v>5</v>
      </c>
      <c r="P293" s="11">
        <f>Clean_Data[[#This Row],[Quantity]]*Clean_Data[[#This Row],[UnitPrice]]</f>
        <v>340</v>
      </c>
      <c r="Q293" s="11">
        <f>ROUND(Clean_Data[[#This Row],[GrossSales]]*Clean_Data[[#This Row],[DiscountPct]],2)</f>
        <v>34</v>
      </c>
      <c r="R293" s="11">
        <f>IF(Clean_Data[[#This Row],[Status]]="Delivered",ROUND(Clean_Data[[#This Row],[GrossSales]]-Clean_Data[[#This Row],[DiscountAmount]],2),0)</f>
        <v>306</v>
      </c>
      <c r="S293" s="3" t="str">
        <f>IF(Clean_Data[[#This Row],[OrderHour]]&lt;6,"Night",IF(Clean_Data[[#This Row],[OrderHour]]&lt;12,"Morning",IF(Clean_Data[[#This Row],[OrderHour]]&lt;18,"Afternoon","Evening")))</f>
        <v>Afternoon</v>
      </c>
      <c r="T293" s="3" t="str">
        <f>TEXT(Clean_Data[[#This Row],[OrderDate]],"[$-409]ddd")</f>
        <v>Thu</v>
      </c>
      <c r="U293" s="3">
        <f>WEEKDAY(Clean_Data[[#This Row],[OrderDate]],2)</f>
        <v>4</v>
      </c>
      <c r="V293" s="3">
        <f>INT(Clean_Data[[#This Row],[OrderHour]]/6)+1</f>
        <v>3</v>
      </c>
      <c r="W293" s="3">
        <f>IF(Clean_Data[[#This Row],[Status]]="Delivered",1,0)</f>
        <v>1</v>
      </c>
      <c r="X293" s="3">
        <f>IF(Clean_Data[[#This Row],[Status]]="Delivered",IF(Clean_Data[[#This Row],[DeliveryMinutes]]&lt;=Dashboard!$X$5,1,0),0)</f>
        <v>1</v>
      </c>
      <c r="Y2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3" s="3">
        <f>IF(AND(Clean_Data[[#This Row],[Include]]=1,Clean_Data[[#This Row],[DeliveredFlag]]=1),1,0)</f>
        <v>1</v>
      </c>
      <c r="AA293" s="1">
        <f>IF(COUNTIF($D$2:D293,D293)=1,ROW()-1,ROWS(Clean_Data[OrderID])+1)</f>
        <v>901</v>
      </c>
      <c r="AB293" s="1">
        <f>IF(COUNTIF($F$2:F293,F293)=1,ROW()-1,ROWS(Clean_Data[OrderID])+1)</f>
        <v>901</v>
      </c>
      <c r="AC293" s="1">
        <f>IF(COUNTIF($G$2:G293,G293)=1,ROW()-1,ROWS(Clean_Data[OrderID])+1)</f>
        <v>901</v>
      </c>
      <c r="AD293" s="1">
        <f>IF(COUNTIF($H$2:H293,H293)=1,ROW()-1,ROWS(Clean_Data[OrderID])+1)</f>
        <v>901</v>
      </c>
      <c r="AE293" s="1">
        <f>IF(COUNTIF($V$2:V293,V293)=1,V293,ROWS(Clean_Data[OrderID])+1)</f>
        <v>901</v>
      </c>
      <c r="AF293" s="1">
        <f>IF(COUNTIF($U$2:U293,U293)=1,U293,ROWS(Clean_Data[OrderID])+1)</f>
        <v>901</v>
      </c>
      <c r="AG293" s="1">
        <f>IF(COUNTIF($E$2:E293,E293)=1,ROW()-1,ROWS(Clean_Data[OrderID])+1)</f>
        <v>901</v>
      </c>
    </row>
    <row r="294" spans="1:33" ht="20" customHeight="1">
      <c r="A294" s="3" t="s">
        <v>604</v>
      </c>
      <c r="B294" s="2">
        <v>46275</v>
      </c>
      <c r="C294" s="3">
        <v>9</v>
      </c>
      <c r="D294" s="3" t="s">
        <v>605</v>
      </c>
      <c r="E294" s="3" t="s">
        <v>91</v>
      </c>
      <c r="F294" s="3" t="s">
        <v>92</v>
      </c>
      <c r="G294" s="3" t="s">
        <v>110</v>
      </c>
      <c r="H294" s="3" t="s">
        <v>114</v>
      </c>
      <c r="I294" s="3">
        <v>5</v>
      </c>
      <c r="J294" s="11">
        <v>145</v>
      </c>
      <c r="K294" s="4">
        <v>0</v>
      </c>
      <c r="L294" s="3" t="s">
        <v>95</v>
      </c>
      <c r="M294" s="3">
        <v>25</v>
      </c>
      <c r="N294" s="3">
        <v>6</v>
      </c>
      <c r="O294" s="3">
        <v>4</v>
      </c>
      <c r="P294" s="11">
        <f>Clean_Data[[#This Row],[Quantity]]*Clean_Data[[#This Row],[UnitPrice]]</f>
        <v>725</v>
      </c>
      <c r="Q294" s="11">
        <f>ROUND(Clean_Data[[#This Row],[GrossSales]]*Clean_Data[[#This Row],[DiscountPct]],2)</f>
        <v>0</v>
      </c>
      <c r="R294" s="11">
        <f>IF(Clean_Data[[#This Row],[Status]]="Delivered",ROUND(Clean_Data[[#This Row],[GrossSales]]-Clean_Data[[#This Row],[DiscountAmount]],2),0)</f>
        <v>725</v>
      </c>
      <c r="S294" s="3" t="str">
        <f>IF(Clean_Data[[#This Row],[OrderHour]]&lt;6,"Night",IF(Clean_Data[[#This Row],[OrderHour]]&lt;12,"Morning",IF(Clean_Data[[#This Row],[OrderHour]]&lt;18,"Afternoon","Evening")))</f>
        <v>Morning</v>
      </c>
      <c r="T294" s="3" t="str">
        <f>TEXT(Clean_Data[[#This Row],[OrderDate]],"[$-409]ddd")</f>
        <v>Thu</v>
      </c>
      <c r="U294" s="3">
        <f>WEEKDAY(Clean_Data[[#This Row],[OrderDate]],2)</f>
        <v>4</v>
      </c>
      <c r="V294" s="3">
        <f>INT(Clean_Data[[#This Row],[OrderHour]]/6)+1</f>
        <v>2</v>
      </c>
      <c r="W294" s="3">
        <f>IF(Clean_Data[[#This Row],[Status]]="Delivered",1,0)</f>
        <v>1</v>
      </c>
      <c r="X294" s="3">
        <f>IF(Clean_Data[[#This Row],[Status]]="Delivered",IF(Clean_Data[[#This Row],[DeliveryMinutes]]&lt;=Dashboard!$X$5,1,0),0)</f>
        <v>1</v>
      </c>
      <c r="Y2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4" s="3">
        <f>IF(AND(Clean_Data[[#This Row],[Include]]=1,Clean_Data[[#This Row],[DeliveredFlag]]=1),1,0)</f>
        <v>1</v>
      </c>
      <c r="AA294" s="1">
        <f>IF(COUNTIF($D$2:D294,D294)=1,ROW()-1,ROWS(Clean_Data[OrderID])+1)</f>
        <v>293</v>
      </c>
      <c r="AB294" s="1">
        <f>IF(COUNTIF($F$2:F294,F294)=1,ROW()-1,ROWS(Clean_Data[OrderID])+1)</f>
        <v>901</v>
      </c>
      <c r="AC294" s="1">
        <f>IF(COUNTIF($G$2:G294,G294)=1,ROW()-1,ROWS(Clean_Data[OrderID])+1)</f>
        <v>901</v>
      </c>
      <c r="AD294" s="1">
        <f>IF(COUNTIF($H$2:H294,H294)=1,ROW()-1,ROWS(Clean_Data[OrderID])+1)</f>
        <v>901</v>
      </c>
      <c r="AE294" s="1">
        <f>IF(COUNTIF($V$2:V294,V294)=1,V294,ROWS(Clean_Data[OrderID])+1)</f>
        <v>901</v>
      </c>
      <c r="AF294" s="1">
        <f>IF(COUNTIF($U$2:U294,U294)=1,U294,ROWS(Clean_Data[OrderID])+1)</f>
        <v>901</v>
      </c>
      <c r="AG294" s="1">
        <f>IF(COUNTIF($E$2:E294,E294)=1,ROW()-1,ROWS(Clean_Data[OrderID])+1)</f>
        <v>901</v>
      </c>
    </row>
    <row r="295" spans="1:33" ht="20" customHeight="1">
      <c r="A295" s="3" t="s">
        <v>606</v>
      </c>
      <c r="B295" s="2">
        <v>46275</v>
      </c>
      <c r="C295" s="3">
        <v>18</v>
      </c>
      <c r="D295" s="3" t="s">
        <v>448</v>
      </c>
      <c r="E295" s="3" t="s">
        <v>91</v>
      </c>
      <c r="F295" s="3" t="s">
        <v>109</v>
      </c>
      <c r="G295" s="3" t="s">
        <v>93</v>
      </c>
      <c r="H295" s="3" t="s">
        <v>118</v>
      </c>
      <c r="I295" s="3">
        <v>2</v>
      </c>
      <c r="J295" s="11">
        <v>45</v>
      </c>
      <c r="K295" s="4">
        <v>0.15</v>
      </c>
      <c r="L295" s="3" t="s">
        <v>95</v>
      </c>
      <c r="M295" s="3">
        <v>31</v>
      </c>
      <c r="N295" s="3">
        <v>7</v>
      </c>
      <c r="O295" s="3">
        <v>4</v>
      </c>
      <c r="P295" s="11">
        <f>Clean_Data[[#This Row],[Quantity]]*Clean_Data[[#This Row],[UnitPrice]]</f>
        <v>90</v>
      </c>
      <c r="Q295" s="11">
        <f>ROUND(Clean_Data[[#This Row],[GrossSales]]*Clean_Data[[#This Row],[DiscountPct]],2)</f>
        <v>13.5</v>
      </c>
      <c r="R295" s="11">
        <f>IF(Clean_Data[[#This Row],[Status]]="Delivered",ROUND(Clean_Data[[#This Row],[GrossSales]]-Clean_Data[[#This Row],[DiscountAmount]],2),0)</f>
        <v>76.5</v>
      </c>
      <c r="S295" s="3" t="str">
        <f>IF(Clean_Data[[#This Row],[OrderHour]]&lt;6,"Night",IF(Clean_Data[[#This Row],[OrderHour]]&lt;12,"Morning",IF(Clean_Data[[#This Row],[OrderHour]]&lt;18,"Afternoon","Evening")))</f>
        <v>Evening</v>
      </c>
      <c r="T295" s="3" t="str">
        <f>TEXT(Clean_Data[[#This Row],[OrderDate]],"[$-409]ddd")</f>
        <v>Thu</v>
      </c>
      <c r="U295" s="3">
        <f>WEEKDAY(Clean_Data[[#This Row],[OrderDate]],2)</f>
        <v>4</v>
      </c>
      <c r="V295" s="3">
        <f>INT(Clean_Data[[#This Row],[OrderHour]]/6)+1</f>
        <v>4</v>
      </c>
      <c r="W295" s="3">
        <f>IF(Clean_Data[[#This Row],[Status]]="Delivered",1,0)</f>
        <v>1</v>
      </c>
      <c r="X295" s="3">
        <f>IF(Clean_Data[[#This Row],[Status]]="Delivered",IF(Clean_Data[[#This Row],[DeliveryMinutes]]&lt;=Dashboard!$X$5,1,0),0)</f>
        <v>0</v>
      </c>
      <c r="Y2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5" s="3">
        <f>IF(AND(Clean_Data[[#This Row],[Include]]=1,Clean_Data[[#This Row],[DeliveredFlag]]=1),1,0)</f>
        <v>1</v>
      </c>
      <c r="AA295" s="1">
        <f>IF(COUNTIF($D$2:D295,D295)=1,ROW()-1,ROWS(Clean_Data[OrderID])+1)</f>
        <v>901</v>
      </c>
      <c r="AB295" s="1">
        <f>IF(COUNTIF($F$2:F295,F295)=1,ROW()-1,ROWS(Clean_Data[OrderID])+1)</f>
        <v>901</v>
      </c>
      <c r="AC295" s="1">
        <f>IF(COUNTIF($G$2:G295,G295)=1,ROW()-1,ROWS(Clean_Data[OrderID])+1)</f>
        <v>901</v>
      </c>
      <c r="AD295" s="1">
        <f>IF(COUNTIF($H$2:H295,H295)=1,ROW()-1,ROWS(Clean_Data[OrderID])+1)</f>
        <v>901</v>
      </c>
      <c r="AE295" s="1">
        <f>IF(COUNTIF($V$2:V295,V295)=1,V295,ROWS(Clean_Data[OrderID])+1)</f>
        <v>901</v>
      </c>
      <c r="AF295" s="1">
        <f>IF(COUNTIF($U$2:U295,U295)=1,U295,ROWS(Clean_Data[OrderID])+1)</f>
        <v>901</v>
      </c>
      <c r="AG295" s="1">
        <f>IF(COUNTIF($E$2:E295,E295)=1,ROW()-1,ROWS(Clean_Data[OrderID])+1)</f>
        <v>901</v>
      </c>
    </row>
    <row r="296" spans="1:33" ht="20" customHeight="1">
      <c r="A296" s="3" t="s">
        <v>607</v>
      </c>
      <c r="B296" s="2">
        <v>46275</v>
      </c>
      <c r="C296" s="3">
        <v>15</v>
      </c>
      <c r="D296" s="3" t="s">
        <v>608</v>
      </c>
      <c r="E296" s="3" t="s">
        <v>91</v>
      </c>
      <c r="F296" s="3" t="s">
        <v>121</v>
      </c>
      <c r="G296" s="3" t="s">
        <v>110</v>
      </c>
      <c r="H296" s="3" t="s">
        <v>114</v>
      </c>
      <c r="I296" s="3">
        <v>5</v>
      </c>
      <c r="J296" s="11">
        <v>145</v>
      </c>
      <c r="K296" s="4">
        <v>0</v>
      </c>
      <c r="L296" s="3" t="s">
        <v>95</v>
      </c>
      <c r="M296" s="3">
        <v>21</v>
      </c>
      <c r="N296" s="3">
        <v>12</v>
      </c>
      <c r="O296" s="3">
        <v>4</v>
      </c>
      <c r="P296" s="11">
        <f>Clean_Data[[#This Row],[Quantity]]*Clean_Data[[#This Row],[UnitPrice]]</f>
        <v>725</v>
      </c>
      <c r="Q296" s="11">
        <f>ROUND(Clean_Data[[#This Row],[GrossSales]]*Clean_Data[[#This Row],[DiscountPct]],2)</f>
        <v>0</v>
      </c>
      <c r="R296" s="11">
        <f>IF(Clean_Data[[#This Row],[Status]]="Delivered",ROUND(Clean_Data[[#This Row],[GrossSales]]-Clean_Data[[#This Row],[DiscountAmount]],2),0)</f>
        <v>725</v>
      </c>
      <c r="S296" s="3" t="str">
        <f>IF(Clean_Data[[#This Row],[OrderHour]]&lt;6,"Night",IF(Clean_Data[[#This Row],[OrderHour]]&lt;12,"Morning",IF(Clean_Data[[#This Row],[OrderHour]]&lt;18,"Afternoon","Evening")))</f>
        <v>Afternoon</v>
      </c>
      <c r="T296" s="3" t="str">
        <f>TEXT(Clean_Data[[#This Row],[OrderDate]],"[$-409]ddd")</f>
        <v>Thu</v>
      </c>
      <c r="U296" s="3">
        <f>WEEKDAY(Clean_Data[[#This Row],[OrderDate]],2)</f>
        <v>4</v>
      </c>
      <c r="V296" s="3">
        <f>INT(Clean_Data[[#This Row],[OrderHour]]/6)+1</f>
        <v>3</v>
      </c>
      <c r="W296" s="3">
        <f>IF(Clean_Data[[#This Row],[Status]]="Delivered",1,0)</f>
        <v>1</v>
      </c>
      <c r="X296" s="3">
        <f>IF(Clean_Data[[#This Row],[Status]]="Delivered",IF(Clean_Data[[#This Row],[DeliveryMinutes]]&lt;=Dashboard!$X$5,1,0),0)</f>
        <v>1</v>
      </c>
      <c r="Y2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6" s="3">
        <f>IF(AND(Clean_Data[[#This Row],[Include]]=1,Clean_Data[[#This Row],[DeliveredFlag]]=1),1,0)</f>
        <v>1</v>
      </c>
      <c r="AA296" s="1">
        <f>IF(COUNTIF($D$2:D296,D296)=1,ROW()-1,ROWS(Clean_Data[OrderID])+1)</f>
        <v>295</v>
      </c>
      <c r="AB296" s="1">
        <f>IF(COUNTIF($F$2:F296,F296)=1,ROW()-1,ROWS(Clean_Data[OrderID])+1)</f>
        <v>901</v>
      </c>
      <c r="AC296" s="1">
        <f>IF(COUNTIF($G$2:G296,G296)=1,ROW()-1,ROWS(Clean_Data[OrderID])+1)</f>
        <v>901</v>
      </c>
      <c r="AD296" s="1">
        <f>IF(COUNTIF($H$2:H296,H296)=1,ROW()-1,ROWS(Clean_Data[OrderID])+1)</f>
        <v>901</v>
      </c>
      <c r="AE296" s="1">
        <f>IF(COUNTIF($V$2:V296,V296)=1,V296,ROWS(Clean_Data[OrderID])+1)</f>
        <v>901</v>
      </c>
      <c r="AF296" s="1">
        <f>IF(COUNTIF($U$2:U296,U296)=1,U296,ROWS(Clean_Data[OrderID])+1)</f>
        <v>901</v>
      </c>
      <c r="AG296" s="1">
        <f>IF(COUNTIF($E$2:E296,E296)=1,ROW()-1,ROWS(Clean_Data[OrderID])+1)</f>
        <v>901</v>
      </c>
    </row>
    <row r="297" spans="1:33" ht="20" customHeight="1">
      <c r="A297" s="3" t="s">
        <v>609</v>
      </c>
      <c r="B297" s="2">
        <v>46275</v>
      </c>
      <c r="C297" s="3">
        <v>17</v>
      </c>
      <c r="D297" s="3" t="s">
        <v>610</v>
      </c>
      <c r="E297" s="3" t="s">
        <v>91</v>
      </c>
      <c r="F297" s="3" t="s">
        <v>121</v>
      </c>
      <c r="G297" s="3" t="s">
        <v>93</v>
      </c>
      <c r="H297" s="3" t="s">
        <v>146</v>
      </c>
      <c r="I297" s="3">
        <v>3</v>
      </c>
      <c r="J297" s="11">
        <v>110</v>
      </c>
      <c r="K297" s="4">
        <v>0</v>
      </c>
      <c r="L297" s="3" t="s">
        <v>95</v>
      </c>
      <c r="M297" s="3">
        <v>21</v>
      </c>
      <c r="N297" s="3">
        <v>6</v>
      </c>
      <c r="O297" s="3">
        <v>4</v>
      </c>
      <c r="P297" s="11">
        <f>Clean_Data[[#This Row],[Quantity]]*Clean_Data[[#This Row],[UnitPrice]]</f>
        <v>330</v>
      </c>
      <c r="Q297" s="11">
        <f>ROUND(Clean_Data[[#This Row],[GrossSales]]*Clean_Data[[#This Row],[DiscountPct]],2)</f>
        <v>0</v>
      </c>
      <c r="R297" s="11">
        <f>IF(Clean_Data[[#This Row],[Status]]="Delivered",ROUND(Clean_Data[[#This Row],[GrossSales]]-Clean_Data[[#This Row],[DiscountAmount]],2),0)</f>
        <v>330</v>
      </c>
      <c r="S297" s="3" t="str">
        <f>IF(Clean_Data[[#This Row],[OrderHour]]&lt;6,"Night",IF(Clean_Data[[#This Row],[OrderHour]]&lt;12,"Morning",IF(Clean_Data[[#This Row],[OrderHour]]&lt;18,"Afternoon","Evening")))</f>
        <v>Afternoon</v>
      </c>
      <c r="T297" s="3" t="str">
        <f>TEXT(Clean_Data[[#This Row],[OrderDate]],"[$-409]ddd")</f>
        <v>Thu</v>
      </c>
      <c r="U297" s="3">
        <f>WEEKDAY(Clean_Data[[#This Row],[OrderDate]],2)</f>
        <v>4</v>
      </c>
      <c r="V297" s="3">
        <f>INT(Clean_Data[[#This Row],[OrderHour]]/6)+1</f>
        <v>3</v>
      </c>
      <c r="W297" s="3">
        <f>IF(Clean_Data[[#This Row],[Status]]="Delivered",1,0)</f>
        <v>1</v>
      </c>
      <c r="X297" s="3">
        <f>IF(Clean_Data[[#This Row],[Status]]="Delivered",IF(Clean_Data[[#This Row],[DeliveryMinutes]]&lt;=Dashboard!$X$5,1,0),0)</f>
        <v>1</v>
      </c>
      <c r="Y2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7" s="3">
        <f>IF(AND(Clean_Data[[#This Row],[Include]]=1,Clean_Data[[#This Row],[DeliveredFlag]]=1),1,0)</f>
        <v>1</v>
      </c>
      <c r="AA297" s="1">
        <f>IF(COUNTIF($D$2:D297,D297)=1,ROW()-1,ROWS(Clean_Data[OrderID])+1)</f>
        <v>296</v>
      </c>
      <c r="AB297" s="1">
        <f>IF(COUNTIF($F$2:F297,F297)=1,ROW()-1,ROWS(Clean_Data[OrderID])+1)</f>
        <v>901</v>
      </c>
      <c r="AC297" s="1">
        <f>IF(COUNTIF($G$2:G297,G297)=1,ROW()-1,ROWS(Clean_Data[OrderID])+1)</f>
        <v>901</v>
      </c>
      <c r="AD297" s="1">
        <f>IF(COUNTIF($H$2:H297,H297)=1,ROW()-1,ROWS(Clean_Data[OrderID])+1)</f>
        <v>901</v>
      </c>
      <c r="AE297" s="1">
        <f>IF(COUNTIF($V$2:V297,V297)=1,V297,ROWS(Clean_Data[OrderID])+1)</f>
        <v>901</v>
      </c>
      <c r="AF297" s="1">
        <f>IF(COUNTIF($U$2:U297,U297)=1,U297,ROWS(Clean_Data[OrderID])+1)</f>
        <v>901</v>
      </c>
      <c r="AG297" s="1">
        <f>IF(COUNTIF($E$2:E297,E297)=1,ROW()-1,ROWS(Clean_Data[OrderID])+1)</f>
        <v>901</v>
      </c>
    </row>
    <row r="298" spans="1:33" ht="20" customHeight="1">
      <c r="A298" s="3" t="s">
        <v>611</v>
      </c>
      <c r="B298" s="2">
        <v>46275</v>
      </c>
      <c r="C298" s="3">
        <v>13</v>
      </c>
      <c r="D298" s="3" t="s">
        <v>548</v>
      </c>
      <c r="E298" s="3" t="s">
        <v>91</v>
      </c>
      <c r="F298" s="3" t="s">
        <v>121</v>
      </c>
      <c r="G298" s="3" t="s">
        <v>122</v>
      </c>
      <c r="H298" s="3" t="s">
        <v>123</v>
      </c>
      <c r="I298" s="3">
        <v>6</v>
      </c>
      <c r="J298" s="11">
        <v>45</v>
      </c>
      <c r="K298" s="4">
        <v>0</v>
      </c>
      <c r="L298" s="3" t="s">
        <v>95</v>
      </c>
      <c r="M298" s="3">
        <v>13</v>
      </c>
      <c r="N298" s="3">
        <v>12</v>
      </c>
      <c r="O298" s="3">
        <v>3</v>
      </c>
      <c r="P298" s="11">
        <f>Clean_Data[[#This Row],[Quantity]]*Clean_Data[[#This Row],[UnitPrice]]</f>
        <v>270</v>
      </c>
      <c r="Q298" s="11">
        <f>ROUND(Clean_Data[[#This Row],[GrossSales]]*Clean_Data[[#This Row],[DiscountPct]],2)</f>
        <v>0</v>
      </c>
      <c r="R298" s="11">
        <f>IF(Clean_Data[[#This Row],[Status]]="Delivered",ROUND(Clean_Data[[#This Row],[GrossSales]]-Clean_Data[[#This Row],[DiscountAmount]],2),0)</f>
        <v>270</v>
      </c>
      <c r="S298" s="3" t="str">
        <f>IF(Clean_Data[[#This Row],[OrderHour]]&lt;6,"Night",IF(Clean_Data[[#This Row],[OrderHour]]&lt;12,"Morning",IF(Clean_Data[[#This Row],[OrderHour]]&lt;18,"Afternoon","Evening")))</f>
        <v>Afternoon</v>
      </c>
      <c r="T298" s="3" t="str">
        <f>TEXT(Clean_Data[[#This Row],[OrderDate]],"[$-409]ddd")</f>
        <v>Thu</v>
      </c>
      <c r="U298" s="3">
        <f>WEEKDAY(Clean_Data[[#This Row],[OrderDate]],2)</f>
        <v>4</v>
      </c>
      <c r="V298" s="3">
        <f>INT(Clean_Data[[#This Row],[OrderHour]]/6)+1</f>
        <v>3</v>
      </c>
      <c r="W298" s="3">
        <f>IF(Clean_Data[[#This Row],[Status]]="Delivered",1,0)</f>
        <v>1</v>
      </c>
      <c r="X298" s="3">
        <f>IF(Clean_Data[[#This Row],[Status]]="Delivered",IF(Clean_Data[[#This Row],[DeliveryMinutes]]&lt;=Dashboard!$X$5,1,0),0)</f>
        <v>1</v>
      </c>
      <c r="Y2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8" s="3">
        <f>IF(AND(Clean_Data[[#This Row],[Include]]=1,Clean_Data[[#This Row],[DeliveredFlag]]=1),1,0)</f>
        <v>1</v>
      </c>
      <c r="AA298" s="1">
        <f>IF(COUNTIF($D$2:D298,D298)=1,ROW()-1,ROWS(Clean_Data[OrderID])+1)</f>
        <v>901</v>
      </c>
      <c r="AB298" s="1">
        <f>IF(COUNTIF($F$2:F298,F298)=1,ROW()-1,ROWS(Clean_Data[OrderID])+1)</f>
        <v>901</v>
      </c>
      <c r="AC298" s="1">
        <f>IF(COUNTIF($G$2:G298,G298)=1,ROW()-1,ROWS(Clean_Data[OrderID])+1)</f>
        <v>901</v>
      </c>
      <c r="AD298" s="1">
        <f>IF(COUNTIF($H$2:H298,H298)=1,ROW()-1,ROWS(Clean_Data[OrderID])+1)</f>
        <v>901</v>
      </c>
      <c r="AE298" s="1">
        <f>IF(COUNTIF($V$2:V298,V298)=1,V298,ROWS(Clean_Data[OrderID])+1)</f>
        <v>901</v>
      </c>
      <c r="AF298" s="1">
        <f>IF(COUNTIF($U$2:U298,U298)=1,U298,ROWS(Clean_Data[OrderID])+1)</f>
        <v>901</v>
      </c>
      <c r="AG298" s="1">
        <f>IF(COUNTIF($E$2:E298,E298)=1,ROW()-1,ROWS(Clean_Data[OrderID])+1)</f>
        <v>901</v>
      </c>
    </row>
    <row r="299" spans="1:33" ht="20" customHeight="1">
      <c r="A299" s="3" t="s">
        <v>612</v>
      </c>
      <c r="B299" s="2">
        <v>46275</v>
      </c>
      <c r="C299" s="3">
        <v>23</v>
      </c>
      <c r="D299" s="3" t="s">
        <v>613</v>
      </c>
      <c r="E299" s="3" t="s">
        <v>91</v>
      </c>
      <c r="F299" s="3" t="s">
        <v>109</v>
      </c>
      <c r="G299" s="3" t="s">
        <v>110</v>
      </c>
      <c r="H299" s="3" t="s">
        <v>206</v>
      </c>
      <c r="I299" s="3">
        <v>1</v>
      </c>
      <c r="J299" s="11">
        <v>220</v>
      </c>
      <c r="K299" s="4">
        <v>0.05</v>
      </c>
      <c r="L299" s="3" t="s">
        <v>95</v>
      </c>
      <c r="M299" s="3">
        <v>24</v>
      </c>
      <c r="N299" s="3">
        <v>13</v>
      </c>
      <c r="O299" s="3">
        <v>5</v>
      </c>
      <c r="P299" s="11">
        <f>Clean_Data[[#This Row],[Quantity]]*Clean_Data[[#This Row],[UnitPrice]]</f>
        <v>220</v>
      </c>
      <c r="Q299" s="11">
        <f>ROUND(Clean_Data[[#This Row],[GrossSales]]*Clean_Data[[#This Row],[DiscountPct]],2)</f>
        <v>11</v>
      </c>
      <c r="R299" s="11">
        <f>IF(Clean_Data[[#This Row],[Status]]="Delivered",ROUND(Clean_Data[[#This Row],[GrossSales]]-Clean_Data[[#This Row],[DiscountAmount]],2),0)</f>
        <v>209</v>
      </c>
      <c r="S299" s="3" t="str">
        <f>IF(Clean_Data[[#This Row],[OrderHour]]&lt;6,"Night",IF(Clean_Data[[#This Row],[OrderHour]]&lt;12,"Morning",IF(Clean_Data[[#This Row],[OrderHour]]&lt;18,"Afternoon","Evening")))</f>
        <v>Evening</v>
      </c>
      <c r="T299" s="3" t="str">
        <f>TEXT(Clean_Data[[#This Row],[OrderDate]],"[$-409]ddd")</f>
        <v>Thu</v>
      </c>
      <c r="U299" s="3">
        <f>WEEKDAY(Clean_Data[[#This Row],[OrderDate]],2)</f>
        <v>4</v>
      </c>
      <c r="V299" s="3">
        <f>INT(Clean_Data[[#This Row],[OrderHour]]/6)+1</f>
        <v>4</v>
      </c>
      <c r="W299" s="3">
        <f>IF(Clean_Data[[#This Row],[Status]]="Delivered",1,0)</f>
        <v>1</v>
      </c>
      <c r="X299" s="3">
        <f>IF(Clean_Data[[#This Row],[Status]]="Delivered",IF(Clean_Data[[#This Row],[DeliveryMinutes]]&lt;=Dashboard!$X$5,1,0),0)</f>
        <v>1</v>
      </c>
      <c r="Y2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299" s="3">
        <f>IF(AND(Clean_Data[[#This Row],[Include]]=1,Clean_Data[[#This Row],[DeliveredFlag]]=1),1,0)</f>
        <v>1</v>
      </c>
      <c r="AA299" s="1">
        <f>IF(COUNTIF($D$2:D299,D299)=1,ROW()-1,ROWS(Clean_Data[OrderID])+1)</f>
        <v>298</v>
      </c>
      <c r="AB299" s="1">
        <f>IF(COUNTIF($F$2:F299,F299)=1,ROW()-1,ROWS(Clean_Data[OrderID])+1)</f>
        <v>901</v>
      </c>
      <c r="AC299" s="1">
        <f>IF(COUNTIF($G$2:G299,G299)=1,ROW()-1,ROWS(Clean_Data[OrderID])+1)</f>
        <v>901</v>
      </c>
      <c r="AD299" s="1">
        <f>IF(COUNTIF($H$2:H299,H299)=1,ROW()-1,ROWS(Clean_Data[OrderID])+1)</f>
        <v>901</v>
      </c>
      <c r="AE299" s="1">
        <f>IF(COUNTIF($V$2:V299,V299)=1,V299,ROWS(Clean_Data[OrderID])+1)</f>
        <v>901</v>
      </c>
      <c r="AF299" s="1">
        <f>IF(COUNTIF($U$2:U299,U299)=1,U299,ROWS(Clean_Data[OrderID])+1)</f>
        <v>901</v>
      </c>
      <c r="AG299" s="1">
        <f>IF(COUNTIF($E$2:E299,E299)=1,ROW()-1,ROWS(Clean_Data[OrderID])+1)</f>
        <v>901</v>
      </c>
    </row>
    <row r="300" spans="1:33" ht="20" customHeight="1">
      <c r="A300" s="3" t="s">
        <v>614</v>
      </c>
      <c r="B300" s="2">
        <v>46275</v>
      </c>
      <c r="C300" s="3">
        <v>8</v>
      </c>
      <c r="D300" s="3" t="s">
        <v>615</v>
      </c>
      <c r="E300" s="3" t="s">
        <v>91</v>
      </c>
      <c r="F300" s="3" t="s">
        <v>139</v>
      </c>
      <c r="G300" s="3" t="s">
        <v>135</v>
      </c>
      <c r="H300" s="3" t="s">
        <v>162</v>
      </c>
      <c r="I300" s="3">
        <v>6</v>
      </c>
      <c r="J300" s="11">
        <v>180</v>
      </c>
      <c r="K300" s="4">
        <v>0</v>
      </c>
      <c r="L300" s="3" t="s">
        <v>95</v>
      </c>
      <c r="M300" s="3">
        <v>27</v>
      </c>
      <c r="N300" s="3">
        <v>10</v>
      </c>
      <c r="O300" s="3">
        <v>5</v>
      </c>
      <c r="P300" s="11">
        <f>Clean_Data[[#This Row],[Quantity]]*Clean_Data[[#This Row],[UnitPrice]]</f>
        <v>1080</v>
      </c>
      <c r="Q300" s="11">
        <f>ROUND(Clean_Data[[#This Row],[GrossSales]]*Clean_Data[[#This Row],[DiscountPct]],2)</f>
        <v>0</v>
      </c>
      <c r="R300" s="11">
        <f>IF(Clean_Data[[#This Row],[Status]]="Delivered",ROUND(Clean_Data[[#This Row],[GrossSales]]-Clean_Data[[#This Row],[DiscountAmount]],2),0)</f>
        <v>1080</v>
      </c>
      <c r="S300" s="3" t="str">
        <f>IF(Clean_Data[[#This Row],[OrderHour]]&lt;6,"Night",IF(Clean_Data[[#This Row],[OrderHour]]&lt;12,"Morning",IF(Clean_Data[[#This Row],[OrderHour]]&lt;18,"Afternoon","Evening")))</f>
        <v>Morning</v>
      </c>
      <c r="T300" s="3" t="str">
        <f>TEXT(Clean_Data[[#This Row],[OrderDate]],"[$-409]ddd")</f>
        <v>Thu</v>
      </c>
      <c r="U300" s="3">
        <f>WEEKDAY(Clean_Data[[#This Row],[OrderDate]],2)</f>
        <v>4</v>
      </c>
      <c r="V300" s="3">
        <f>INT(Clean_Data[[#This Row],[OrderHour]]/6)+1</f>
        <v>2</v>
      </c>
      <c r="W300" s="3">
        <f>IF(Clean_Data[[#This Row],[Status]]="Delivered",1,0)</f>
        <v>1</v>
      </c>
      <c r="X300" s="3">
        <f>IF(Clean_Data[[#This Row],[Status]]="Delivered",IF(Clean_Data[[#This Row],[DeliveryMinutes]]&lt;=Dashboard!$X$5,1,0),0)</f>
        <v>1</v>
      </c>
      <c r="Y3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0" s="3">
        <f>IF(AND(Clean_Data[[#This Row],[Include]]=1,Clean_Data[[#This Row],[DeliveredFlag]]=1),1,0)</f>
        <v>1</v>
      </c>
      <c r="AA300" s="1">
        <f>IF(COUNTIF($D$2:D300,D300)=1,ROW()-1,ROWS(Clean_Data[OrderID])+1)</f>
        <v>299</v>
      </c>
      <c r="AB300" s="1">
        <f>IF(COUNTIF($F$2:F300,F300)=1,ROW()-1,ROWS(Clean_Data[OrderID])+1)</f>
        <v>901</v>
      </c>
      <c r="AC300" s="1">
        <f>IF(COUNTIF($G$2:G300,G300)=1,ROW()-1,ROWS(Clean_Data[OrderID])+1)</f>
        <v>901</v>
      </c>
      <c r="AD300" s="1">
        <f>IF(COUNTIF($H$2:H300,H300)=1,ROW()-1,ROWS(Clean_Data[OrderID])+1)</f>
        <v>901</v>
      </c>
      <c r="AE300" s="1">
        <f>IF(COUNTIF($V$2:V300,V300)=1,V300,ROWS(Clean_Data[OrderID])+1)</f>
        <v>901</v>
      </c>
      <c r="AF300" s="1">
        <f>IF(COUNTIF($U$2:U300,U300)=1,U300,ROWS(Clean_Data[OrderID])+1)</f>
        <v>901</v>
      </c>
      <c r="AG300" s="1">
        <f>IF(COUNTIF($E$2:E300,E300)=1,ROW()-1,ROWS(Clean_Data[OrderID])+1)</f>
        <v>901</v>
      </c>
    </row>
    <row r="301" spans="1:33" ht="20" customHeight="1">
      <c r="A301" s="3" t="s">
        <v>616</v>
      </c>
      <c r="B301" s="2">
        <v>46275</v>
      </c>
      <c r="C301" s="3">
        <v>23</v>
      </c>
      <c r="D301" s="3" t="s">
        <v>613</v>
      </c>
      <c r="E301" s="3" t="s">
        <v>91</v>
      </c>
      <c r="F301" s="3" t="s">
        <v>121</v>
      </c>
      <c r="G301" s="3" t="s">
        <v>135</v>
      </c>
      <c r="H301" s="3" t="s">
        <v>162</v>
      </c>
      <c r="I301" s="3">
        <v>5</v>
      </c>
      <c r="J301" s="11">
        <v>180</v>
      </c>
      <c r="K301" s="4">
        <v>0.1</v>
      </c>
      <c r="L301" s="3" t="s">
        <v>95</v>
      </c>
      <c r="M301" s="3">
        <v>24</v>
      </c>
      <c r="N301" s="3">
        <v>7</v>
      </c>
      <c r="O301" s="3">
        <v>4</v>
      </c>
      <c r="P301" s="11">
        <f>Clean_Data[[#This Row],[Quantity]]*Clean_Data[[#This Row],[UnitPrice]]</f>
        <v>900</v>
      </c>
      <c r="Q301" s="11">
        <f>ROUND(Clean_Data[[#This Row],[GrossSales]]*Clean_Data[[#This Row],[DiscountPct]],2)</f>
        <v>90</v>
      </c>
      <c r="R301" s="11">
        <f>IF(Clean_Data[[#This Row],[Status]]="Delivered",ROUND(Clean_Data[[#This Row],[GrossSales]]-Clean_Data[[#This Row],[DiscountAmount]],2),0)</f>
        <v>810</v>
      </c>
      <c r="S301" s="3" t="str">
        <f>IF(Clean_Data[[#This Row],[OrderHour]]&lt;6,"Night",IF(Clean_Data[[#This Row],[OrderHour]]&lt;12,"Morning",IF(Clean_Data[[#This Row],[OrderHour]]&lt;18,"Afternoon","Evening")))</f>
        <v>Evening</v>
      </c>
      <c r="T301" s="3" t="str">
        <f>TEXT(Clean_Data[[#This Row],[OrderDate]],"[$-409]ddd")</f>
        <v>Thu</v>
      </c>
      <c r="U301" s="3">
        <f>WEEKDAY(Clean_Data[[#This Row],[OrderDate]],2)</f>
        <v>4</v>
      </c>
      <c r="V301" s="3">
        <f>INT(Clean_Data[[#This Row],[OrderHour]]/6)+1</f>
        <v>4</v>
      </c>
      <c r="W301" s="3">
        <f>IF(Clean_Data[[#This Row],[Status]]="Delivered",1,0)</f>
        <v>1</v>
      </c>
      <c r="X301" s="3">
        <f>IF(Clean_Data[[#This Row],[Status]]="Delivered",IF(Clean_Data[[#This Row],[DeliveryMinutes]]&lt;=Dashboard!$X$5,1,0),0)</f>
        <v>1</v>
      </c>
      <c r="Y3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1" s="3">
        <f>IF(AND(Clean_Data[[#This Row],[Include]]=1,Clean_Data[[#This Row],[DeliveredFlag]]=1),1,0)</f>
        <v>1</v>
      </c>
      <c r="AA301" s="1">
        <f>IF(COUNTIF($D$2:D301,D301)=1,ROW()-1,ROWS(Clean_Data[OrderID])+1)</f>
        <v>901</v>
      </c>
      <c r="AB301" s="1">
        <f>IF(COUNTIF($F$2:F301,F301)=1,ROW()-1,ROWS(Clean_Data[OrderID])+1)</f>
        <v>901</v>
      </c>
      <c r="AC301" s="1">
        <f>IF(COUNTIF($G$2:G301,G301)=1,ROW()-1,ROWS(Clean_Data[OrderID])+1)</f>
        <v>901</v>
      </c>
      <c r="AD301" s="1">
        <f>IF(COUNTIF($H$2:H301,H301)=1,ROW()-1,ROWS(Clean_Data[OrderID])+1)</f>
        <v>901</v>
      </c>
      <c r="AE301" s="1">
        <f>IF(COUNTIF($V$2:V301,V301)=1,V301,ROWS(Clean_Data[OrderID])+1)</f>
        <v>901</v>
      </c>
      <c r="AF301" s="1">
        <f>IF(COUNTIF($U$2:U301,U301)=1,U301,ROWS(Clean_Data[OrderID])+1)</f>
        <v>901</v>
      </c>
      <c r="AG301" s="1">
        <f>IF(COUNTIF($E$2:E301,E301)=1,ROW()-1,ROWS(Clean_Data[OrderID])+1)</f>
        <v>901</v>
      </c>
    </row>
    <row r="302" spans="1:33" ht="20" customHeight="1">
      <c r="A302" s="3" t="s">
        <v>617</v>
      </c>
      <c r="B302" s="2">
        <v>46276</v>
      </c>
      <c r="C302" s="3">
        <v>17</v>
      </c>
      <c r="D302" s="3" t="s">
        <v>116</v>
      </c>
      <c r="E302" s="3" t="s">
        <v>117</v>
      </c>
      <c r="F302" s="3" t="s">
        <v>98</v>
      </c>
      <c r="G302" s="3" t="s">
        <v>135</v>
      </c>
      <c r="H302" s="3" t="s">
        <v>136</v>
      </c>
      <c r="I302" s="3">
        <v>5</v>
      </c>
      <c r="J302" s="11">
        <v>40</v>
      </c>
      <c r="K302" s="4">
        <v>0.15</v>
      </c>
      <c r="L302" s="3" t="s">
        <v>95</v>
      </c>
      <c r="M302" s="3">
        <v>36</v>
      </c>
      <c r="N302" s="3">
        <v>11</v>
      </c>
      <c r="O302" s="3">
        <v>5</v>
      </c>
      <c r="P302" s="11">
        <f>Clean_Data[[#This Row],[Quantity]]*Clean_Data[[#This Row],[UnitPrice]]</f>
        <v>200</v>
      </c>
      <c r="Q302" s="11">
        <f>ROUND(Clean_Data[[#This Row],[GrossSales]]*Clean_Data[[#This Row],[DiscountPct]],2)</f>
        <v>30</v>
      </c>
      <c r="R302" s="11">
        <f>IF(Clean_Data[[#This Row],[Status]]="Delivered",ROUND(Clean_Data[[#This Row],[GrossSales]]-Clean_Data[[#This Row],[DiscountAmount]],2),0)</f>
        <v>170</v>
      </c>
      <c r="S302" s="3" t="str">
        <f>IF(Clean_Data[[#This Row],[OrderHour]]&lt;6,"Night",IF(Clean_Data[[#This Row],[OrderHour]]&lt;12,"Morning",IF(Clean_Data[[#This Row],[OrderHour]]&lt;18,"Afternoon","Evening")))</f>
        <v>Afternoon</v>
      </c>
      <c r="T302" s="3" t="str">
        <f>TEXT(Clean_Data[[#This Row],[OrderDate]],"[$-409]ddd")</f>
        <v>Fri</v>
      </c>
      <c r="U302" s="3">
        <f>WEEKDAY(Clean_Data[[#This Row],[OrderDate]],2)</f>
        <v>5</v>
      </c>
      <c r="V302" s="3">
        <f>INT(Clean_Data[[#This Row],[OrderHour]]/6)+1</f>
        <v>3</v>
      </c>
      <c r="W302" s="3">
        <f>IF(Clean_Data[[#This Row],[Status]]="Delivered",1,0)</f>
        <v>1</v>
      </c>
      <c r="X302" s="3">
        <f>IF(Clean_Data[[#This Row],[Status]]="Delivered",IF(Clean_Data[[#This Row],[DeliveryMinutes]]&lt;=Dashboard!$X$5,1,0),0)</f>
        <v>0</v>
      </c>
      <c r="Y3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2" s="3">
        <f>IF(AND(Clean_Data[[#This Row],[Include]]=1,Clean_Data[[#This Row],[DeliveredFlag]]=1),1,0)</f>
        <v>1</v>
      </c>
      <c r="AA302" s="1">
        <f>IF(COUNTIF($D$2:D302,D302)=1,ROW()-1,ROWS(Clean_Data[OrderID])+1)</f>
        <v>901</v>
      </c>
      <c r="AB302" s="1">
        <f>IF(COUNTIF($F$2:F302,F302)=1,ROW()-1,ROWS(Clean_Data[OrderID])+1)</f>
        <v>901</v>
      </c>
      <c r="AC302" s="1">
        <f>IF(COUNTIF($G$2:G302,G302)=1,ROW()-1,ROWS(Clean_Data[OrderID])+1)</f>
        <v>901</v>
      </c>
      <c r="AD302" s="1">
        <f>IF(COUNTIF($H$2:H302,H302)=1,ROW()-1,ROWS(Clean_Data[OrderID])+1)</f>
        <v>901</v>
      </c>
      <c r="AE302" s="1">
        <f>IF(COUNTIF($V$2:V302,V302)=1,V302,ROWS(Clean_Data[OrderID])+1)</f>
        <v>901</v>
      </c>
      <c r="AF302" s="1">
        <f>IF(COUNTIF($U$2:U302,U302)=1,U302,ROWS(Clean_Data[OrderID])+1)</f>
        <v>901</v>
      </c>
      <c r="AG302" s="1">
        <f>IF(COUNTIF($E$2:E302,E302)=1,ROW()-1,ROWS(Clean_Data[OrderID])+1)</f>
        <v>901</v>
      </c>
    </row>
    <row r="303" spans="1:33" ht="20" customHeight="1">
      <c r="A303" s="3" t="s">
        <v>618</v>
      </c>
      <c r="B303" s="2">
        <v>46276</v>
      </c>
      <c r="C303" s="3">
        <v>20</v>
      </c>
      <c r="D303" s="3" t="s">
        <v>619</v>
      </c>
      <c r="E303" s="3" t="s">
        <v>117</v>
      </c>
      <c r="F303" s="3" t="s">
        <v>109</v>
      </c>
      <c r="G303" s="3" t="s">
        <v>135</v>
      </c>
      <c r="H303" s="3" t="s">
        <v>136</v>
      </c>
      <c r="I303" s="3">
        <v>1</v>
      </c>
      <c r="J303" s="11">
        <v>40</v>
      </c>
      <c r="K303" s="4">
        <v>0.05</v>
      </c>
      <c r="L303" s="3" t="s">
        <v>95</v>
      </c>
      <c r="M303" s="3">
        <v>19</v>
      </c>
      <c r="N303" s="3">
        <v>7</v>
      </c>
      <c r="O303" s="3">
        <v>5</v>
      </c>
      <c r="P303" s="11">
        <f>Clean_Data[[#This Row],[Quantity]]*Clean_Data[[#This Row],[UnitPrice]]</f>
        <v>40</v>
      </c>
      <c r="Q303" s="11">
        <f>ROUND(Clean_Data[[#This Row],[GrossSales]]*Clean_Data[[#This Row],[DiscountPct]],2)</f>
        <v>2</v>
      </c>
      <c r="R303" s="11">
        <f>IF(Clean_Data[[#This Row],[Status]]="Delivered",ROUND(Clean_Data[[#This Row],[GrossSales]]-Clean_Data[[#This Row],[DiscountAmount]],2),0)</f>
        <v>38</v>
      </c>
      <c r="S303" s="3" t="str">
        <f>IF(Clean_Data[[#This Row],[OrderHour]]&lt;6,"Night",IF(Clean_Data[[#This Row],[OrderHour]]&lt;12,"Morning",IF(Clean_Data[[#This Row],[OrderHour]]&lt;18,"Afternoon","Evening")))</f>
        <v>Evening</v>
      </c>
      <c r="T303" s="3" t="str">
        <f>TEXT(Clean_Data[[#This Row],[OrderDate]],"[$-409]ddd")</f>
        <v>Fri</v>
      </c>
      <c r="U303" s="3">
        <f>WEEKDAY(Clean_Data[[#This Row],[OrderDate]],2)</f>
        <v>5</v>
      </c>
      <c r="V303" s="3">
        <f>INT(Clean_Data[[#This Row],[OrderHour]]/6)+1</f>
        <v>4</v>
      </c>
      <c r="W303" s="3">
        <f>IF(Clean_Data[[#This Row],[Status]]="Delivered",1,0)</f>
        <v>1</v>
      </c>
      <c r="X303" s="3">
        <f>IF(Clean_Data[[#This Row],[Status]]="Delivered",IF(Clean_Data[[#This Row],[DeliveryMinutes]]&lt;=Dashboard!$X$5,1,0),0)</f>
        <v>1</v>
      </c>
      <c r="Y3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3" s="3">
        <f>IF(AND(Clean_Data[[#This Row],[Include]]=1,Clean_Data[[#This Row],[DeliveredFlag]]=1),1,0)</f>
        <v>1</v>
      </c>
      <c r="AA303" s="1">
        <f>IF(COUNTIF($D$2:D303,D303)=1,ROW()-1,ROWS(Clean_Data[OrderID])+1)</f>
        <v>302</v>
      </c>
      <c r="AB303" s="1">
        <f>IF(COUNTIF($F$2:F303,F303)=1,ROW()-1,ROWS(Clean_Data[OrderID])+1)</f>
        <v>901</v>
      </c>
      <c r="AC303" s="1">
        <f>IF(COUNTIF($G$2:G303,G303)=1,ROW()-1,ROWS(Clean_Data[OrderID])+1)</f>
        <v>901</v>
      </c>
      <c r="AD303" s="1">
        <f>IF(COUNTIF($H$2:H303,H303)=1,ROW()-1,ROWS(Clean_Data[OrderID])+1)</f>
        <v>901</v>
      </c>
      <c r="AE303" s="1">
        <f>IF(COUNTIF($V$2:V303,V303)=1,V303,ROWS(Clean_Data[OrderID])+1)</f>
        <v>901</v>
      </c>
      <c r="AF303" s="1">
        <f>IF(COUNTIF($U$2:U303,U303)=1,U303,ROWS(Clean_Data[OrderID])+1)</f>
        <v>901</v>
      </c>
      <c r="AG303" s="1">
        <f>IF(COUNTIF($E$2:E303,E303)=1,ROW()-1,ROWS(Clean_Data[OrderID])+1)</f>
        <v>901</v>
      </c>
    </row>
    <row r="304" spans="1:33" ht="20" customHeight="1">
      <c r="A304" s="3" t="s">
        <v>620</v>
      </c>
      <c r="B304" s="2">
        <v>46276</v>
      </c>
      <c r="C304" s="3">
        <v>6</v>
      </c>
      <c r="D304" s="3" t="s">
        <v>372</v>
      </c>
      <c r="E304" s="3" t="s">
        <v>117</v>
      </c>
      <c r="F304" s="3" t="s">
        <v>139</v>
      </c>
      <c r="G304" s="3" t="s">
        <v>174</v>
      </c>
      <c r="H304" s="3" t="s">
        <v>274</v>
      </c>
      <c r="I304" s="3">
        <v>6</v>
      </c>
      <c r="J304" s="11">
        <v>90</v>
      </c>
      <c r="K304" s="4">
        <v>0</v>
      </c>
      <c r="L304" s="3" t="s">
        <v>95</v>
      </c>
      <c r="M304" s="3">
        <v>18</v>
      </c>
      <c r="N304" s="3">
        <v>11</v>
      </c>
      <c r="O304" s="3">
        <v>4</v>
      </c>
      <c r="P304" s="11">
        <f>Clean_Data[[#This Row],[Quantity]]*Clean_Data[[#This Row],[UnitPrice]]</f>
        <v>540</v>
      </c>
      <c r="Q304" s="11">
        <f>ROUND(Clean_Data[[#This Row],[GrossSales]]*Clean_Data[[#This Row],[DiscountPct]],2)</f>
        <v>0</v>
      </c>
      <c r="R304" s="11">
        <f>IF(Clean_Data[[#This Row],[Status]]="Delivered",ROUND(Clean_Data[[#This Row],[GrossSales]]-Clean_Data[[#This Row],[DiscountAmount]],2),0)</f>
        <v>540</v>
      </c>
      <c r="S304" s="3" t="str">
        <f>IF(Clean_Data[[#This Row],[OrderHour]]&lt;6,"Night",IF(Clean_Data[[#This Row],[OrderHour]]&lt;12,"Morning",IF(Clean_Data[[#This Row],[OrderHour]]&lt;18,"Afternoon","Evening")))</f>
        <v>Morning</v>
      </c>
      <c r="T304" s="3" t="str">
        <f>TEXT(Clean_Data[[#This Row],[OrderDate]],"[$-409]ddd")</f>
        <v>Fri</v>
      </c>
      <c r="U304" s="3">
        <f>WEEKDAY(Clean_Data[[#This Row],[OrderDate]],2)</f>
        <v>5</v>
      </c>
      <c r="V304" s="3">
        <f>INT(Clean_Data[[#This Row],[OrderHour]]/6)+1</f>
        <v>2</v>
      </c>
      <c r="W304" s="3">
        <f>IF(Clean_Data[[#This Row],[Status]]="Delivered",1,0)</f>
        <v>1</v>
      </c>
      <c r="X304" s="3">
        <f>IF(Clean_Data[[#This Row],[Status]]="Delivered",IF(Clean_Data[[#This Row],[DeliveryMinutes]]&lt;=Dashboard!$X$5,1,0),0)</f>
        <v>1</v>
      </c>
      <c r="Y3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4" s="3">
        <f>IF(AND(Clean_Data[[#This Row],[Include]]=1,Clean_Data[[#This Row],[DeliveredFlag]]=1),1,0)</f>
        <v>1</v>
      </c>
      <c r="AA304" s="1">
        <f>IF(COUNTIF($D$2:D304,D304)=1,ROW()-1,ROWS(Clean_Data[OrderID])+1)</f>
        <v>901</v>
      </c>
      <c r="AB304" s="1">
        <f>IF(COUNTIF($F$2:F304,F304)=1,ROW()-1,ROWS(Clean_Data[OrderID])+1)</f>
        <v>901</v>
      </c>
      <c r="AC304" s="1">
        <f>IF(COUNTIF($G$2:G304,G304)=1,ROW()-1,ROWS(Clean_Data[OrderID])+1)</f>
        <v>901</v>
      </c>
      <c r="AD304" s="1">
        <f>IF(COUNTIF($H$2:H304,H304)=1,ROW()-1,ROWS(Clean_Data[OrderID])+1)</f>
        <v>901</v>
      </c>
      <c r="AE304" s="1">
        <f>IF(COUNTIF($V$2:V304,V304)=1,V304,ROWS(Clean_Data[OrderID])+1)</f>
        <v>901</v>
      </c>
      <c r="AF304" s="1">
        <f>IF(COUNTIF($U$2:U304,U304)=1,U304,ROWS(Clean_Data[OrderID])+1)</f>
        <v>901</v>
      </c>
      <c r="AG304" s="1">
        <f>IF(COUNTIF($E$2:E304,E304)=1,ROW()-1,ROWS(Clean_Data[OrderID])+1)</f>
        <v>901</v>
      </c>
    </row>
    <row r="305" spans="1:33" ht="20" customHeight="1">
      <c r="A305" s="3" t="s">
        <v>621</v>
      </c>
      <c r="B305" s="2">
        <v>46276</v>
      </c>
      <c r="C305" s="3">
        <v>11</v>
      </c>
      <c r="D305" s="3" t="s">
        <v>622</v>
      </c>
      <c r="E305" s="3" t="s">
        <v>91</v>
      </c>
      <c r="F305" s="3" t="s">
        <v>139</v>
      </c>
      <c r="G305" s="3" t="s">
        <v>135</v>
      </c>
      <c r="H305" s="3" t="s">
        <v>162</v>
      </c>
      <c r="I305" s="3">
        <v>5</v>
      </c>
      <c r="J305" s="11">
        <v>180</v>
      </c>
      <c r="K305" s="4">
        <v>0.05</v>
      </c>
      <c r="L305" s="3" t="s">
        <v>95</v>
      </c>
      <c r="M305" s="3">
        <v>20</v>
      </c>
      <c r="N305" s="3">
        <v>6</v>
      </c>
      <c r="O305" s="3">
        <v>4</v>
      </c>
      <c r="P305" s="11">
        <f>Clean_Data[[#This Row],[Quantity]]*Clean_Data[[#This Row],[UnitPrice]]</f>
        <v>900</v>
      </c>
      <c r="Q305" s="11">
        <f>ROUND(Clean_Data[[#This Row],[GrossSales]]*Clean_Data[[#This Row],[DiscountPct]],2)</f>
        <v>45</v>
      </c>
      <c r="R305" s="11">
        <f>IF(Clean_Data[[#This Row],[Status]]="Delivered",ROUND(Clean_Data[[#This Row],[GrossSales]]-Clean_Data[[#This Row],[DiscountAmount]],2),0)</f>
        <v>855</v>
      </c>
      <c r="S305" s="3" t="str">
        <f>IF(Clean_Data[[#This Row],[OrderHour]]&lt;6,"Night",IF(Clean_Data[[#This Row],[OrderHour]]&lt;12,"Morning",IF(Clean_Data[[#This Row],[OrderHour]]&lt;18,"Afternoon","Evening")))</f>
        <v>Morning</v>
      </c>
      <c r="T305" s="3" t="str">
        <f>TEXT(Clean_Data[[#This Row],[OrderDate]],"[$-409]ddd")</f>
        <v>Fri</v>
      </c>
      <c r="U305" s="3">
        <f>WEEKDAY(Clean_Data[[#This Row],[OrderDate]],2)</f>
        <v>5</v>
      </c>
      <c r="V305" s="3">
        <f>INT(Clean_Data[[#This Row],[OrderHour]]/6)+1</f>
        <v>2</v>
      </c>
      <c r="W305" s="3">
        <f>IF(Clean_Data[[#This Row],[Status]]="Delivered",1,0)</f>
        <v>1</v>
      </c>
      <c r="X305" s="3">
        <f>IF(Clean_Data[[#This Row],[Status]]="Delivered",IF(Clean_Data[[#This Row],[DeliveryMinutes]]&lt;=Dashboard!$X$5,1,0),0)</f>
        <v>1</v>
      </c>
      <c r="Y3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5" s="3">
        <f>IF(AND(Clean_Data[[#This Row],[Include]]=1,Clean_Data[[#This Row],[DeliveredFlag]]=1),1,0)</f>
        <v>1</v>
      </c>
      <c r="AA305" s="1">
        <f>IF(COUNTIF($D$2:D305,D305)=1,ROW()-1,ROWS(Clean_Data[OrderID])+1)</f>
        <v>304</v>
      </c>
      <c r="AB305" s="1">
        <f>IF(COUNTIF($F$2:F305,F305)=1,ROW()-1,ROWS(Clean_Data[OrderID])+1)</f>
        <v>901</v>
      </c>
      <c r="AC305" s="1">
        <f>IF(COUNTIF($G$2:G305,G305)=1,ROW()-1,ROWS(Clean_Data[OrderID])+1)</f>
        <v>901</v>
      </c>
      <c r="AD305" s="1">
        <f>IF(COUNTIF($H$2:H305,H305)=1,ROW()-1,ROWS(Clean_Data[OrderID])+1)</f>
        <v>901</v>
      </c>
      <c r="AE305" s="1">
        <f>IF(COUNTIF($V$2:V305,V305)=1,V305,ROWS(Clean_Data[OrderID])+1)</f>
        <v>901</v>
      </c>
      <c r="AF305" s="1">
        <f>IF(COUNTIF($U$2:U305,U305)=1,U305,ROWS(Clean_Data[OrderID])+1)</f>
        <v>901</v>
      </c>
      <c r="AG305" s="1">
        <f>IF(COUNTIF($E$2:E305,E305)=1,ROW()-1,ROWS(Clean_Data[OrderID])+1)</f>
        <v>901</v>
      </c>
    </row>
    <row r="306" spans="1:33" ht="20" customHeight="1">
      <c r="A306" s="3" t="s">
        <v>623</v>
      </c>
      <c r="B306" s="2">
        <v>46276</v>
      </c>
      <c r="C306" s="3">
        <v>17</v>
      </c>
      <c r="D306" s="3" t="s">
        <v>624</v>
      </c>
      <c r="E306" s="3" t="s">
        <v>91</v>
      </c>
      <c r="F306" s="3" t="s">
        <v>98</v>
      </c>
      <c r="G306" s="3" t="s">
        <v>99</v>
      </c>
      <c r="H306" s="3" t="s">
        <v>104</v>
      </c>
      <c r="I306" s="3">
        <v>5</v>
      </c>
      <c r="J306" s="11">
        <v>240</v>
      </c>
      <c r="K306" s="4">
        <v>0.1</v>
      </c>
      <c r="L306" s="3" t="s">
        <v>95</v>
      </c>
      <c r="M306" s="3">
        <v>19</v>
      </c>
      <c r="N306" s="3">
        <v>5</v>
      </c>
      <c r="O306" s="3">
        <v>3</v>
      </c>
      <c r="P306" s="11">
        <f>Clean_Data[[#This Row],[Quantity]]*Clean_Data[[#This Row],[UnitPrice]]</f>
        <v>1200</v>
      </c>
      <c r="Q306" s="11">
        <f>ROUND(Clean_Data[[#This Row],[GrossSales]]*Clean_Data[[#This Row],[DiscountPct]],2)</f>
        <v>120</v>
      </c>
      <c r="R306" s="11">
        <f>IF(Clean_Data[[#This Row],[Status]]="Delivered",ROUND(Clean_Data[[#This Row],[GrossSales]]-Clean_Data[[#This Row],[DiscountAmount]],2),0)</f>
        <v>1080</v>
      </c>
      <c r="S306" s="3" t="str">
        <f>IF(Clean_Data[[#This Row],[OrderHour]]&lt;6,"Night",IF(Clean_Data[[#This Row],[OrderHour]]&lt;12,"Morning",IF(Clean_Data[[#This Row],[OrderHour]]&lt;18,"Afternoon","Evening")))</f>
        <v>Afternoon</v>
      </c>
      <c r="T306" s="3" t="str">
        <f>TEXT(Clean_Data[[#This Row],[OrderDate]],"[$-409]ddd")</f>
        <v>Fri</v>
      </c>
      <c r="U306" s="3">
        <f>WEEKDAY(Clean_Data[[#This Row],[OrderDate]],2)</f>
        <v>5</v>
      </c>
      <c r="V306" s="3">
        <f>INT(Clean_Data[[#This Row],[OrderHour]]/6)+1</f>
        <v>3</v>
      </c>
      <c r="W306" s="3">
        <f>IF(Clean_Data[[#This Row],[Status]]="Delivered",1,0)</f>
        <v>1</v>
      </c>
      <c r="X306" s="3">
        <f>IF(Clean_Data[[#This Row],[Status]]="Delivered",IF(Clean_Data[[#This Row],[DeliveryMinutes]]&lt;=Dashboard!$X$5,1,0),0)</f>
        <v>1</v>
      </c>
      <c r="Y3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6" s="3">
        <f>IF(AND(Clean_Data[[#This Row],[Include]]=1,Clean_Data[[#This Row],[DeliveredFlag]]=1),1,0)</f>
        <v>1</v>
      </c>
      <c r="AA306" s="1">
        <f>IF(COUNTIF($D$2:D306,D306)=1,ROW()-1,ROWS(Clean_Data[OrderID])+1)</f>
        <v>305</v>
      </c>
      <c r="AB306" s="1">
        <f>IF(COUNTIF($F$2:F306,F306)=1,ROW()-1,ROWS(Clean_Data[OrderID])+1)</f>
        <v>901</v>
      </c>
      <c r="AC306" s="1">
        <f>IF(COUNTIF($G$2:G306,G306)=1,ROW()-1,ROWS(Clean_Data[OrderID])+1)</f>
        <v>901</v>
      </c>
      <c r="AD306" s="1">
        <f>IF(COUNTIF($H$2:H306,H306)=1,ROW()-1,ROWS(Clean_Data[OrderID])+1)</f>
        <v>901</v>
      </c>
      <c r="AE306" s="1">
        <f>IF(COUNTIF($V$2:V306,V306)=1,V306,ROWS(Clean_Data[OrderID])+1)</f>
        <v>901</v>
      </c>
      <c r="AF306" s="1">
        <f>IF(COUNTIF($U$2:U306,U306)=1,U306,ROWS(Clean_Data[OrderID])+1)</f>
        <v>901</v>
      </c>
      <c r="AG306" s="1">
        <f>IF(COUNTIF($E$2:E306,E306)=1,ROW()-1,ROWS(Clean_Data[OrderID])+1)</f>
        <v>901</v>
      </c>
    </row>
    <row r="307" spans="1:33" ht="20" customHeight="1">
      <c r="A307" s="3" t="s">
        <v>625</v>
      </c>
      <c r="B307" s="2">
        <v>46276</v>
      </c>
      <c r="C307" s="3">
        <v>13</v>
      </c>
      <c r="D307" s="3" t="s">
        <v>626</v>
      </c>
      <c r="E307" s="3" t="s">
        <v>91</v>
      </c>
      <c r="F307" s="3" t="s">
        <v>92</v>
      </c>
      <c r="G307" s="3" t="s">
        <v>110</v>
      </c>
      <c r="H307" s="3" t="s">
        <v>206</v>
      </c>
      <c r="I307" s="3">
        <v>3</v>
      </c>
      <c r="J307" s="11">
        <v>220</v>
      </c>
      <c r="K307" s="4">
        <v>0</v>
      </c>
      <c r="L307" s="3" t="s">
        <v>95</v>
      </c>
      <c r="M307" s="3">
        <v>23</v>
      </c>
      <c r="N307" s="3">
        <v>14</v>
      </c>
      <c r="O307" s="3">
        <v>3</v>
      </c>
      <c r="P307" s="11">
        <f>Clean_Data[[#This Row],[Quantity]]*Clean_Data[[#This Row],[UnitPrice]]</f>
        <v>660</v>
      </c>
      <c r="Q307" s="11">
        <f>ROUND(Clean_Data[[#This Row],[GrossSales]]*Clean_Data[[#This Row],[DiscountPct]],2)</f>
        <v>0</v>
      </c>
      <c r="R307" s="11">
        <f>IF(Clean_Data[[#This Row],[Status]]="Delivered",ROUND(Clean_Data[[#This Row],[GrossSales]]-Clean_Data[[#This Row],[DiscountAmount]],2),0)</f>
        <v>660</v>
      </c>
      <c r="S307" s="3" t="str">
        <f>IF(Clean_Data[[#This Row],[OrderHour]]&lt;6,"Night",IF(Clean_Data[[#This Row],[OrderHour]]&lt;12,"Morning",IF(Clean_Data[[#This Row],[OrderHour]]&lt;18,"Afternoon","Evening")))</f>
        <v>Afternoon</v>
      </c>
      <c r="T307" s="3" t="str">
        <f>TEXT(Clean_Data[[#This Row],[OrderDate]],"[$-409]ddd")</f>
        <v>Fri</v>
      </c>
      <c r="U307" s="3">
        <f>WEEKDAY(Clean_Data[[#This Row],[OrderDate]],2)</f>
        <v>5</v>
      </c>
      <c r="V307" s="3">
        <f>INT(Clean_Data[[#This Row],[OrderHour]]/6)+1</f>
        <v>3</v>
      </c>
      <c r="W307" s="3">
        <f>IF(Clean_Data[[#This Row],[Status]]="Delivered",1,0)</f>
        <v>1</v>
      </c>
      <c r="X307" s="3">
        <f>IF(Clean_Data[[#This Row],[Status]]="Delivered",IF(Clean_Data[[#This Row],[DeliveryMinutes]]&lt;=Dashboard!$X$5,1,0),0)</f>
        <v>1</v>
      </c>
      <c r="Y3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7" s="3">
        <f>IF(AND(Clean_Data[[#This Row],[Include]]=1,Clean_Data[[#This Row],[DeliveredFlag]]=1),1,0)</f>
        <v>1</v>
      </c>
      <c r="AA307" s="1">
        <f>IF(COUNTIF($D$2:D307,D307)=1,ROW()-1,ROWS(Clean_Data[OrderID])+1)</f>
        <v>306</v>
      </c>
      <c r="AB307" s="1">
        <f>IF(COUNTIF($F$2:F307,F307)=1,ROW()-1,ROWS(Clean_Data[OrderID])+1)</f>
        <v>901</v>
      </c>
      <c r="AC307" s="1">
        <f>IF(COUNTIF($G$2:G307,G307)=1,ROW()-1,ROWS(Clean_Data[OrderID])+1)</f>
        <v>901</v>
      </c>
      <c r="AD307" s="1">
        <f>IF(COUNTIF($H$2:H307,H307)=1,ROW()-1,ROWS(Clean_Data[OrderID])+1)</f>
        <v>901</v>
      </c>
      <c r="AE307" s="1">
        <f>IF(COUNTIF($V$2:V307,V307)=1,V307,ROWS(Clean_Data[OrderID])+1)</f>
        <v>901</v>
      </c>
      <c r="AF307" s="1">
        <f>IF(COUNTIF($U$2:U307,U307)=1,U307,ROWS(Clean_Data[OrderID])+1)</f>
        <v>901</v>
      </c>
      <c r="AG307" s="1">
        <f>IF(COUNTIF($E$2:E307,E307)=1,ROW()-1,ROWS(Clean_Data[OrderID])+1)</f>
        <v>901</v>
      </c>
    </row>
    <row r="308" spans="1:33" ht="20" customHeight="1">
      <c r="A308" s="3" t="s">
        <v>627</v>
      </c>
      <c r="B308" s="2">
        <v>46276</v>
      </c>
      <c r="C308" s="3">
        <v>21</v>
      </c>
      <c r="D308" s="3" t="s">
        <v>628</v>
      </c>
      <c r="E308" s="3" t="s">
        <v>91</v>
      </c>
      <c r="F308" s="3" t="s">
        <v>92</v>
      </c>
      <c r="G308" s="3" t="s">
        <v>93</v>
      </c>
      <c r="H308" s="3" t="s">
        <v>118</v>
      </c>
      <c r="I308" s="3">
        <v>2</v>
      </c>
      <c r="J308" s="11">
        <v>45</v>
      </c>
      <c r="K308" s="4">
        <v>0.15</v>
      </c>
      <c r="L308" s="3" t="s">
        <v>95</v>
      </c>
      <c r="M308" s="3">
        <v>36</v>
      </c>
      <c r="N308" s="3">
        <v>5</v>
      </c>
      <c r="O308" s="3">
        <v>4</v>
      </c>
      <c r="P308" s="11">
        <f>Clean_Data[[#This Row],[Quantity]]*Clean_Data[[#This Row],[UnitPrice]]</f>
        <v>90</v>
      </c>
      <c r="Q308" s="11">
        <f>ROUND(Clean_Data[[#This Row],[GrossSales]]*Clean_Data[[#This Row],[DiscountPct]],2)</f>
        <v>13.5</v>
      </c>
      <c r="R308" s="11">
        <f>IF(Clean_Data[[#This Row],[Status]]="Delivered",ROUND(Clean_Data[[#This Row],[GrossSales]]-Clean_Data[[#This Row],[DiscountAmount]],2),0)</f>
        <v>76.5</v>
      </c>
      <c r="S308" s="3" t="str">
        <f>IF(Clean_Data[[#This Row],[OrderHour]]&lt;6,"Night",IF(Clean_Data[[#This Row],[OrderHour]]&lt;12,"Morning",IF(Clean_Data[[#This Row],[OrderHour]]&lt;18,"Afternoon","Evening")))</f>
        <v>Evening</v>
      </c>
      <c r="T308" s="3" t="str">
        <f>TEXT(Clean_Data[[#This Row],[OrderDate]],"[$-409]ddd")</f>
        <v>Fri</v>
      </c>
      <c r="U308" s="3">
        <f>WEEKDAY(Clean_Data[[#This Row],[OrderDate]],2)</f>
        <v>5</v>
      </c>
      <c r="V308" s="3">
        <f>INT(Clean_Data[[#This Row],[OrderHour]]/6)+1</f>
        <v>4</v>
      </c>
      <c r="W308" s="3">
        <f>IF(Clean_Data[[#This Row],[Status]]="Delivered",1,0)</f>
        <v>1</v>
      </c>
      <c r="X308" s="3">
        <f>IF(Clean_Data[[#This Row],[Status]]="Delivered",IF(Clean_Data[[#This Row],[DeliveryMinutes]]&lt;=Dashboard!$X$5,1,0),0)</f>
        <v>0</v>
      </c>
      <c r="Y3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8" s="3">
        <f>IF(AND(Clean_Data[[#This Row],[Include]]=1,Clean_Data[[#This Row],[DeliveredFlag]]=1),1,0)</f>
        <v>1</v>
      </c>
      <c r="AA308" s="1">
        <f>IF(COUNTIF($D$2:D308,D308)=1,ROW()-1,ROWS(Clean_Data[OrderID])+1)</f>
        <v>307</v>
      </c>
      <c r="AB308" s="1">
        <f>IF(COUNTIF($F$2:F308,F308)=1,ROW()-1,ROWS(Clean_Data[OrderID])+1)</f>
        <v>901</v>
      </c>
      <c r="AC308" s="1">
        <f>IF(COUNTIF($G$2:G308,G308)=1,ROW()-1,ROWS(Clean_Data[OrderID])+1)</f>
        <v>901</v>
      </c>
      <c r="AD308" s="1">
        <f>IF(COUNTIF($H$2:H308,H308)=1,ROW()-1,ROWS(Clean_Data[OrderID])+1)</f>
        <v>901</v>
      </c>
      <c r="AE308" s="1">
        <f>IF(COUNTIF($V$2:V308,V308)=1,V308,ROWS(Clean_Data[OrderID])+1)</f>
        <v>901</v>
      </c>
      <c r="AF308" s="1">
        <f>IF(COUNTIF($U$2:U308,U308)=1,U308,ROWS(Clean_Data[OrderID])+1)</f>
        <v>901</v>
      </c>
      <c r="AG308" s="1">
        <f>IF(COUNTIF($E$2:E308,E308)=1,ROW()-1,ROWS(Clean_Data[OrderID])+1)</f>
        <v>901</v>
      </c>
    </row>
    <row r="309" spans="1:33" ht="20" customHeight="1">
      <c r="A309" s="3" t="s">
        <v>629</v>
      </c>
      <c r="B309" s="2">
        <v>46276</v>
      </c>
      <c r="C309" s="3">
        <v>13</v>
      </c>
      <c r="D309" s="3" t="s">
        <v>630</v>
      </c>
      <c r="E309" s="3" t="s">
        <v>91</v>
      </c>
      <c r="F309" s="3" t="s">
        <v>92</v>
      </c>
      <c r="G309" s="3" t="s">
        <v>122</v>
      </c>
      <c r="H309" s="3" t="s">
        <v>214</v>
      </c>
      <c r="I309" s="3">
        <v>1</v>
      </c>
      <c r="J309" s="11">
        <v>55</v>
      </c>
      <c r="K309" s="4">
        <v>0</v>
      </c>
      <c r="L309" s="3" t="s">
        <v>95</v>
      </c>
      <c r="M309" s="3">
        <v>20</v>
      </c>
      <c r="N309" s="3">
        <v>14</v>
      </c>
      <c r="O309" s="3">
        <v>3</v>
      </c>
      <c r="P309" s="11">
        <f>Clean_Data[[#This Row],[Quantity]]*Clean_Data[[#This Row],[UnitPrice]]</f>
        <v>55</v>
      </c>
      <c r="Q309" s="11">
        <f>ROUND(Clean_Data[[#This Row],[GrossSales]]*Clean_Data[[#This Row],[DiscountPct]],2)</f>
        <v>0</v>
      </c>
      <c r="R309" s="11">
        <f>IF(Clean_Data[[#This Row],[Status]]="Delivered",ROUND(Clean_Data[[#This Row],[GrossSales]]-Clean_Data[[#This Row],[DiscountAmount]],2),0)</f>
        <v>55</v>
      </c>
      <c r="S309" s="3" t="str">
        <f>IF(Clean_Data[[#This Row],[OrderHour]]&lt;6,"Night",IF(Clean_Data[[#This Row],[OrderHour]]&lt;12,"Morning",IF(Clean_Data[[#This Row],[OrderHour]]&lt;18,"Afternoon","Evening")))</f>
        <v>Afternoon</v>
      </c>
      <c r="T309" s="3" t="str">
        <f>TEXT(Clean_Data[[#This Row],[OrderDate]],"[$-409]ddd")</f>
        <v>Fri</v>
      </c>
      <c r="U309" s="3">
        <f>WEEKDAY(Clean_Data[[#This Row],[OrderDate]],2)</f>
        <v>5</v>
      </c>
      <c r="V309" s="3">
        <f>INT(Clean_Data[[#This Row],[OrderHour]]/6)+1</f>
        <v>3</v>
      </c>
      <c r="W309" s="3">
        <f>IF(Clean_Data[[#This Row],[Status]]="Delivered",1,0)</f>
        <v>1</v>
      </c>
      <c r="X309" s="3">
        <f>IF(Clean_Data[[#This Row],[Status]]="Delivered",IF(Clean_Data[[#This Row],[DeliveryMinutes]]&lt;=Dashboard!$X$5,1,0),0)</f>
        <v>1</v>
      </c>
      <c r="Y3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09" s="3">
        <f>IF(AND(Clean_Data[[#This Row],[Include]]=1,Clean_Data[[#This Row],[DeliveredFlag]]=1),1,0)</f>
        <v>1</v>
      </c>
      <c r="AA309" s="1">
        <f>IF(COUNTIF($D$2:D309,D309)=1,ROW()-1,ROWS(Clean_Data[OrderID])+1)</f>
        <v>308</v>
      </c>
      <c r="AB309" s="1">
        <f>IF(COUNTIF($F$2:F309,F309)=1,ROW()-1,ROWS(Clean_Data[OrderID])+1)</f>
        <v>901</v>
      </c>
      <c r="AC309" s="1">
        <f>IF(COUNTIF($G$2:G309,G309)=1,ROW()-1,ROWS(Clean_Data[OrderID])+1)</f>
        <v>901</v>
      </c>
      <c r="AD309" s="1">
        <f>IF(COUNTIF($H$2:H309,H309)=1,ROW()-1,ROWS(Clean_Data[OrderID])+1)</f>
        <v>901</v>
      </c>
      <c r="AE309" s="1">
        <f>IF(COUNTIF($V$2:V309,V309)=1,V309,ROWS(Clean_Data[OrderID])+1)</f>
        <v>901</v>
      </c>
      <c r="AF309" s="1">
        <f>IF(COUNTIF($U$2:U309,U309)=1,U309,ROWS(Clean_Data[OrderID])+1)</f>
        <v>901</v>
      </c>
      <c r="AG309" s="1">
        <f>IF(COUNTIF($E$2:E309,E309)=1,ROW()-1,ROWS(Clean_Data[OrderID])+1)</f>
        <v>901</v>
      </c>
    </row>
    <row r="310" spans="1:33" ht="20" customHeight="1">
      <c r="A310" s="3" t="s">
        <v>631</v>
      </c>
      <c r="B310" s="2">
        <v>46276</v>
      </c>
      <c r="C310" s="3">
        <v>23</v>
      </c>
      <c r="D310" s="3" t="s">
        <v>396</v>
      </c>
      <c r="E310" s="3" t="s">
        <v>91</v>
      </c>
      <c r="F310" s="3" t="s">
        <v>139</v>
      </c>
      <c r="G310" s="3" t="s">
        <v>135</v>
      </c>
      <c r="H310" s="3" t="s">
        <v>217</v>
      </c>
      <c r="I310" s="3">
        <v>6</v>
      </c>
      <c r="J310" s="11">
        <v>65</v>
      </c>
      <c r="K310" s="4">
        <v>0.05</v>
      </c>
      <c r="L310" s="3" t="s">
        <v>95</v>
      </c>
      <c r="M310" s="3">
        <v>33</v>
      </c>
      <c r="N310" s="3">
        <v>5</v>
      </c>
      <c r="O310" s="3">
        <v>4</v>
      </c>
      <c r="P310" s="11">
        <f>Clean_Data[[#This Row],[Quantity]]*Clean_Data[[#This Row],[UnitPrice]]</f>
        <v>390</v>
      </c>
      <c r="Q310" s="11">
        <f>ROUND(Clean_Data[[#This Row],[GrossSales]]*Clean_Data[[#This Row],[DiscountPct]],2)</f>
        <v>19.5</v>
      </c>
      <c r="R310" s="11">
        <f>IF(Clean_Data[[#This Row],[Status]]="Delivered",ROUND(Clean_Data[[#This Row],[GrossSales]]-Clean_Data[[#This Row],[DiscountAmount]],2),0)</f>
        <v>370.5</v>
      </c>
      <c r="S310" s="3" t="str">
        <f>IF(Clean_Data[[#This Row],[OrderHour]]&lt;6,"Night",IF(Clean_Data[[#This Row],[OrderHour]]&lt;12,"Morning",IF(Clean_Data[[#This Row],[OrderHour]]&lt;18,"Afternoon","Evening")))</f>
        <v>Evening</v>
      </c>
      <c r="T310" s="3" t="str">
        <f>TEXT(Clean_Data[[#This Row],[OrderDate]],"[$-409]ddd")</f>
        <v>Fri</v>
      </c>
      <c r="U310" s="3">
        <f>WEEKDAY(Clean_Data[[#This Row],[OrderDate]],2)</f>
        <v>5</v>
      </c>
      <c r="V310" s="3">
        <f>INT(Clean_Data[[#This Row],[OrderHour]]/6)+1</f>
        <v>4</v>
      </c>
      <c r="W310" s="3">
        <f>IF(Clean_Data[[#This Row],[Status]]="Delivered",1,0)</f>
        <v>1</v>
      </c>
      <c r="X310" s="3">
        <f>IF(Clean_Data[[#This Row],[Status]]="Delivered",IF(Clean_Data[[#This Row],[DeliveryMinutes]]&lt;=Dashboard!$X$5,1,0),0)</f>
        <v>0</v>
      </c>
      <c r="Y3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0" s="3">
        <f>IF(AND(Clean_Data[[#This Row],[Include]]=1,Clean_Data[[#This Row],[DeliveredFlag]]=1),1,0)</f>
        <v>1</v>
      </c>
      <c r="AA310" s="1">
        <f>IF(COUNTIF($D$2:D310,D310)=1,ROW()-1,ROWS(Clean_Data[OrderID])+1)</f>
        <v>901</v>
      </c>
      <c r="AB310" s="1">
        <f>IF(COUNTIF($F$2:F310,F310)=1,ROW()-1,ROWS(Clean_Data[OrderID])+1)</f>
        <v>901</v>
      </c>
      <c r="AC310" s="1">
        <f>IF(COUNTIF($G$2:G310,G310)=1,ROW()-1,ROWS(Clean_Data[OrderID])+1)</f>
        <v>901</v>
      </c>
      <c r="AD310" s="1">
        <f>IF(COUNTIF($H$2:H310,H310)=1,ROW()-1,ROWS(Clean_Data[OrderID])+1)</f>
        <v>901</v>
      </c>
      <c r="AE310" s="1">
        <f>IF(COUNTIF($V$2:V310,V310)=1,V310,ROWS(Clean_Data[OrderID])+1)</f>
        <v>901</v>
      </c>
      <c r="AF310" s="1">
        <f>IF(COUNTIF($U$2:U310,U310)=1,U310,ROWS(Clean_Data[OrderID])+1)</f>
        <v>901</v>
      </c>
      <c r="AG310" s="1">
        <f>IF(COUNTIF($E$2:E310,E310)=1,ROW()-1,ROWS(Clean_Data[OrderID])+1)</f>
        <v>901</v>
      </c>
    </row>
    <row r="311" spans="1:33" ht="20" customHeight="1">
      <c r="A311" s="3" t="s">
        <v>632</v>
      </c>
      <c r="B311" s="2">
        <v>46276</v>
      </c>
      <c r="C311" s="3">
        <v>10</v>
      </c>
      <c r="D311" s="3" t="s">
        <v>513</v>
      </c>
      <c r="E311" s="3" t="s">
        <v>117</v>
      </c>
      <c r="F311" s="3" t="s">
        <v>109</v>
      </c>
      <c r="G311" s="3" t="s">
        <v>122</v>
      </c>
      <c r="H311" s="3" t="s">
        <v>214</v>
      </c>
      <c r="I311" s="3">
        <v>2</v>
      </c>
      <c r="J311" s="11">
        <v>55</v>
      </c>
      <c r="K311" s="4">
        <v>0</v>
      </c>
      <c r="L311" s="3" t="s">
        <v>95</v>
      </c>
      <c r="M311" s="3">
        <v>17</v>
      </c>
      <c r="N311" s="3">
        <v>14</v>
      </c>
      <c r="O311" s="3">
        <v>4</v>
      </c>
      <c r="P311" s="11">
        <f>Clean_Data[[#This Row],[Quantity]]*Clean_Data[[#This Row],[UnitPrice]]</f>
        <v>110</v>
      </c>
      <c r="Q311" s="11">
        <f>ROUND(Clean_Data[[#This Row],[GrossSales]]*Clean_Data[[#This Row],[DiscountPct]],2)</f>
        <v>0</v>
      </c>
      <c r="R311" s="11">
        <f>IF(Clean_Data[[#This Row],[Status]]="Delivered",ROUND(Clean_Data[[#This Row],[GrossSales]]-Clean_Data[[#This Row],[DiscountAmount]],2),0)</f>
        <v>110</v>
      </c>
      <c r="S311" s="3" t="str">
        <f>IF(Clean_Data[[#This Row],[OrderHour]]&lt;6,"Night",IF(Clean_Data[[#This Row],[OrderHour]]&lt;12,"Morning",IF(Clean_Data[[#This Row],[OrderHour]]&lt;18,"Afternoon","Evening")))</f>
        <v>Morning</v>
      </c>
      <c r="T311" s="3" t="str">
        <f>TEXT(Clean_Data[[#This Row],[OrderDate]],"[$-409]ddd")</f>
        <v>Fri</v>
      </c>
      <c r="U311" s="3">
        <f>WEEKDAY(Clean_Data[[#This Row],[OrderDate]],2)</f>
        <v>5</v>
      </c>
      <c r="V311" s="3">
        <f>INT(Clean_Data[[#This Row],[OrderHour]]/6)+1</f>
        <v>2</v>
      </c>
      <c r="W311" s="3">
        <f>IF(Clean_Data[[#This Row],[Status]]="Delivered",1,0)</f>
        <v>1</v>
      </c>
      <c r="X311" s="3">
        <f>IF(Clean_Data[[#This Row],[Status]]="Delivered",IF(Clean_Data[[#This Row],[DeliveryMinutes]]&lt;=Dashboard!$X$5,1,0),0)</f>
        <v>1</v>
      </c>
      <c r="Y3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1" s="3">
        <f>IF(AND(Clean_Data[[#This Row],[Include]]=1,Clean_Data[[#This Row],[DeliveredFlag]]=1),1,0)</f>
        <v>1</v>
      </c>
      <c r="AA311" s="1">
        <f>IF(COUNTIF($D$2:D311,D311)=1,ROW()-1,ROWS(Clean_Data[OrderID])+1)</f>
        <v>901</v>
      </c>
      <c r="AB311" s="1">
        <f>IF(COUNTIF($F$2:F311,F311)=1,ROW()-1,ROWS(Clean_Data[OrderID])+1)</f>
        <v>901</v>
      </c>
      <c r="AC311" s="1">
        <f>IF(COUNTIF($G$2:G311,G311)=1,ROW()-1,ROWS(Clean_Data[OrderID])+1)</f>
        <v>901</v>
      </c>
      <c r="AD311" s="1">
        <f>IF(COUNTIF($H$2:H311,H311)=1,ROW()-1,ROWS(Clean_Data[OrderID])+1)</f>
        <v>901</v>
      </c>
      <c r="AE311" s="1">
        <f>IF(COUNTIF($V$2:V311,V311)=1,V311,ROWS(Clean_Data[OrderID])+1)</f>
        <v>901</v>
      </c>
      <c r="AF311" s="1">
        <f>IF(COUNTIF($U$2:U311,U311)=1,U311,ROWS(Clean_Data[OrderID])+1)</f>
        <v>901</v>
      </c>
      <c r="AG311" s="1">
        <f>IF(COUNTIF($E$2:E311,E311)=1,ROW()-1,ROWS(Clean_Data[OrderID])+1)</f>
        <v>901</v>
      </c>
    </row>
    <row r="312" spans="1:33" ht="20" customHeight="1">
      <c r="A312" s="3" t="s">
        <v>633</v>
      </c>
      <c r="B312" s="2">
        <v>46276</v>
      </c>
      <c r="C312" s="3">
        <v>11</v>
      </c>
      <c r="D312" s="3" t="s">
        <v>291</v>
      </c>
      <c r="E312" s="3" t="s">
        <v>91</v>
      </c>
      <c r="F312" s="3" t="s">
        <v>98</v>
      </c>
      <c r="G312" s="3" t="s">
        <v>99</v>
      </c>
      <c r="H312" s="3" t="s">
        <v>100</v>
      </c>
      <c r="I312" s="3">
        <v>3</v>
      </c>
      <c r="J312" s="11">
        <v>120</v>
      </c>
      <c r="K312" s="4">
        <v>0.15</v>
      </c>
      <c r="L312" s="3" t="s">
        <v>95</v>
      </c>
      <c r="M312" s="3">
        <v>19</v>
      </c>
      <c r="N312" s="3">
        <v>11</v>
      </c>
      <c r="O312" s="3">
        <v>5</v>
      </c>
      <c r="P312" s="11">
        <f>Clean_Data[[#This Row],[Quantity]]*Clean_Data[[#This Row],[UnitPrice]]</f>
        <v>360</v>
      </c>
      <c r="Q312" s="11">
        <f>ROUND(Clean_Data[[#This Row],[GrossSales]]*Clean_Data[[#This Row],[DiscountPct]],2)</f>
        <v>54</v>
      </c>
      <c r="R312" s="11">
        <f>IF(Clean_Data[[#This Row],[Status]]="Delivered",ROUND(Clean_Data[[#This Row],[GrossSales]]-Clean_Data[[#This Row],[DiscountAmount]],2),0)</f>
        <v>306</v>
      </c>
      <c r="S312" s="3" t="str">
        <f>IF(Clean_Data[[#This Row],[OrderHour]]&lt;6,"Night",IF(Clean_Data[[#This Row],[OrderHour]]&lt;12,"Morning",IF(Clean_Data[[#This Row],[OrderHour]]&lt;18,"Afternoon","Evening")))</f>
        <v>Morning</v>
      </c>
      <c r="T312" s="3" t="str">
        <f>TEXT(Clean_Data[[#This Row],[OrderDate]],"[$-409]ddd")</f>
        <v>Fri</v>
      </c>
      <c r="U312" s="3">
        <f>WEEKDAY(Clean_Data[[#This Row],[OrderDate]],2)</f>
        <v>5</v>
      </c>
      <c r="V312" s="3">
        <f>INT(Clean_Data[[#This Row],[OrderHour]]/6)+1</f>
        <v>2</v>
      </c>
      <c r="W312" s="3">
        <f>IF(Clean_Data[[#This Row],[Status]]="Delivered",1,0)</f>
        <v>1</v>
      </c>
      <c r="X312" s="3">
        <f>IF(Clean_Data[[#This Row],[Status]]="Delivered",IF(Clean_Data[[#This Row],[DeliveryMinutes]]&lt;=Dashboard!$X$5,1,0),0)</f>
        <v>1</v>
      </c>
      <c r="Y3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2" s="3">
        <f>IF(AND(Clean_Data[[#This Row],[Include]]=1,Clean_Data[[#This Row],[DeliveredFlag]]=1),1,0)</f>
        <v>1</v>
      </c>
      <c r="AA312" s="1">
        <f>IF(COUNTIF($D$2:D312,D312)=1,ROW()-1,ROWS(Clean_Data[OrderID])+1)</f>
        <v>901</v>
      </c>
      <c r="AB312" s="1">
        <f>IF(COUNTIF($F$2:F312,F312)=1,ROW()-1,ROWS(Clean_Data[OrderID])+1)</f>
        <v>901</v>
      </c>
      <c r="AC312" s="1">
        <f>IF(COUNTIF($G$2:G312,G312)=1,ROW()-1,ROWS(Clean_Data[OrderID])+1)</f>
        <v>901</v>
      </c>
      <c r="AD312" s="1">
        <f>IF(COUNTIF($H$2:H312,H312)=1,ROW()-1,ROWS(Clean_Data[OrderID])+1)</f>
        <v>901</v>
      </c>
      <c r="AE312" s="1">
        <f>IF(COUNTIF($V$2:V312,V312)=1,V312,ROWS(Clean_Data[OrderID])+1)</f>
        <v>901</v>
      </c>
      <c r="AF312" s="1">
        <f>IF(COUNTIF($U$2:U312,U312)=1,U312,ROWS(Clean_Data[OrderID])+1)</f>
        <v>901</v>
      </c>
      <c r="AG312" s="1">
        <f>IF(COUNTIF($E$2:E312,E312)=1,ROW()-1,ROWS(Clean_Data[OrderID])+1)</f>
        <v>901</v>
      </c>
    </row>
    <row r="313" spans="1:33" ht="20" customHeight="1">
      <c r="A313" s="3" t="s">
        <v>634</v>
      </c>
      <c r="B313" s="2">
        <v>46276</v>
      </c>
      <c r="C313" s="3">
        <v>11</v>
      </c>
      <c r="D313" s="3" t="s">
        <v>222</v>
      </c>
      <c r="E313" s="3" t="s">
        <v>91</v>
      </c>
      <c r="F313" s="3" t="s">
        <v>98</v>
      </c>
      <c r="G313" s="3" t="s">
        <v>122</v>
      </c>
      <c r="H313" s="3" t="s">
        <v>153</v>
      </c>
      <c r="I313" s="3">
        <v>6</v>
      </c>
      <c r="J313" s="11">
        <v>130</v>
      </c>
      <c r="K313" s="4">
        <v>0.15</v>
      </c>
      <c r="L313" s="3" t="s">
        <v>95</v>
      </c>
      <c r="M313" s="3">
        <v>23</v>
      </c>
      <c r="N313" s="3">
        <v>14</v>
      </c>
      <c r="O313" s="3">
        <v>3</v>
      </c>
      <c r="P313" s="11">
        <f>Clean_Data[[#This Row],[Quantity]]*Clean_Data[[#This Row],[UnitPrice]]</f>
        <v>780</v>
      </c>
      <c r="Q313" s="11">
        <f>ROUND(Clean_Data[[#This Row],[GrossSales]]*Clean_Data[[#This Row],[DiscountPct]],2)</f>
        <v>117</v>
      </c>
      <c r="R313" s="11">
        <f>IF(Clean_Data[[#This Row],[Status]]="Delivered",ROUND(Clean_Data[[#This Row],[GrossSales]]-Clean_Data[[#This Row],[DiscountAmount]],2),0)</f>
        <v>663</v>
      </c>
      <c r="S313" s="3" t="str">
        <f>IF(Clean_Data[[#This Row],[OrderHour]]&lt;6,"Night",IF(Clean_Data[[#This Row],[OrderHour]]&lt;12,"Morning",IF(Clean_Data[[#This Row],[OrderHour]]&lt;18,"Afternoon","Evening")))</f>
        <v>Morning</v>
      </c>
      <c r="T313" s="3" t="str">
        <f>TEXT(Clean_Data[[#This Row],[OrderDate]],"[$-409]ddd")</f>
        <v>Fri</v>
      </c>
      <c r="U313" s="3">
        <f>WEEKDAY(Clean_Data[[#This Row],[OrderDate]],2)</f>
        <v>5</v>
      </c>
      <c r="V313" s="3">
        <f>INT(Clean_Data[[#This Row],[OrderHour]]/6)+1</f>
        <v>2</v>
      </c>
      <c r="W313" s="3">
        <f>IF(Clean_Data[[#This Row],[Status]]="Delivered",1,0)</f>
        <v>1</v>
      </c>
      <c r="X313" s="3">
        <f>IF(Clean_Data[[#This Row],[Status]]="Delivered",IF(Clean_Data[[#This Row],[DeliveryMinutes]]&lt;=Dashboard!$X$5,1,0),0)</f>
        <v>1</v>
      </c>
      <c r="Y3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3" s="3">
        <f>IF(AND(Clean_Data[[#This Row],[Include]]=1,Clean_Data[[#This Row],[DeliveredFlag]]=1),1,0)</f>
        <v>1</v>
      </c>
      <c r="AA313" s="1">
        <f>IF(COUNTIF($D$2:D313,D313)=1,ROW()-1,ROWS(Clean_Data[OrderID])+1)</f>
        <v>901</v>
      </c>
      <c r="AB313" s="1">
        <f>IF(COUNTIF($F$2:F313,F313)=1,ROW()-1,ROWS(Clean_Data[OrderID])+1)</f>
        <v>901</v>
      </c>
      <c r="AC313" s="1">
        <f>IF(COUNTIF($G$2:G313,G313)=1,ROW()-1,ROWS(Clean_Data[OrderID])+1)</f>
        <v>901</v>
      </c>
      <c r="AD313" s="1">
        <f>IF(COUNTIF($H$2:H313,H313)=1,ROW()-1,ROWS(Clean_Data[OrderID])+1)</f>
        <v>901</v>
      </c>
      <c r="AE313" s="1">
        <f>IF(COUNTIF($V$2:V313,V313)=1,V313,ROWS(Clean_Data[OrderID])+1)</f>
        <v>901</v>
      </c>
      <c r="AF313" s="1">
        <f>IF(COUNTIF($U$2:U313,U313)=1,U313,ROWS(Clean_Data[OrderID])+1)</f>
        <v>901</v>
      </c>
      <c r="AG313" s="1">
        <f>IF(COUNTIF($E$2:E313,E313)=1,ROW()-1,ROWS(Clean_Data[OrderID])+1)</f>
        <v>901</v>
      </c>
    </row>
    <row r="314" spans="1:33" ht="20" customHeight="1">
      <c r="A314" s="3" t="s">
        <v>635</v>
      </c>
      <c r="B314" s="2">
        <v>46276</v>
      </c>
      <c r="C314" s="3">
        <v>14</v>
      </c>
      <c r="D314" s="3" t="s">
        <v>195</v>
      </c>
      <c r="E314" s="3" t="s">
        <v>91</v>
      </c>
      <c r="F314" s="3" t="s">
        <v>121</v>
      </c>
      <c r="G314" s="3" t="s">
        <v>99</v>
      </c>
      <c r="H314" s="3" t="s">
        <v>130</v>
      </c>
      <c r="I314" s="3">
        <v>5</v>
      </c>
      <c r="J314" s="11">
        <v>85</v>
      </c>
      <c r="K314" s="4">
        <v>0.05</v>
      </c>
      <c r="L314" s="3" t="s">
        <v>101</v>
      </c>
      <c r="M314" s="3"/>
      <c r="N314" s="3"/>
      <c r="O314" s="3"/>
      <c r="P314" s="11">
        <f>Clean_Data[[#This Row],[Quantity]]*Clean_Data[[#This Row],[UnitPrice]]</f>
        <v>425</v>
      </c>
      <c r="Q314" s="11">
        <f>ROUND(Clean_Data[[#This Row],[GrossSales]]*Clean_Data[[#This Row],[DiscountPct]],2)</f>
        <v>21.25</v>
      </c>
      <c r="R314" s="11">
        <f>IF(Clean_Data[[#This Row],[Status]]="Delivered",ROUND(Clean_Data[[#This Row],[GrossSales]]-Clean_Data[[#This Row],[DiscountAmount]],2),0)</f>
        <v>0</v>
      </c>
      <c r="S314" s="3" t="str">
        <f>IF(Clean_Data[[#This Row],[OrderHour]]&lt;6,"Night",IF(Clean_Data[[#This Row],[OrderHour]]&lt;12,"Morning",IF(Clean_Data[[#This Row],[OrderHour]]&lt;18,"Afternoon","Evening")))</f>
        <v>Afternoon</v>
      </c>
      <c r="T314" s="3" t="str">
        <f>TEXT(Clean_Data[[#This Row],[OrderDate]],"[$-409]ddd")</f>
        <v>Fri</v>
      </c>
      <c r="U314" s="3">
        <f>WEEKDAY(Clean_Data[[#This Row],[OrderDate]],2)</f>
        <v>5</v>
      </c>
      <c r="V314" s="3">
        <f>INT(Clean_Data[[#This Row],[OrderHour]]/6)+1</f>
        <v>3</v>
      </c>
      <c r="W314" s="3">
        <f>IF(Clean_Data[[#This Row],[Status]]="Delivered",1,0)</f>
        <v>0</v>
      </c>
      <c r="X314" s="3">
        <f>IF(Clean_Data[[#This Row],[Status]]="Delivered",IF(Clean_Data[[#This Row],[DeliveryMinutes]]&lt;=Dashboard!$X$5,1,0),0)</f>
        <v>0</v>
      </c>
      <c r="Y3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4" s="3">
        <f>IF(AND(Clean_Data[[#This Row],[Include]]=1,Clean_Data[[#This Row],[DeliveredFlag]]=1),1,0)</f>
        <v>0</v>
      </c>
      <c r="AA314" s="1">
        <f>IF(COUNTIF($D$2:D314,D314)=1,ROW()-1,ROWS(Clean_Data[OrderID])+1)</f>
        <v>901</v>
      </c>
      <c r="AB314" s="1">
        <f>IF(COUNTIF($F$2:F314,F314)=1,ROW()-1,ROWS(Clean_Data[OrderID])+1)</f>
        <v>901</v>
      </c>
      <c r="AC314" s="1">
        <f>IF(COUNTIF($G$2:G314,G314)=1,ROW()-1,ROWS(Clean_Data[OrderID])+1)</f>
        <v>901</v>
      </c>
      <c r="AD314" s="1">
        <f>IF(COUNTIF($H$2:H314,H314)=1,ROW()-1,ROWS(Clean_Data[OrderID])+1)</f>
        <v>901</v>
      </c>
      <c r="AE314" s="1">
        <f>IF(COUNTIF($V$2:V314,V314)=1,V314,ROWS(Clean_Data[OrderID])+1)</f>
        <v>901</v>
      </c>
      <c r="AF314" s="1">
        <f>IF(COUNTIF($U$2:U314,U314)=1,U314,ROWS(Clean_Data[OrderID])+1)</f>
        <v>901</v>
      </c>
      <c r="AG314" s="1">
        <f>IF(COUNTIF($E$2:E314,E314)=1,ROW()-1,ROWS(Clean_Data[OrderID])+1)</f>
        <v>901</v>
      </c>
    </row>
    <row r="315" spans="1:33" ht="20" customHeight="1">
      <c r="A315" s="3" t="s">
        <v>636</v>
      </c>
      <c r="B315" s="2">
        <v>46276</v>
      </c>
      <c r="C315" s="3">
        <v>17</v>
      </c>
      <c r="D315" s="3" t="s">
        <v>242</v>
      </c>
      <c r="E315" s="3" t="s">
        <v>91</v>
      </c>
      <c r="F315" s="3" t="s">
        <v>109</v>
      </c>
      <c r="G315" s="3" t="s">
        <v>99</v>
      </c>
      <c r="H315" s="3" t="s">
        <v>104</v>
      </c>
      <c r="I315" s="3">
        <v>3</v>
      </c>
      <c r="J315" s="11">
        <v>240</v>
      </c>
      <c r="K315" s="4">
        <v>0.05</v>
      </c>
      <c r="L315" s="3" t="s">
        <v>95</v>
      </c>
      <c r="M315" s="3">
        <v>20</v>
      </c>
      <c r="N315" s="3">
        <v>10</v>
      </c>
      <c r="O315" s="3">
        <v>5</v>
      </c>
      <c r="P315" s="11">
        <f>Clean_Data[[#This Row],[Quantity]]*Clean_Data[[#This Row],[UnitPrice]]</f>
        <v>720</v>
      </c>
      <c r="Q315" s="11">
        <f>ROUND(Clean_Data[[#This Row],[GrossSales]]*Clean_Data[[#This Row],[DiscountPct]],2)</f>
        <v>36</v>
      </c>
      <c r="R315" s="11">
        <f>IF(Clean_Data[[#This Row],[Status]]="Delivered",ROUND(Clean_Data[[#This Row],[GrossSales]]-Clean_Data[[#This Row],[DiscountAmount]],2),0)</f>
        <v>684</v>
      </c>
      <c r="S315" s="3" t="str">
        <f>IF(Clean_Data[[#This Row],[OrderHour]]&lt;6,"Night",IF(Clean_Data[[#This Row],[OrderHour]]&lt;12,"Morning",IF(Clean_Data[[#This Row],[OrderHour]]&lt;18,"Afternoon","Evening")))</f>
        <v>Afternoon</v>
      </c>
      <c r="T315" s="3" t="str">
        <f>TEXT(Clean_Data[[#This Row],[OrderDate]],"[$-409]ddd")</f>
        <v>Fri</v>
      </c>
      <c r="U315" s="3">
        <f>WEEKDAY(Clean_Data[[#This Row],[OrderDate]],2)</f>
        <v>5</v>
      </c>
      <c r="V315" s="3">
        <f>INT(Clean_Data[[#This Row],[OrderHour]]/6)+1</f>
        <v>3</v>
      </c>
      <c r="W315" s="3">
        <f>IF(Clean_Data[[#This Row],[Status]]="Delivered",1,0)</f>
        <v>1</v>
      </c>
      <c r="X315" s="3">
        <f>IF(Clean_Data[[#This Row],[Status]]="Delivered",IF(Clean_Data[[#This Row],[DeliveryMinutes]]&lt;=Dashboard!$X$5,1,0),0)</f>
        <v>1</v>
      </c>
      <c r="Y3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5" s="3">
        <f>IF(AND(Clean_Data[[#This Row],[Include]]=1,Clean_Data[[#This Row],[DeliveredFlag]]=1),1,0)</f>
        <v>1</v>
      </c>
      <c r="AA315" s="1">
        <f>IF(COUNTIF($D$2:D315,D315)=1,ROW()-1,ROWS(Clean_Data[OrderID])+1)</f>
        <v>901</v>
      </c>
      <c r="AB315" s="1">
        <f>IF(COUNTIF($F$2:F315,F315)=1,ROW()-1,ROWS(Clean_Data[OrderID])+1)</f>
        <v>901</v>
      </c>
      <c r="AC315" s="1">
        <f>IF(COUNTIF($G$2:G315,G315)=1,ROW()-1,ROWS(Clean_Data[OrderID])+1)</f>
        <v>901</v>
      </c>
      <c r="AD315" s="1">
        <f>IF(COUNTIF($H$2:H315,H315)=1,ROW()-1,ROWS(Clean_Data[OrderID])+1)</f>
        <v>901</v>
      </c>
      <c r="AE315" s="1">
        <f>IF(COUNTIF($V$2:V315,V315)=1,V315,ROWS(Clean_Data[OrderID])+1)</f>
        <v>901</v>
      </c>
      <c r="AF315" s="1">
        <f>IF(COUNTIF($U$2:U315,U315)=1,U315,ROWS(Clean_Data[OrderID])+1)</f>
        <v>901</v>
      </c>
      <c r="AG315" s="1">
        <f>IF(COUNTIF($E$2:E315,E315)=1,ROW()-1,ROWS(Clean_Data[OrderID])+1)</f>
        <v>901</v>
      </c>
    </row>
    <row r="316" spans="1:33" ht="20" customHeight="1">
      <c r="A316" s="3" t="s">
        <v>637</v>
      </c>
      <c r="B316" s="2">
        <v>46276</v>
      </c>
      <c r="C316" s="3">
        <v>6</v>
      </c>
      <c r="D316" s="3" t="s">
        <v>608</v>
      </c>
      <c r="E316" s="3" t="s">
        <v>91</v>
      </c>
      <c r="F316" s="3" t="s">
        <v>92</v>
      </c>
      <c r="G316" s="3" t="s">
        <v>99</v>
      </c>
      <c r="H316" s="3" t="s">
        <v>104</v>
      </c>
      <c r="I316" s="3">
        <v>6</v>
      </c>
      <c r="J316" s="11">
        <v>240</v>
      </c>
      <c r="K316" s="4">
        <v>0.05</v>
      </c>
      <c r="L316" s="3" t="s">
        <v>95</v>
      </c>
      <c r="M316" s="3">
        <v>20</v>
      </c>
      <c r="N316" s="3">
        <v>11</v>
      </c>
      <c r="O316" s="3">
        <v>4</v>
      </c>
      <c r="P316" s="11">
        <f>Clean_Data[[#This Row],[Quantity]]*Clean_Data[[#This Row],[UnitPrice]]</f>
        <v>1440</v>
      </c>
      <c r="Q316" s="11">
        <f>ROUND(Clean_Data[[#This Row],[GrossSales]]*Clean_Data[[#This Row],[DiscountPct]],2)</f>
        <v>72</v>
      </c>
      <c r="R316" s="11">
        <f>IF(Clean_Data[[#This Row],[Status]]="Delivered",ROUND(Clean_Data[[#This Row],[GrossSales]]-Clean_Data[[#This Row],[DiscountAmount]],2),0)</f>
        <v>1368</v>
      </c>
      <c r="S316" s="3" t="str">
        <f>IF(Clean_Data[[#This Row],[OrderHour]]&lt;6,"Night",IF(Clean_Data[[#This Row],[OrderHour]]&lt;12,"Morning",IF(Clean_Data[[#This Row],[OrderHour]]&lt;18,"Afternoon","Evening")))</f>
        <v>Morning</v>
      </c>
      <c r="T316" s="3" t="str">
        <f>TEXT(Clean_Data[[#This Row],[OrderDate]],"[$-409]ddd")</f>
        <v>Fri</v>
      </c>
      <c r="U316" s="3">
        <f>WEEKDAY(Clean_Data[[#This Row],[OrderDate]],2)</f>
        <v>5</v>
      </c>
      <c r="V316" s="3">
        <f>INT(Clean_Data[[#This Row],[OrderHour]]/6)+1</f>
        <v>2</v>
      </c>
      <c r="W316" s="3">
        <f>IF(Clean_Data[[#This Row],[Status]]="Delivered",1,0)</f>
        <v>1</v>
      </c>
      <c r="X316" s="3">
        <f>IF(Clean_Data[[#This Row],[Status]]="Delivered",IF(Clean_Data[[#This Row],[DeliveryMinutes]]&lt;=Dashboard!$X$5,1,0),0)</f>
        <v>1</v>
      </c>
      <c r="Y3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6" s="3">
        <f>IF(AND(Clean_Data[[#This Row],[Include]]=1,Clean_Data[[#This Row],[DeliveredFlag]]=1),1,0)</f>
        <v>1</v>
      </c>
      <c r="AA316" s="1">
        <f>IF(COUNTIF($D$2:D316,D316)=1,ROW()-1,ROWS(Clean_Data[OrderID])+1)</f>
        <v>901</v>
      </c>
      <c r="AB316" s="1">
        <f>IF(COUNTIF($F$2:F316,F316)=1,ROW()-1,ROWS(Clean_Data[OrderID])+1)</f>
        <v>901</v>
      </c>
      <c r="AC316" s="1">
        <f>IF(COUNTIF($G$2:G316,G316)=1,ROW()-1,ROWS(Clean_Data[OrderID])+1)</f>
        <v>901</v>
      </c>
      <c r="AD316" s="1">
        <f>IF(COUNTIF($H$2:H316,H316)=1,ROW()-1,ROWS(Clean_Data[OrderID])+1)</f>
        <v>901</v>
      </c>
      <c r="AE316" s="1">
        <f>IF(COUNTIF($V$2:V316,V316)=1,V316,ROWS(Clean_Data[OrderID])+1)</f>
        <v>901</v>
      </c>
      <c r="AF316" s="1">
        <f>IF(COUNTIF($U$2:U316,U316)=1,U316,ROWS(Clean_Data[OrderID])+1)</f>
        <v>901</v>
      </c>
      <c r="AG316" s="1">
        <f>IF(COUNTIF($E$2:E316,E316)=1,ROW()-1,ROWS(Clean_Data[OrderID])+1)</f>
        <v>901</v>
      </c>
    </row>
    <row r="317" spans="1:33" ht="20" customHeight="1">
      <c r="A317" s="3" t="s">
        <v>638</v>
      </c>
      <c r="B317" s="2">
        <v>46276</v>
      </c>
      <c r="C317" s="3">
        <v>17</v>
      </c>
      <c r="D317" s="3" t="s">
        <v>639</v>
      </c>
      <c r="E317" s="3" t="s">
        <v>91</v>
      </c>
      <c r="F317" s="3" t="s">
        <v>109</v>
      </c>
      <c r="G317" s="3" t="s">
        <v>93</v>
      </c>
      <c r="H317" s="3" t="s">
        <v>118</v>
      </c>
      <c r="I317" s="3">
        <v>5</v>
      </c>
      <c r="J317" s="11">
        <v>45</v>
      </c>
      <c r="K317" s="4">
        <v>0</v>
      </c>
      <c r="L317" s="3" t="s">
        <v>95</v>
      </c>
      <c r="M317" s="3">
        <v>31</v>
      </c>
      <c r="N317" s="3">
        <v>9</v>
      </c>
      <c r="O317" s="3">
        <v>5</v>
      </c>
      <c r="P317" s="11">
        <f>Clean_Data[[#This Row],[Quantity]]*Clean_Data[[#This Row],[UnitPrice]]</f>
        <v>225</v>
      </c>
      <c r="Q317" s="11">
        <f>ROUND(Clean_Data[[#This Row],[GrossSales]]*Clean_Data[[#This Row],[DiscountPct]],2)</f>
        <v>0</v>
      </c>
      <c r="R317" s="11">
        <f>IF(Clean_Data[[#This Row],[Status]]="Delivered",ROUND(Clean_Data[[#This Row],[GrossSales]]-Clean_Data[[#This Row],[DiscountAmount]],2),0)</f>
        <v>225</v>
      </c>
      <c r="S317" s="3" t="str">
        <f>IF(Clean_Data[[#This Row],[OrderHour]]&lt;6,"Night",IF(Clean_Data[[#This Row],[OrderHour]]&lt;12,"Morning",IF(Clean_Data[[#This Row],[OrderHour]]&lt;18,"Afternoon","Evening")))</f>
        <v>Afternoon</v>
      </c>
      <c r="T317" s="3" t="str">
        <f>TEXT(Clean_Data[[#This Row],[OrderDate]],"[$-409]ddd")</f>
        <v>Fri</v>
      </c>
      <c r="U317" s="3">
        <f>WEEKDAY(Clean_Data[[#This Row],[OrderDate]],2)</f>
        <v>5</v>
      </c>
      <c r="V317" s="3">
        <f>INT(Clean_Data[[#This Row],[OrderHour]]/6)+1</f>
        <v>3</v>
      </c>
      <c r="W317" s="3">
        <f>IF(Clean_Data[[#This Row],[Status]]="Delivered",1,0)</f>
        <v>1</v>
      </c>
      <c r="X317" s="3">
        <f>IF(Clean_Data[[#This Row],[Status]]="Delivered",IF(Clean_Data[[#This Row],[DeliveryMinutes]]&lt;=Dashboard!$X$5,1,0),0)</f>
        <v>0</v>
      </c>
      <c r="Y3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7" s="3">
        <f>IF(AND(Clean_Data[[#This Row],[Include]]=1,Clean_Data[[#This Row],[DeliveredFlag]]=1),1,0)</f>
        <v>1</v>
      </c>
      <c r="AA317" s="1">
        <f>IF(COUNTIF($D$2:D317,D317)=1,ROW()-1,ROWS(Clean_Data[OrderID])+1)</f>
        <v>316</v>
      </c>
      <c r="AB317" s="1">
        <f>IF(COUNTIF($F$2:F317,F317)=1,ROW()-1,ROWS(Clean_Data[OrderID])+1)</f>
        <v>901</v>
      </c>
      <c r="AC317" s="1">
        <f>IF(COUNTIF($G$2:G317,G317)=1,ROW()-1,ROWS(Clean_Data[OrderID])+1)</f>
        <v>901</v>
      </c>
      <c r="AD317" s="1">
        <f>IF(COUNTIF($H$2:H317,H317)=1,ROW()-1,ROWS(Clean_Data[OrderID])+1)</f>
        <v>901</v>
      </c>
      <c r="AE317" s="1">
        <f>IF(COUNTIF($V$2:V317,V317)=1,V317,ROWS(Clean_Data[OrderID])+1)</f>
        <v>901</v>
      </c>
      <c r="AF317" s="1">
        <f>IF(COUNTIF($U$2:U317,U317)=1,U317,ROWS(Clean_Data[OrderID])+1)</f>
        <v>901</v>
      </c>
      <c r="AG317" s="1">
        <f>IF(COUNTIF($E$2:E317,E317)=1,ROW()-1,ROWS(Clean_Data[OrderID])+1)</f>
        <v>901</v>
      </c>
    </row>
    <row r="318" spans="1:33" ht="20" customHeight="1">
      <c r="A318" s="3" t="s">
        <v>640</v>
      </c>
      <c r="B318" s="2">
        <v>46276</v>
      </c>
      <c r="C318" s="3">
        <v>18</v>
      </c>
      <c r="D318" s="3" t="s">
        <v>417</v>
      </c>
      <c r="E318" s="3" t="s">
        <v>91</v>
      </c>
      <c r="F318" s="3" t="s">
        <v>92</v>
      </c>
      <c r="G318" s="3" t="s">
        <v>110</v>
      </c>
      <c r="H318" s="3" t="s">
        <v>114</v>
      </c>
      <c r="I318" s="3">
        <v>2</v>
      </c>
      <c r="J318" s="11">
        <v>145</v>
      </c>
      <c r="K318" s="4">
        <v>0.05</v>
      </c>
      <c r="L318" s="3" t="s">
        <v>95</v>
      </c>
      <c r="M318" s="3">
        <v>22</v>
      </c>
      <c r="N318" s="3">
        <v>10</v>
      </c>
      <c r="O318" s="3">
        <v>5</v>
      </c>
      <c r="P318" s="11">
        <f>Clean_Data[[#This Row],[Quantity]]*Clean_Data[[#This Row],[UnitPrice]]</f>
        <v>290</v>
      </c>
      <c r="Q318" s="11">
        <f>ROUND(Clean_Data[[#This Row],[GrossSales]]*Clean_Data[[#This Row],[DiscountPct]],2)</f>
        <v>14.5</v>
      </c>
      <c r="R318" s="11">
        <f>IF(Clean_Data[[#This Row],[Status]]="Delivered",ROUND(Clean_Data[[#This Row],[GrossSales]]-Clean_Data[[#This Row],[DiscountAmount]],2),0)</f>
        <v>275.5</v>
      </c>
      <c r="S318" s="3" t="str">
        <f>IF(Clean_Data[[#This Row],[OrderHour]]&lt;6,"Night",IF(Clean_Data[[#This Row],[OrderHour]]&lt;12,"Morning",IF(Clean_Data[[#This Row],[OrderHour]]&lt;18,"Afternoon","Evening")))</f>
        <v>Evening</v>
      </c>
      <c r="T318" s="3" t="str">
        <f>TEXT(Clean_Data[[#This Row],[OrderDate]],"[$-409]ddd")</f>
        <v>Fri</v>
      </c>
      <c r="U318" s="3">
        <f>WEEKDAY(Clean_Data[[#This Row],[OrderDate]],2)</f>
        <v>5</v>
      </c>
      <c r="V318" s="3">
        <f>INT(Clean_Data[[#This Row],[OrderHour]]/6)+1</f>
        <v>4</v>
      </c>
      <c r="W318" s="3">
        <f>IF(Clean_Data[[#This Row],[Status]]="Delivered",1,0)</f>
        <v>1</v>
      </c>
      <c r="X318" s="3">
        <f>IF(Clean_Data[[#This Row],[Status]]="Delivered",IF(Clean_Data[[#This Row],[DeliveryMinutes]]&lt;=Dashboard!$X$5,1,0),0)</f>
        <v>1</v>
      </c>
      <c r="Y3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8" s="3">
        <f>IF(AND(Clean_Data[[#This Row],[Include]]=1,Clean_Data[[#This Row],[DeliveredFlag]]=1),1,0)</f>
        <v>1</v>
      </c>
      <c r="AA318" s="1">
        <f>IF(COUNTIF($D$2:D318,D318)=1,ROW()-1,ROWS(Clean_Data[OrderID])+1)</f>
        <v>901</v>
      </c>
      <c r="AB318" s="1">
        <f>IF(COUNTIF($F$2:F318,F318)=1,ROW()-1,ROWS(Clean_Data[OrderID])+1)</f>
        <v>901</v>
      </c>
      <c r="AC318" s="1">
        <f>IF(COUNTIF($G$2:G318,G318)=1,ROW()-1,ROWS(Clean_Data[OrderID])+1)</f>
        <v>901</v>
      </c>
      <c r="AD318" s="1">
        <f>IF(COUNTIF($H$2:H318,H318)=1,ROW()-1,ROWS(Clean_Data[OrderID])+1)</f>
        <v>901</v>
      </c>
      <c r="AE318" s="1">
        <f>IF(COUNTIF($V$2:V318,V318)=1,V318,ROWS(Clean_Data[OrderID])+1)</f>
        <v>901</v>
      </c>
      <c r="AF318" s="1">
        <f>IF(COUNTIF($U$2:U318,U318)=1,U318,ROWS(Clean_Data[OrderID])+1)</f>
        <v>901</v>
      </c>
      <c r="AG318" s="1">
        <f>IF(COUNTIF($E$2:E318,E318)=1,ROW()-1,ROWS(Clean_Data[OrderID])+1)</f>
        <v>901</v>
      </c>
    </row>
    <row r="319" spans="1:33" ht="20" customHeight="1">
      <c r="A319" s="3" t="s">
        <v>641</v>
      </c>
      <c r="B319" s="2">
        <v>46276</v>
      </c>
      <c r="C319" s="3">
        <v>12</v>
      </c>
      <c r="D319" s="3" t="s">
        <v>642</v>
      </c>
      <c r="E319" s="3" t="s">
        <v>91</v>
      </c>
      <c r="F319" s="3" t="s">
        <v>92</v>
      </c>
      <c r="G319" s="3" t="s">
        <v>99</v>
      </c>
      <c r="H319" s="3" t="s">
        <v>104</v>
      </c>
      <c r="I319" s="3">
        <v>4</v>
      </c>
      <c r="J319" s="11">
        <v>240</v>
      </c>
      <c r="K319" s="4">
        <v>0</v>
      </c>
      <c r="L319" s="3" t="s">
        <v>95</v>
      </c>
      <c r="M319" s="3">
        <v>28</v>
      </c>
      <c r="N319" s="3">
        <v>10</v>
      </c>
      <c r="O319" s="3">
        <v>4</v>
      </c>
      <c r="P319" s="11">
        <f>Clean_Data[[#This Row],[Quantity]]*Clean_Data[[#This Row],[UnitPrice]]</f>
        <v>960</v>
      </c>
      <c r="Q319" s="11">
        <f>ROUND(Clean_Data[[#This Row],[GrossSales]]*Clean_Data[[#This Row],[DiscountPct]],2)</f>
        <v>0</v>
      </c>
      <c r="R319" s="11">
        <f>IF(Clean_Data[[#This Row],[Status]]="Delivered",ROUND(Clean_Data[[#This Row],[GrossSales]]-Clean_Data[[#This Row],[DiscountAmount]],2),0)</f>
        <v>960</v>
      </c>
      <c r="S319" s="3" t="str">
        <f>IF(Clean_Data[[#This Row],[OrderHour]]&lt;6,"Night",IF(Clean_Data[[#This Row],[OrderHour]]&lt;12,"Morning",IF(Clean_Data[[#This Row],[OrderHour]]&lt;18,"Afternoon","Evening")))</f>
        <v>Afternoon</v>
      </c>
      <c r="T319" s="3" t="str">
        <f>TEXT(Clean_Data[[#This Row],[OrderDate]],"[$-409]ddd")</f>
        <v>Fri</v>
      </c>
      <c r="U319" s="3">
        <f>WEEKDAY(Clean_Data[[#This Row],[OrderDate]],2)</f>
        <v>5</v>
      </c>
      <c r="V319" s="3">
        <f>INT(Clean_Data[[#This Row],[OrderHour]]/6)+1</f>
        <v>3</v>
      </c>
      <c r="W319" s="3">
        <f>IF(Clean_Data[[#This Row],[Status]]="Delivered",1,0)</f>
        <v>1</v>
      </c>
      <c r="X319" s="3">
        <f>IF(Clean_Data[[#This Row],[Status]]="Delivered",IF(Clean_Data[[#This Row],[DeliveryMinutes]]&lt;=Dashboard!$X$5,1,0),0)</f>
        <v>1</v>
      </c>
      <c r="Y3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19" s="3">
        <f>IF(AND(Clean_Data[[#This Row],[Include]]=1,Clean_Data[[#This Row],[DeliveredFlag]]=1),1,0)</f>
        <v>1</v>
      </c>
      <c r="AA319" s="1">
        <f>IF(COUNTIF($D$2:D319,D319)=1,ROW()-1,ROWS(Clean_Data[OrderID])+1)</f>
        <v>318</v>
      </c>
      <c r="AB319" s="1">
        <f>IF(COUNTIF($F$2:F319,F319)=1,ROW()-1,ROWS(Clean_Data[OrderID])+1)</f>
        <v>901</v>
      </c>
      <c r="AC319" s="1">
        <f>IF(COUNTIF($G$2:G319,G319)=1,ROW()-1,ROWS(Clean_Data[OrderID])+1)</f>
        <v>901</v>
      </c>
      <c r="AD319" s="1">
        <f>IF(COUNTIF($H$2:H319,H319)=1,ROW()-1,ROWS(Clean_Data[OrderID])+1)</f>
        <v>901</v>
      </c>
      <c r="AE319" s="1">
        <f>IF(COUNTIF($V$2:V319,V319)=1,V319,ROWS(Clean_Data[OrderID])+1)</f>
        <v>901</v>
      </c>
      <c r="AF319" s="1">
        <f>IF(COUNTIF($U$2:U319,U319)=1,U319,ROWS(Clean_Data[OrderID])+1)</f>
        <v>901</v>
      </c>
      <c r="AG319" s="1">
        <f>IF(COUNTIF($E$2:E319,E319)=1,ROW()-1,ROWS(Clean_Data[OrderID])+1)</f>
        <v>901</v>
      </c>
    </row>
    <row r="320" spans="1:33" ht="20" customHeight="1">
      <c r="A320" s="3" t="s">
        <v>643</v>
      </c>
      <c r="B320" s="2">
        <v>46276</v>
      </c>
      <c r="C320" s="3">
        <v>14</v>
      </c>
      <c r="D320" s="3" t="s">
        <v>644</v>
      </c>
      <c r="E320" s="3" t="s">
        <v>91</v>
      </c>
      <c r="F320" s="3" t="s">
        <v>98</v>
      </c>
      <c r="G320" s="3" t="s">
        <v>174</v>
      </c>
      <c r="H320" s="3" t="s">
        <v>175</v>
      </c>
      <c r="I320" s="3">
        <v>4</v>
      </c>
      <c r="J320" s="11">
        <v>155</v>
      </c>
      <c r="K320" s="4">
        <v>0</v>
      </c>
      <c r="L320" s="3" t="s">
        <v>95</v>
      </c>
      <c r="M320" s="3">
        <v>19</v>
      </c>
      <c r="N320" s="3">
        <v>14</v>
      </c>
      <c r="O320" s="3">
        <v>4</v>
      </c>
      <c r="P320" s="11">
        <f>Clean_Data[[#This Row],[Quantity]]*Clean_Data[[#This Row],[UnitPrice]]</f>
        <v>620</v>
      </c>
      <c r="Q320" s="11">
        <f>ROUND(Clean_Data[[#This Row],[GrossSales]]*Clean_Data[[#This Row],[DiscountPct]],2)</f>
        <v>0</v>
      </c>
      <c r="R320" s="11">
        <f>IF(Clean_Data[[#This Row],[Status]]="Delivered",ROUND(Clean_Data[[#This Row],[GrossSales]]-Clean_Data[[#This Row],[DiscountAmount]],2),0)</f>
        <v>620</v>
      </c>
      <c r="S320" s="3" t="str">
        <f>IF(Clean_Data[[#This Row],[OrderHour]]&lt;6,"Night",IF(Clean_Data[[#This Row],[OrderHour]]&lt;12,"Morning",IF(Clean_Data[[#This Row],[OrderHour]]&lt;18,"Afternoon","Evening")))</f>
        <v>Afternoon</v>
      </c>
      <c r="T320" s="3" t="str">
        <f>TEXT(Clean_Data[[#This Row],[OrderDate]],"[$-409]ddd")</f>
        <v>Fri</v>
      </c>
      <c r="U320" s="3">
        <f>WEEKDAY(Clean_Data[[#This Row],[OrderDate]],2)</f>
        <v>5</v>
      </c>
      <c r="V320" s="3">
        <f>INT(Clean_Data[[#This Row],[OrderHour]]/6)+1</f>
        <v>3</v>
      </c>
      <c r="W320" s="3">
        <f>IF(Clean_Data[[#This Row],[Status]]="Delivered",1,0)</f>
        <v>1</v>
      </c>
      <c r="X320" s="3">
        <f>IF(Clean_Data[[#This Row],[Status]]="Delivered",IF(Clean_Data[[#This Row],[DeliveryMinutes]]&lt;=Dashboard!$X$5,1,0),0)</f>
        <v>1</v>
      </c>
      <c r="Y3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0" s="3">
        <f>IF(AND(Clean_Data[[#This Row],[Include]]=1,Clean_Data[[#This Row],[DeliveredFlag]]=1),1,0)</f>
        <v>1</v>
      </c>
      <c r="AA320" s="1">
        <f>IF(COUNTIF($D$2:D320,D320)=1,ROW()-1,ROWS(Clean_Data[OrderID])+1)</f>
        <v>319</v>
      </c>
      <c r="AB320" s="1">
        <f>IF(COUNTIF($F$2:F320,F320)=1,ROW()-1,ROWS(Clean_Data[OrderID])+1)</f>
        <v>901</v>
      </c>
      <c r="AC320" s="1">
        <f>IF(COUNTIF($G$2:G320,G320)=1,ROW()-1,ROWS(Clean_Data[OrderID])+1)</f>
        <v>901</v>
      </c>
      <c r="AD320" s="1">
        <f>IF(COUNTIF($H$2:H320,H320)=1,ROW()-1,ROWS(Clean_Data[OrderID])+1)</f>
        <v>901</v>
      </c>
      <c r="AE320" s="1">
        <f>IF(COUNTIF($V$2:V320,V320)=1,V320,ROWS(Clean_Data[OrderID])+1)</f>
        <v>901</v>
      </c>
      <c r="AF320" s="1">
        <f>IF(COUNTIF($U$2:U320,U320)=1,U320,ROWS(Clean_Data[OrderID])+1)</f>
        <v>901</v>
      </c>
      <c r="AG320" s="1">
        <f>IF(COUNTIF($E$2:E320,E320)=1,ROW()-1,ROWS(Clean_Data[OrderID])+1)</f>
        <v>901</v>
      </c>
    </row>
    <row r="321" spans="1:33" ht="20" customHeight="1">
      <c r="A321" s="3" t="s">
        <v>645</v>
      </c>
      <c r="B321" s="2">
        <v>46276</v>
      </c>
      <c r="C321" s="3">
        <v>7</v>
      </c>
      <c r="D321" s="3" t="s">
        <v>558</v>
      </c>
      <c r="E321" s="3" t="s">
        <v>91</v>
      </c>
      <c r="F321" s="3" t="s">
        <v>109</v>
      </c>
      <c r="G321" s="3" t="s">
        <v>174</v>
      </c>
      <c r="H321" s="3" t="s">
        <v>274</v>
      </c>
      <c r="I321" s="3">
        <v>2</v>
      </c>
      <c r="J321" s="11">
        <v>90</v>
      </c>
      <c r="K321" s="4">
        <v>0</v>
      </c>
      <c r="L321" s="3" t="s">
        <v>95</v>
      </c>
      <c r="M321" s="3">
        <v>34</v>
      </c>
      <c r="N321" s="3">
        <v>14</v>
      </c>
      <c r="O321" s="3">
        <v>4</v>
      </c>
      <c r="P321" s="11">
        <f>Clean_Data[[#This Row],[Quantity]]*Clean_Data[[#This Row],[UnitPrice]]</f>
        <v>180</v>
      </c>
      <c r="Q321" s="11">
        <f>ROUND(Clean_Data[[#This Row],[GrossSales]]*Clean_Data[[#This Row],[DiscountPct]],2)</f>
        <v>0</v>
      </c>
      <c r="R321" s="11">
        <f>IF(Clean_Data[[#This Row],[Status]]="Delivered",ROUND(Clean_Data[[#This Row],[GrossSales]]-Clean_Data[[#This Row],[DiscountAmount]],2),0)</f>
        <v>180</v>
      </c>
      <c r="S321" s="3" t="str">
        <f>IF(Clean_Data[[#This Row],[OrderHour]]&lt;6,"Night",IF(Clean_Data[[#This Row],[OrderHour]]&lt;12,"Morning",IF(Clean_Data[[#This Row],[OrderHour]]&lt;18,"Afternoon","Evening")))</f>
        <v>Morning</v>
      </c>
      <c r="T321" s="3" t="str">
        <f>TEXT(Clean_Data[[#This Row],[OrderDate]],"[$-409]ddd")</f>
        <v>Fri</v>
      </c>
      <c r="U321" s="3">
        <f>WEEKDAY(Clean_Data[[#This Row],[OrderDate]],2)</f>
        <v>5</v>
      </c>
      <c r="V321" s="3">
        <f>INT(Clean_Data[[#This Row],[OrderHour]]/6)+1</f>
        <v>2</v>
      </c>
      <c r="W321" s="3">
        <f>IF(Clean_Data[[#This Row],[Status]]="Delivered",1,0)</f>
        <v>1</v>
      </c>
      <c r="X321" s="3">
        <f>IF(Clean_Data[[#This Row],[Status]]="Delivered",IF(Clean_Data[[#This Row],[DeliveryMinutes]]&lt;=Dashboard!$X$5,1,0),0)</f>
        <v>0</v>
      </c>
      <c r="Y3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1" s="3">
        <f>IF(AND(Clean_Data[[#This Row],[Include]]=1,Clean_Data[[#This Row],[DeliveredFlag]]=1),1,0)</f>
        <v>1</v>
      </c>
      <c r="AA321" s="1">
        <f>IF(COUNTIF($D$2:D321,D321)=1,ROW()-1,ROWS(Clean_Data[OrderID])+1)</f>
        <v>901</v>
      </c>
      <c r="AB321" s="1">
        <f>IF(COUNTIF($F$2:F321,F321)=1,ROW()-1,ROWS(Clean_Data[OrderID])+1)</f>
        <v>901</v>
      </c>
      <c r="AC321" s="1">
        <f>IF(COUNTIF($G$2:G321,G321)=1,ROW()-1,ROWS(Clean_Data[OrderID])+1)</f>
        <v>901</v>
      </c>
      <c r="AD321" s="1">
        <f>IF(COUNTIF($H$2:H321,H321)=1,ROW()-1,ROWS(Clean_Data[OrderID])+1)</f>
        <v>901</v>
      </c>
      <c r="AE321" s="1">
        <f>IF(COUNTIF($V$2:V321,V321)=1,V321,ROWS(Clean_Data[OrderID])+1)</f>
        <v>901</v>
      </c>
      <c r="AF321" s="1">
        <f>IF(COUNTIF($U$2:U321,U321)=1,U321,ROWS(Clean_Data[OrderID])+1)</f>
        <v>901</v>
      </c>
      <c r="AG321" s="1">
        <f>IF(COUNTIF($E$2:E321,E321)=1,ROW()-1,ROWS(Clean_Data[OrderID])+1)</f>
        <v>901</v>
      </c>
    </row>
    <row r="322" spans="1:33" ht="20" customHeight="1">
      <c r="A322" s="3" t="s">
        <v>646</v>
      </c>
      <c r="B322" s="2">
        <v>46276</v>
      </c>
      <c r="C322" s="3">
        <v>6</v>
      </c>
      <c r="D322" s="3" t="s">
        <v>155</v>
      </c>
      <c r="E322" s="3" t="s">
        <v>91</v>
      </c>
      <c r="F322" s="3" t="s">
        <v>92</v>
      </c>
      <c r="G322" s="3" t="s">
        <v>93</v>
      </c>
      <c r="H322" s="3" t="s">
        <v>146</v>
      </c>
      <c r="I322" s="3">
        <v>3</v>
      </c>
      <c r="J322" s="11">
        <v>110</v>
      </c>
      <c r="K322" s="4">
        <v>0</v>
      </c>
      <c r="L322" s="3" t="s">
        <v>95</v>
      </c>
      <c r="M322" s="3">
        <v>30</v>
      </c>
      <c r="N322" s="3">
        <v>8</v>
      </c>
      <c r="O322" s="3">
        <v>5</v>
      </c>
      <c r="P322" s="11">
        <f>Clean_Data[[#This Row],[Quantity]]*Clean_Data[[#This Row],[UnitPrice]]</f>
        <v>330</v>
      </c>
      <c r="Q322" s="11">
        <f>ROUND(Clean_Data[[#This Row],[GrossSales]]*Clean_Data[[#This Row],[DiscountPct]],2)</f>
        <v>0</v>
      </c>
      <c r="R322" s="11">
        <f>IF(Clean_Data[[#This Row],[Status]]="Delivered",ROUND(Clean_Data[[#This Row],[GrossSales]]-Clean_Data[[#This Row],[DiscountAmount]],2),0)</f>
        <v>330</v>
      </c>
      <c r="S322" s="3" t="str">
        <f>IF(Clean_Data[[#This Row],[OrderHour]]&lt;6,"Night",IF(Clean_Data[[#This Row],[OrderHour]]&lt;12,"Morning",IF(Clean_Data[[#This Row],[OrderHour]]&lt;18,"Afternoon","Evening")))</f>
        <v>Morning</v>
      </c>
      <c r="T322" s="3" t="str">
        <f>TEXT(Clean_Data[[#This Row],[OrderDate]],"[$-409]ddd")</f>
        <v>Fri</v>
      </c>
      <c r="U322" s="3">
        <f>WEEKDAY(Clean_Data[[#This Row],[OrderDate]],2)</f>
        <v>5</v>
      </c>
      <c r="V322" s="3">
        <f>INT(Clean_Data[[#This Row],[OrderHour]]/6)+1</f>
        <v>2</v>
      </c>
      <c r="W322" s="3">
        <f>IF(Clean_Data[[#This Row],[Status]]="Delivered",1,0)</f>
        <v>1</v>
      </c>
      <c r="X322" s="3">
        <f>IF(Clean_Data[[#This Row],[Status]]="Delivered",IF(Clean_Data[[#This Row],[DeliveryMinutes]]&lt;=Dashboard!$X$5,1,0),0)</f>
        <v>1</v>
      </c>
      <c r="Y3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2" s="3">
        <f>IF(AND(Clean_Data[[#This Row],[Include]]=1,Clean_Data[[#This Row],[DeliveredFlag]]=1),1,0)</f>
        <v>1</v>
      </c>
      <c r="AA322" s="1">
        <f>IF(COUNTIF($D$2:D322,D322)=1,ROW()-1,ROWS(Clean_Data[OrderID])+1)</f>
        <v>901</v>
      </c>
      <c r="AB322" s="1">
        <f>IF(COUNTIF($F$2:F322,F322)=1,ROW()-1,ROWS(Clean_Data[OrderID])+1)</f>
        <v>901</v>
      </c>
      <c r="AC322" s="1">
        <f>IF(COUNTIF($G$2:G322,G322)=1,ROW()-1,ROWS(Clean_Data[OrderID])+1)</f>
        <v>901</v>
      </c>
      <c r="AD322" s="1">
        <f>IF(COUNTIF($H$2:H322,H322)=1,ROW()-1,ROWS(Clean_Data[OrderID])+1)</f>
        <v>901</v>
      </c>
      <c r="AE322" s="1">
        <f>IF(COUNTIF($V$2:V322,V322)=1,V322,ROWS(Clean_Data[OrderID])+1)</f>
        <v>901</v>
      </c>
      <c r="AF322" s="1">
        <f>IF(COUNTIF($U$2:U322,U322)=1,U322,ROWS(Clean_Data[OrderID])+1)</f>
        <v>901</v>
      </c>
      <c r="AG322" s="1">
        <f>IF(COUNTIF($E$2:E322,E322)=1,ROW()-1,ROWS(Clean_Data[OrderID])+1)</f>
        <v>901</v>
      </c>
    </row>
    <row r="323" spans="1:33" ht="20" customHeight="1">
      <c r="A323" s="3" t="s">
        <v>647</v>
      </c>
      <c r="B323" s="2">
        <v>46276</v>
      </c>
      <c r="C323" s="3">
        <v>8</v>
      </c>
      <c r="D323" s="3" t="s">
        <v>530</v>
      </c>
      <c r="E323" s="3" t="s">
        <v>91</v>
      </c>
      <c r="F323" s="3" t="s">
        <v>121</v>
      </c>
      <c r="G323" s="3" t="s">
        <v>122</v>
      </c>
      <c r="H323" s="3" t="s">
        <v>153</v>
      </c>
      <c r="I323" s="3">
        <v>4</v>
      </c>
      <c r="J323" s="11">
        <v>130</v>
      </c>
      <c r="K323" s="4">
        <v>0</v>
      </c>
      <c r="L323" s="3" t="s">
        <v>95</v>
      </c>
      <c r="M323" s="3">
        <v>28</v>
      </c>
      <c r="N323" s="3">
        <v>5</v>
      </c>
      <c r="O323" s="3">
        <v>5</v>
      </c>
      <c r="P323" s="11">
        <f>Clean_Data[[#This Row],[Quantity]]*Clean_Data[[#This Row],[UnitPrice]]</f>
        <v>520</v>
      </c>
      <c r="Q323" s="11">
        <f>ROUND(Clean_Data[[#This Row],[GrossSales]]*Clean_Data[[#This Row],[DiscountPct]],2)</f>
        <v>0</v>
      </c>
      <c r="R323" s="11">
        <f>IF(Clean_Data[[#This Row],[Status]]="Delivered",ROUND(Clean_Data[[#This Row],[GrossSales]]-Clean_Data[[#This Row],[DiscountAmount]],2),0)</f>
        <v>520</v>
      </c>
      <c r="S323" s="3" t="str">
        <f>IF(Clean_Data[[#This Row],[OrderHour]]&lt;6,"Night",IF(Clean_Data[[#This Row],[OrderHour]]&lt;12,"Morning",IF(Clean_Data[[#This Row],[OrderHour]]&lt;18,"Afternoon","Evening")))</f>
        <v>Morning</v>
      </c>
      <c r="T323" s="3" t="str">
        <f>TEXT(Clean_Data[[#This Row],[OrderDate]],"[$-409]ddd")</f>
        <v>Fri</v>
      </c>
      <c r="U323" s="3">
        <f>WEEKDAY(Clean_Data[[#This Row],[OrderDate]],2)</f>
        <v>5</v>
      </c>
      <c r="V323" s="3">
        <f>INT(Clean_Data[[#This Row],[OrderHour]]/6)+1</f>
        <v>2</v>
      </c>
      <c r="W323" s="3">
        <f>IF(Clean_Data[[#This Row],[Status]]="Delivered",1,0)</f>
        <v>1</v>
      </c>
      <c r="X323" s="3">
        <f>IF(Clean_Data[[#This Row],[Status]]="Delivered",IF(Clean_Data[[#This Row],[DeliveryMinutes]]&lt;=Dashboard!$X$5,1,0),0)</f>
        <v>1</v>
      </c>
      <c r="Y3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3" s="3">
        <f>IF(AND(Clean_Data[[#This Row],[Include]]=1,Clean_Data[[#This Row],[DeliveredFlag]]=1),1,0)</f>
        <v>1</v>
      </c>
      <c r="AA323" s="1">
        <f>IF(COUNTIF($D$2:D323,D323)=1,ROW()-1,ROWS(Clean_Data[OrderID])+1)</f>
        <v>901</v>
      </c>
      <c r="AB323" s="1">
        <f>IF(COUNTIF($F$2:F323,F323)=1,ROW()-1,ROWS(Clean_Data[OrderID])+1)</f>
        <v>901</v>
      </c>
      <c r="AC323" s="1">
        <f>IF(COUNTIF($G$2:G323,G323)=1,ROW()-1,ROWS(Clean_Data[OrderID])+1)</f>
        <v>901</v>
      </c>
      <c r="AD323" s="1">
        <f>IF(COUNTIF($H$2:H323,H323)=1,ROW()-1,ROWS(Clean_Data[OrderID])+1)</f>
        <v>901</v>
      </c>
      <c r="AE323" s="1">
        <f>IF(COUNTIF($V$2:V323,V323)=1,V323,ROWS(Clean_Data[OrderID])+1)</f>
        <v>901</v>
      </c>
      <c r="AF323" s="1">
        <f>IF(COUNTIF($U$2:U323,U323)=1,U323,ROWS(Clean_Data[OrderID])+1)</f>
        <v>901</v>
      </c>
      <c r="AG323" s="1">
        <f>IF(COUNTIF($E$2:E323,E323)=1,ROW()-1,ROWS(Clean_Data[OrderID])+1)</f>
        <v>901</v>
      </c>
    </row>
    <row r="324" spans="1:33" ht="20" customHeight="1">
      <c r="A324" s="3" t="s">
        <v>648</v>
      </c>
      <c r="B324" s="2">
        <v>46276</v>
      </c>
      <c r="C324" s="3">
        <v>16</v>
      </c>
      <c r="D324" s="3" t="s">
        <v>334</v>
      </c>
      <c r="E324" s="3" t="s">
        <v>91</v>
      </c>
      <c r="F324" s="3" t="s">
        <v>98</v>
      </c>
      <c r="G324" s="3" t="s">
        <v>93</v>
      </c>
      <c r="H324" s="3" t="s">
        <v>146</v>
      </c>
      <c r="I324" s="3">
        <v>1</v>
      </c>
      <c r="J324" s="11">
        <v>110</v>
      </c>
      <c r="K324" s="4">
        <v>0</v>
      </c>
      <c r="L324" s="3" t="s">
        <v>95</v>
      </c>
      <c r="M324" s="3">
        <v>25</v>
      </c>
      <c r="N324" s="3">
        <v>9</v>
      </c>
      <c r="O324" s="3">
        <v>4</v>
      </c>
      <c r="P324" s="11">
        <f>Clean_Data[[#This Row],[Quantity]]*Clean_Data[[#This Row],[UnitPrice]]</f>
        <v>110</v>
      </c>
      <c r="Q324" s="11">
        <f>ROUND(Clean_Data[[#This Row],[GrossSales]]*Clean_Data[[#This Row],[DiscountPct]],2)</f>
        <v>0</v>
      </c>
      <c r="R324" s="11">
        <f>IF(Clean_Data[[#This Row],[Status]]="Delivered",ROUND(Clean_Data[[#This Row],[GrossSales]]-Clean_Data[[#This Row],[DiscountAmount]],2),0)</f>
        <v>110</v>
      </c>
      <c r="S324" s="3" t="str">
        <f>IF(Clean_Data[[#This Row],[OrderHour]]&lt;6,"Night",IF(Clean_Data[[#This Row],[OrderHour]]&lt;12,"Morning",IF(Clean_Data[[#This Row],[OrderHour]]&lt;18,"Afternoon","Evening")))</f>
        <v>Afternoon</v>
      </c>
      <c r="T324" s="3" t="str">
        <f>TEXT(Clean_Data[[#This Row],[OrderDate]],"[$-409]ddd")</f>
        <v>Fri</v>
      </c>
      <c r="U324" s="3">
        <f>WEEKDAY(Clean_Data[[#This Row],[OrderDate]],2)</f>
        <v>5</v>
      </c>
      <c r="V324" s="3">
        <f>INT(Clean_Data[[#This Row],[OrderHour]]/6)+1</f>
        <v>3</v>
      </c>
      <c r="W324" s="3">
        <f>IF(Clean_Data[[#This Row],[Status]]="Delivered",1,0)</f>
        <v>1</v>
      </c>
      <c r="X324" s="3">
        <f>IF(Clean_Data[[#This Row],[Status]]="Delivered",IF(Clean_Data[[#This Row],[DeliveryMinutes]]&lt;=Dashboard!$X$5,1,0),0)</f>
        <v>1</v>
      </c>
      <c r="Y3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4" s="3">
        <f>IF(AND(Clean_Data[[#This Row],[Include]]=1,Clean_Data[[#This Row],[DeliveredFlag]]=1),1,0)</f>
        <v>1</v>
      </c>
      <c r="AA324" s="1">
        <f>IF(COUNTIF($D$2:D324,D324)=1,ROW()-1,ROWS(Clean_Data[OrderID])+1)</f>
        <v>901</v>
      </c>
      <c r="AB324" s="1">
        <f>IF(COUNTIF($F$2:F324,F324)=1,ROW()-1,ROWS(Clean_Data[OrderID])+1)</f>
        <v>901</v>
      </c>
      <c r="AC324" s="1">
        <f>IF(COUNTIF($G$2:G324,G324)=1,ROW()-1,ROWS(Clean_Data[OrderID])+1)</f>
        <v>901</v>
      </c>
      <c r="AD324" s="1">
        <f>IF(COUNTIF($H$2:H324,H324)=1,ROW()-1,ROWS(Clean_Data[OrderID])+1)</f>
        <v>901</v>
      </c>
      <c r="AE324" s="1">
        <f>IF(COUNTIF($V$2:V324,V324)=1,V324,ROWS(Clean_Data[OrderID])+1)</f>
        <v>901</v>
      </c>
      <c r="AF324" s="1">
        <f>IF(COUNTIF($U$2:U324,U324)=1,U324,ROWS(Clean_Data[OrderID])+1)</f>
        <v>901</v>
      </c>
      <c r="AG324" s="1">
        <f>IF(COUNTIF($E$2:E324,E324)=1,ROW()-1,ROWS(Clean_Data[OrderID])+1)</f>
        <v>901</v>
      </c>
    </row>
    <row r="325" spans="1:33" ht="20" customHeight="1">
      <c r="A325" s="3" t="s">
        <v>649</v>
      </c>
      <c r="B325" s="2">
        <v>46276</v>
      </c>
      <c r="C325" s="3">
        <v>9</v>
      </c>
      <c r="D325" s="3" t="s">
        <v>90</v>
      </c>
      <c r="E325" s="3" t="s">
        <v>91</v>
      </c>
      <c r="F325" s="3" t="s">
        <v>98</v>
      </c>
      <c r="G325" s="3" t="s">
        <v>99</v>
      </c>
      <c r="H325" s="3" t="s">
        <v>104</v>
      </c>
      <c r="I325" s="3">
        <v>2</v>
      </c>
      <c r="J325" s="11">
        <v>240</v>
      </c>
      <c r="K325" s="4">
        <v>0.1</v>
      </c>
      <c r="L325" s="3" t="s">
        <v>95</v>
      </c>
      <c r="M325" s="3">
        <v>22</v>
      </c>
      <c r="N325" s="3">
        <v>11</v>
      </c>
      <c r="O325" s="3">
        <v>5</v>
      </c>
      <c r="P325" s="11">
        <f>Clean_Data[[#This Row],[Quantity]]*Clean_Data[[#This Row],[UnitPrice]]</f>
        <v>480</v>
      </c>
      <c r="Q325" s="11">
        <f>ROUND(Clean_Data[[#This Row],[GrossSales]]*Clean_Data[[#This Row],[DiscountPct]],2)</f>
        <v>48</v>
      </c>
      <c r="R325" s="11">
        <f>IF(Clean_Data[[#This Row],[Status]]="Delivered",ROUND(Clean_Data[[#This Row],[GrossSales]]-Clean_Data[[#This Row],[DiscountAmount]],2),0)</f>
        <v>432</v>
      </c>
      <c r="S325" s="3" t="str">
        <f>IF(Clean_Data[[#This Row],[OrderHour]]&lt;6,"Night",IF(Clean_Data[[#This Row],[OrderHour]]&lt;12,"Morning",IF(Clean_Data[[#This Row],[OrderHour]]&lt;18,"Afternoon","Evening")))</f>
        <v>Morning</v>
      </c>
      <c r="T325" s="3" t="str">
        <f>TEXT(Clean_Data[[#This Row],[OrderDate]],"[$-409]ddd")</f>
        <v>Fri</v>
      </c>
      <c r="U325" s="3">
        <f>WEEKDAY(Clean_Data[[#This Row],[OrderDate]],2)</f>
        <v>5</v>
      </c>
      <c r="V325" s="3">
        <f>INT(Clean_Data[[#This Row],[OrderHour]]/6)+1</f>
        <v>2</v>
      </c>
      <c r="W325" s="3">
        <f>IF(Clean_Data[[#This Row],[Status]]="Delivered",1,0)</f>
        <v>1</v>
      </c>
      <c r="X325" s="3">
        <f>IF(Clean_Data[[#This Row],[Status]]="Delivered",IF(Clean_Data[[#This Row],[DeliveryMinutes]]&lt;=Dashboard!$X$5,1,0),0)</f>
        <v>1</v>
      </c>
      <c r="Y3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5" s="3">
        <f>IF(AND(Clean_Data[[#This Row],[Include]]=1,Clean_Data[[#This Row],[DeliveredFlag]]=1),1,0)</f>
        <v>1</v>
      </c>
      <c r="AA325" s="1">
        <f>IF(COUNTIF($D$2:D325,D325)=1,ROW()-1,ROWS(Clean_Data[OrderID])+1)</f>
        <v>901</v>
      </c>
      <c r="AB325" s="1">
        <f>IF(COUNTIF($F$2:F325,F325)=1,ROW()-1,ROWS(Clean_Data[OrderID])+1)</f>
        <v>901</v>
      </c>
      <c r="AC325" s="1">
        <f>IF(COUNTIF($G$2:G325,G325)=1,ROW()-1,ROWS(Clean_Data[OrderID])+1)</f>
        <v>901</v>
      </c>
      <c r="AD325" s="1">
        <f>IF(COUNTIF($H$2:H325,H325)=1,ROW()-1,ROWS(Clean_Data[OrderID])+1)</f>
        <v>901</v>
      </c>
      <c r="AE325" s="1">
        <f>IF(COUNTIF($V$2:V325,V325)=1,V325,ROWS(Clean_Data[OrderID])+1)</f>
        <v>901</v>
      </c>
      <c r="AF325" s="1">
        <f>IF(COUNTIF($U$2:U325,U325)=1,U325,ROWS(Clean_Data[OrderID])+1)</f>
        <v>901</v>
      </c>
      <c r="AG325" s="1">
        <f>IF(COUNTIF($E$2:E325,E325)=1,ROW()-1,ROWS(Clean_Data[OrderID])+1)</f>
        <v>901</v>
      </c>
    </row>
    <row r="326" spans="1:33" ht="20" customHeight="1">
      <c r="A326" s="3" t="s">
        <v>650</v>
      </c>
      <c r="B326" s="2">
        <v>46276</v>
      </c>
      <c r="C326" s="3">
        <v>13</v>
      </c>
      <c r="D326" s="3" t="s">
        <v>429</v>
      </c>
      <c r="E326" s="3" t="s">
        <v>91</v>
      </c>
      <c r="F326" s="3" t="s">
        <v>109</v>
      </c>
      <c r="G326" s="3" t="s">
        <v>135</v>
      </c>
      <c r="H326" s="3" t="s">
        <v>162</v>
      </c>
      <c r="I326" s="3">
        <v>6</v>
      </c>
      <c r="J326" s="11">
        <v>180</v>
      </c>
      <c r="K326" s="4">
        <v>0.1</v>
      </c>
      <c r="L326" s="3" t="s">
        <v>95</v>
      </c>
      <c r="M326" s="3">
        <v>28</v>
      </c>
      <c r="N326" s="3">
        <v>6</v>
      </c>
      <c r="O326" s="3">
        <v>3</v>
      </c>
      <c r="P326" s="11">
        <f>Clean_Data[[#This Row],[Quantity]]*Clean_Data[[#This Row],[UnitPrice]]</f>
        <v>1080</v>
      </c>
      <c r="Q326" s="11">
        <f>ROUND(Clean_Data[[#This Row],[GrossSales]]*Clean_Data[[#This Row],[DiscountPct]],2)</f>
        <v>108</v>
      </c>
      <c r="R326" s="11">
        <f>IF(Clean_Data[[#This Row],[Status]]="Delivered",ROUND(Clean_Data[[#This Row],[GrossSales]]-Clean_Data[[#This Row],[DiscountAmount]],2),0)</f>
        <v>972</v>
      </c>
      <c r="S326" s="3" t="str">
        <f>IF(Clean_Data[[#This Row],[OrderHour]]&lt;6,"Night",IF(Clean_Data[[#This Row],[OrderHour]]&lt;12,"Morning",IF(Clean_Data[[#This Row],[OrderHour]]&lt;18,"Afternoon","Evening")))</f>
        <v>Afternoon</v>
      </c>
      <c r="T326" s="3" t="str">
        <f>TEXT(Clean_Data[[#This Row],[OrderDate]],"[$-409]ddd")</f>
        <v>Fri</v>
      </c>
      <c r="U326" s="3">
        <f>WEEKDAY(Clean_Data[[#This Row],[OrderDate]],2)</f>
        <v>5</v>
      </c>
      <c r="V326" s="3">
        <f>INT(Clean_Data[[#This Row],[OrderHour]]/6)+1</f>
        <v>3</v>
      </c>
      <c r="W326" s="3">
        <f>IF(Clean_Data[[#This Row],[Status]]="Delivered",1,0)</f>
        <v>1</v>
      </c>
      <c r="X326" s="3">
        <f>IF(Clean_Data[[#This Row],[Status]]="Delivered",IF(Clean_Data[[#This Row],[DeliveryMinutes]]&lt;=Dashboard!$X$5,1,0),0)</f>
        <v>1</v>
      </c>
      <c r="Y3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6" s="3">
        <f>IF(AND(Clean_Data[[#This Row],[Include]]=1,Clean_Data[[#This Row],[DeliveredFlag]]=1),1,0)</f>
        <v>1</v>
      </c>
      <c r="AA326" s="1">
        <f>IF(COUNTIF($D$2:D326,D326)=1,ROW()-1,ROWS(Clean_Data[OrderID])+1)</f>
        <v>901</v>
      </c>
      <c r="AB326" s="1">
        <f>IF(COUNTIF($F$2:F326,F326)=1,ROW()-1,ROWS(Clean_Data[OrderID])+1)</f>
        <v>901</v>
      </c>
      <c r="AC326" s="1">
        <f>IF(COUNTIF($G$2:G326,G326)=1,ROW()-1,ROWS(Clean_Data[OrderID])+1)</f>
        <v>901</v>
      </c>
      <c r="AD326" s="1">
        <f>IF(COUNTIF($H$2:H326,H326)=1,ROW()-1,ROWS(Clean_Data[OrderID])+1)</f>
        <v>901</v>
      </c>
      <c r="AE326" s="1">
        <f>IF(COUNTIF($V$2:V326,V326)=1,V326,ROWS(Clean_Data[OrderID])+1)</f>
        <v>901</v>
      </c>
      <c r="AF326" s="1">
        <f>IF(COUNTIF($U$2:U326,U326)=1,U326,ROWS(Clean_Data[OrderID])+1)</f>
        <v>901</v>
      </c>
      <c r="AG326" s="1">
        <f>IF(COUNTIF($E$2:E326,E326)=1,ROW()-1,ROWS(Clean_Data[OrderID])+1)</f>
        <v>901</v>
      </c>
    </row>
    <row r="327" spans="1:33" ht="20" customHeight="1">
      <c r="A327" s="3" t="s">
        <v>651</v>
      </c>
      <c r="B327" s="2">
        <v>46276</v>
      </c>
      <c r="C327" s="3">
        <v>19</v>
      </c>
      <c r="D327" s="3" t="s">
        <v>652</v>
      </c>
      <c r="E327" s="3" t="s">
        <v>91</v>
      </c>
      <c r="F327" s="3" t="s">
        <v>92</v>
      </c>
      <c r="G327" s="3" t="s">
        <v>110</v>
      </c>
      <c r="H327" s="3" t="s">
        <v>114</v>
      </c>
      <c r="I327" s="3">
        <v>1</v>
      </c>
      <c r="J327" s="11">
        <v>145</v>
      </c>
      <c r="K327" s="4">
        <v>0</v>
      </c>
      <c r="L327" s="3" t="s">
        <v>95</v>
      </c>
      <c r="M327" s="3">
        <v>30</v>
      </c>
      <c r="N327" s="3">
        <v>14</v>
      </c>
      <c r="O327" s="3">
        <v>5</v>
      </c>
      <c r="P327" s="11">
        <f>Clean_Data[[#This Row],[Quantity]]*Clean_Data[[#This Row],[UnitPrice]]</f>
        <v>145</v>
      </c>
      <c r="Q327" s="11">
        <f>ROUND(Clean_Data[[#This Row],[GrossSales]]*Clean_Data[[#This Row],[DiscountPct]],2)</f>
        <v>0</v>
      </c>
      <c r="R327" s="11">
        <f>IF(Clean_Data[[#This Row],[Status]]="Delivered",ROUND(Clean_Data[[#This Row],[GrossSales]]-Clean_Data[[#This Row],[DiscountAmount]],2),0)</f>
        <v>145</v>
      </c>
      <c r="S327" s="3" t="str">
        <f>IF(Clean_Data[[#This Row],[OrderHour]]&lt;6,"Night",IF(Clean_Data[[#This Row],[OrderHour]]&lt;12,"Morning",IF(Clean_Data[[#This Row],[OrderHour]]&lt;18,"Afternoon","Evening")))</f>
        <v>Evening</v>
      </c>
      <c r="T327" s="3" t="str">
        <f>TEXT(Clean_Data[[#This Row],[OrderDate]],"[$-409]ddd")</f>
        <v>Fri</v>
      </c>
      <c r="U327" s="3">
        <f>WEEKDAY(Clean_Data[[#This Row],[OrderDate]],2)</f>
        <v>5</v>
      </c>
      <c r="V327" s="3">
        <f>INT(Clean_Data[[#This Row],[OrderHour]]/6)+1</f>
        <v>4</v>
      </c>
      <c r="W327" s="3">
        <f>IF(Clean_Data[[#This Row],[Status]]="Delivered",1,0)</f>
        <v>1</v>
      </c>
      <c r="X327" s="3">
        <f>IF(Clean_Data[[#This Row],[Status]]="Delivered",IF(Clean_Data[[#This Row],[DeliveryMinutes]]&lt;=Dashboard!$X$5,1,0),0)</f>
        <v>1</v>
      </c>
      <c r="Y3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7" s="3">
        <f>IF(AND(Clean_Data[[#This Row],[Include]]=1,Clean_Data[[#This Row],[DeliveredFlag]]=1),1,0)</f>
        <v>1</v>
      </c>
      <c r="AA327" s="1">
        <f>IF(COUNTIF($D$2:D327,D327)=1,ROW()-1,ROWS(Clean_Data[OrderID])+1)</f>
        <v>326</v>
      </c>
      <c r="AB327" s="1">
        <f>IF(COUNTIF($F$2:F327,F327)=1,ROW()-1,ROWS(Clean_Data[OrderID])+1)</f>
        <v>901</v>
      </c>
      <c r="AC327" s="1">
        <f>IF(COUNTIF($G$2:G327,G327)=1,ROW()-1,ROWS(Clean_Data[OrderID])+1)</f>
        <v>901</v>
      </c>
      <c r="AD327" s="1">
        <f>IF(COUNTIF($H$2:H327,H327)=1,ROW()-1,ROWS(Clean_Data[OrderID])+1)</f>
        <v>901</v>
      </c>
      <c r="AE327" s="1">
        <f>IF(COUNTIF($V$2:V327,V327)=1,V327,ROWS(Clean_Data[OrderID])+1)</f>
        <v>901</v>
      </c>
      <c r="AF327" s="1">
        <f>IF(COUNTIF($U$2:U327,U327)=1,U327,ROWS(Clean_Data[OrderID])+1)</f>
        <v>901</v>
      </c>
      <c r="AG327" s="1">
        <f>IF(COUNTIF($E$2:E327,E327)=1,ROW()-1,ROWS(Clean_Data[OrderID])+1)</f>
        <v>901</v>
      </c>
    </row>
    <row r="328" spans="1:33" ht="20" customHeight="1">
      <c r="A328" s="3" t="s">
        <v>653</v>
      </c>
      <c r="B328" s="2">
        <v>46276</v>
      </c>
      <c r="C328" s="3">
        <v>8</v>
      </c>
      <c r="D328" s="3" t="s">
        <v>303</v>
      </c>
      <c r="E328" s="3" t="s">
        <v>91</v>
      </c>
      <c r="F328" s="3" t="s">
        <v>109</v>
      </c>
      <c r="G328" s="3" t="s">
        <v>99</v>
      </c>
      <c r="H328" s="3" t="s">
        <v>104</v>
      </c>
      <c r="I328" s="3">
        <v>1</v>
      </c>
      <c r="J328" s="11">
        <v>240</v>
      </c>
      <c r="K328" s="4">
        <v>0</v>
      </c>
      <c r="L328" s="3" t="s">
        <v>95</v>
      </c>
      <c r="M328" s="3">
        <v>20</v>
      </c>
      <c r="N328" s="3">
        <v>14</v>
      </c>
      <c r="O328" s="3">
        <v>4</v>
      </c>
      <c r="P328" s="11">
        <f>Clean_Data[[#This Row],[Quantity]]*Clean_Data[[#This Row],[UnitPrice]]</f>
        <v>240</v>
      </c>
      <c r="Q328" s="11">
        <f>ROUND(Clean_Data[[#This Row],[GrossSales]]*Clean_Data[[#This Row],[DiscountPct]],2)</f>
        <v>0</v>
      </c>
      <c r="R328" s="11">
        <f>IF(Clean_Data[[#This Row],[Status]]="Delivered",ROUND(Clean_Data[[#This Row],[GrossSales]]-Clean_Data[[#This Row],[DiscountAmount]],2),0)</f>
        <v>240</v>
      </c>
      <c r="S328" s="3" t="str">
        <f>IF(Clean_Data[[#This Row],[OrderHour]]&lt;6,"Night",IF(Clean_Data[[#This Row],[OrderHour]]&lt;12,"Morning",IF(Clean_Data[[#This Row],[OrderHour]]&lt;18,"Afternoon","Evening")))</f>
        <v>Morning</v>
      </c>
      <c r="T328" s="3" t="str">
        <f>TEXT(Clean_Data[[#This Row],[OrderDate]],"[$-409]ddd")</f>
        <v>Fri</v>
      </c>
      <c r="U328" s="3">
        <f>WEEKDAY(Clean_Data[[#This Row],[OrderDate]],2)</f>
        <v>5</v>
      </c>
      <c r="V328" s="3">
        <f>INT(Clean_Data[[#This Row],[OrderHour]]/6)+1</f>
        <v>2</v>
      </c>
      <c r="W328" s="3">
        <f>IF(Clean_Data[[#This Row],[Status]]="Delivered",1,0)</f>
        <v>1</v>
      </c>
      <c r="X328" s="3">
        <f>IF(Clean_Data[[#This Row],[Status]]="Delivered",IF(Clean_Data[[#This Row],[DeliveryMinutes]]&lt;=Dashboard!$X$5,1,0),0)</f>
        <v>1</v>
      </c>
      <c r="Y3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8" s="3">
        <f>IF(AND(Clean_Data[[#This Row],[Include]]=1,Clean_Data[[#This Row],[DeliveredFlag]]=1),1,0)</f>
        <v>1</v>
      </c>
      <c r="AA328" s="1">
        <f>IF(COUNTIF($D$2:D328,D328)=1,ROW()-1,ROWS(Clean_Data[OrderID])+1)</f>
        <v>901</v>
      </c>
      <c r="AB328" s="1">
        <f>IF(COUNTIF($F$2:F328,F328)=1,ROW()-1,ROWS(Clean_Data[OrderID])+1)</f>
        <v>901</v>
      </c>
      <c r="AC328" s="1">
        <f>IF(COUNTIF($G$2:G328,G328)=1,ROW()-1,ROWS(Clean_Data[OrderID])+1)</f>
        <v>901</v>
      </c>
      <c r="AD328" s="1">
        <f>IF(COUNTIF($H$2:H328,H328)=1,ROW()-1,ROWS(Clean_Data[OrderID])+1)</f>
        <v>901</v>
      </c>
      <c r="AE328" s="1">
        <f>IF(COUNTIF($V$2:V328,V328)=1,V328,ROWS(Clean_Data[OrderID])+1)</f>
        <v>901</v>
      </c>
      <c r="AF328" s="1">
        <f>IF(COUNTIF($U$2:U328,U328)=1,U328,ROWS(Clean_Data[OrderID])+1)</f>
        <v>901</v>
      </c>
      <c r="AG328" s="1">
        <f>IF(COUNTIF($E$2:E328,E328)=1,ROW()-1,ROWS(Clean_Data[OrderID])+1)</f>
        <v>901</v>
      </c>
    </row>
    <row r="329" spans="1:33" ht="20" customHeight="1">
      <c r="A329" s="3" t="s">
        <v>654</v>
      </c>
      <c r="B329" s="2">
        <v>46276</v>
      </c>
      <c r="C329" s="3">
        <v>22</v>
      </c>
      <c r="D329" s="3" t="s">
        <v>226</v>
      </c>
      <c r="E329" s="3" t="s">
        <v>91</v>
      </c>
      <c r="F329" s="3" t="s">
        <v>92</v>
      </c>
      <c r="G329" s="3" t="s">
        <v>174</v>
      </c>
      <c r="H329" s="3" t="s">
        <v>274</v>
      </c>
      <c r="I329" s="3">
        <v>6</v>
      </c>
      <c r="J329" s="11">
        <v>90</v>
      </c>
      <c r="K329" s="4">
        <v>0.15</v>
      </c>
      <c r="L329" s="3" t="s">
        <v>95</v>
      </c>
      <c r="M329" s="3">
        <v>16</v>
      </c>
      <c r="N329" s="3">
        <v>9</v>
      </c>
      <c r="O329" s="3">
        <v>3</v>
      </c>
      <c r="P329" s="11">
        <f>Clean_Data[[#This Row],[Quantity]]*Clean_Data[[#This Row],[UnitPrice]]</f>
        <v>540</v>
      </c>
      <c r="Q329" s="11">
        <f>ROUND(Clean_Data[[#This Row],[GrossSales]]*Clean_Data[[#This Row],[DiscountPct]],2)</f>
        <v>81</v>
      </c>
      <c r="R329" s="11">
        <f>IF(Clean_Data[[#This Row],[Status]]="Delivered",ROUND(Clean_Data[[#This Row],[GrossSales]]-Clean_Data[[#This Row],[DiscountAmount]],2),0)</f>
        <v>459</v>
      </c>
      <c r="S329" s="3" t="str">
        <f>IF(Clean_Data[[#This Row],[OrderHour]]&lt;6,"Night",IF(Clean_Data[[#This Row],[OrderHour]]&lt;12,"Morning",IF(Clean_Data[[#This Row],[OrderHour]]&lt;18,"Afternoon","Evening")))</f>
        <v>Evening</v>
      </c>
      <c r="T329" s="3" t="str">
        <f>TEXT(Clean_Data[[#This Row],[OrderDate]],"[$-409]ddd")</f>
        <v>Fri</v>
      </c>
      <c r="U329" s="3">
        <f>WEEKDAY(Clean_Data[[#This Row],[OrderDate]],2)</f>
        <v>5</v>
      </c>
      <c r="V329" s="3">
        <f>INT(Clean_Data[[#This Row],[OrderHour]]/6)+1</f>
        <v>4</v>
      </c>
      <c r="W329" s="3">
        <f>IF(Clean_Data[[#This Row],[Status]]="Delivered",1,0)</f>
        <v>1</v>
      </c>
      <c r="X329" s="3">
        <f>IF(Clean_Data[[#This Row],[Status]]="Delivered",IF(Clean_Data[[#This Row],[DeliveryMinutes]]&lt;=Dashboard!$X$5,1,0),0)</f>
        <v>1</v>
      </c>
      <c r="Y3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29" s="3">
        <f>IF(AND(Clean_Data[[#This Row],[Include]]=1,Clean_Data[[#This Row],[DeliveredFlag]]=1),1,0)</f>
        <v>1</v>
      </c>
      <c r="AA329" s="1">
        <f>IF(COUNTIF($D$2:D329,D329)=1,ROW()-1,ROWS(Clean_Data[OrderID])+1)</f>
        <v>901</v>
      </c>
      <c r="AB329" s="1">
        <f>IF(COUNTIF($F$2:F329,F329)=1,ROW()-1,ROWS(Clean_Data[OrderID])+1)</f>
        <v>901</v>
      </c>
      <c r="AC329" s="1">
        <f>IF(COUNTIF($G$2:G329,G329)=1,ROW()-1,ROWS(Clean_Data[OrderID])+1)</f>
        <v>901</v>
      </c>
      <c r="AD329" s="1">
        <f>IF(COUNTIF($H$2:H329,H329)=1,ROW()-1,ROWS(Clean_Data[OrderID])+1)</f>
        <v>901</v>
      </c>
      <c r="AE329" s="1">
        <f>IF(COUNTIF($V$2:V329,V329)=1,V329,ROWS(Clean_Data[OrderID])+1)</f>
        <v>901</v>
      </c>
      <c r="AF329" s="1">
        <f>IF(COUNTIF($U$2:U329,U329)=1,U329,ROWS(Clean_Data[OrderID])+1)</f>
        <v>901</v>
      </c>
      <c r="AG329" s="1">
        <f>IF(COUNTIF($E$2:E329,E329)=1,ROW()-1,ROWS(Clean_Data[OrderID])+1)</f>
        <v>901</v>
      </c>
    </row>
    <row r="330" spans="1:33" ht="20" customHeight="1">
      <c r="A330" s="3" t="s">
        <v>655</v>
      </c>
      <c r="B330" s="2">
        <v>46276</v>
      </c>
      <c r="C330" s="3">
        <v>23</v>
      </c>
      <c r="D330" s="3" t="s">
        <v>269</v>
      </c>
      <c r="E330" s="3" t="s">
        <v>117</v>
      </c>
      <c r="F330" s="3" t="s">
        <v>92</v>
      </c>
      <c r="G330" s="3" t="s">
        <v>99</v>
      </c>
      <c r="H330" s="3" t="s">
        <v>130</v>
      </c>
      <c r="I330" s="3">
        <v>1</v>
      </c>
      <c r="J330" s="11">
        <v>85</v>
      </c>
      <c r="K330" s="4">
        <v>0.1</v>
      </c>
      <c r="L330" s="3" t="s">
        <v>95</v>
      </c>
      <c r="M330" s="3">
        <v>18</v>
      </c>
      <c r="N330" s="3">
        <v>11</v>
      </c>
      <c r="O330" s="3">
        <v>4</v>
      </c>
      <c r="P330" s="11">
        <f>Clean_Data[[#This Row],[Quantity]]*Clean_Data[[#This Row],[UnitPrice]]</f>
        <v>85</v>
      </c>
      <c r="Q330" s="11">
        <f>ROUND(Clean_Data[[#This Row],[GrossSales]]*Clean_Data[[#This Row],[DiscountPct]],2)</f>
        <v>8.5</v>
      </c>
      <c r="R330" s="11">
        <f>IF(Clean_Data[[#This Row],[Status]]="Delivered",ROUND(Clean_Data[[#This Row],[GrossSales]]-Clean_Data[[#This Row],[DiscountAmount]],2),0)</f>
        <v>76.5</v>
      </c>
      <c r="S330" s="3" t="str">
        <f>IF(Clean_Data[[#This Row],[OrderHour]]&lt;6,"Night",IF(Clean_Data[[#This Row],[OrderHour]]&lt;12,"Morning",IF(Clean_Data[[#This Row],[OrderHour]]&lt;18,"Afternoon","Evening")))</f>
        <v>Evening</v>
      </c>
      <c r="T330" s="3" t="str">
        <f>TEXT(Clean_Data[[#This Row],[OrderDate]],"[$-409]ddd")</f>
        <v>Fri</v>
      </c>
      <c r="U330" s="3">
        <f>WEEKDAY(Clean_Data[[#This Row],[OrderDate]],2)</f>
        <v>5</v>
      </c>
      <c r="V330" s="3">
        <f>INT(Clean_Data[[#This Row],[OrderHour]]/6)+1</f>
        <v>4</v>
      </c>
      <c r="W330" s="3">
        <f>IF(Clean_Data[[#This Row],[Status]]="Delivered",1,0)</f>
        <v>1</v>
      </c>
      <c r="X330" s="3">
        <f>IF(Clean_Data[[#This Row],[Status]]="Delivered",IF(Clean_Data[[#This Row],[DeliveryMinutes]]&lt;=Dashboard!$X$5,1,0),0)</f>
        <v>1</v>
      </c>
      <c r="Y3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0" s="3">
        <f>IF(AND(Clean_Data[[#This Row],[Include]]=1,Clean_Data[[#This Row],[DeliveredFlag]]=1),1,0)</f>
        <v>1</v>
      </c>
      <c r="AA330" s="1">
        <f>IF(COUNTIF($D$2:D330,D330)=1,ROW()-1,ROWS(Clean_Data[OrderID])+1)</f>
        <v>901</v>
      </c>
      <c r="AB330" s="1">
        <f>IF(COUNTIF($F$2:F330,F330)=1,ROW()-1,ROWS(Clean_Data[OrderID])+1)</f>
        <v>901</v>
      </c>
      <c r="AC330" s="1">
        <f>IF(COUNTIF($G$2:G330,G330)=1,ROW()-1,ROWS(Clean_Data[OrderID])+1)</f>
        <v>901</v>
      </c>
      <c r="AD330" s="1">
        <f>IF(COUNTIF($H$2:H330,H330)=1,ROW()-1,ROWS(Clean_Data[OrderID])+1)</f>
        <v>901</v>
      </c>
      <c r="AE330" s="1">
        <f>IF(COUNTIF($V$2:V330,V330)=1,V330,ROWS(Clean_Data[OrderID])+1)</f>
        <v>901</v>
      </c>
      <c r="AF330" s="1">
        <f>IF(COUNTIF($U$2:U330,U330)=1,U330,ROWS(Clean_Data[OrderID])+1)</f>
        <v>901</v>
      </c>
      <c r="AG330" s="1">
        <f>IF(COUNTIF($E$2:E330,E330)=1,ROW()-1,ROWS(Clean_Data[OrderID])+1)</f>
        <v>901</v>
      </c>
    </row>
    <row r="331" spans="1:33" ht="20" customHeight="1">
      <c r="A331" s="3" t="s">
        <v>656</v>
      </c>
      <c r="B331" s="2">
        <v>46276</v>
      </c>
      <c r="C331" s="3">
        <v>9</v>
      </c>
      <c r="D331" s="3" t="s">
        <v>262</v>
      </c>
      <c r="E331" s="3" t="s">
        <v>117</v>
      </c>
      <c r="F331" s="3" t="s">
        <v>109</v>
      </c>
      <c r="G331" s="3" t="s">
        <v>93</v>
      </c>
      <c r="H331" s="3" t="s">
        <v>118</v>
      </c>
      <c r="I331" s="3">
        <v>4</v>
      </c>
      <c r="J331" s="11">
        <v>45</v>
      </c>
      <c r="K331" s="4">
        <v>0.1</v>
      </c>
      <c r="L331" s="3" t="s">
        <v>95</v>
      </c>
      <c r="M331" s="3">
        <v>13</v>
      </c>
      <c r="N331" s="3">
        <v>13</v>
      </c>
      <c r="O331" s="3">
        <v>5</v>
      </c>
      <c r="P331" s="11">
        <f>Clean_Data[[#This Row],[Quantity]]*Clean_Data[[#This Row],[UnitPrice]]</f>
        <v>180</v>
      </c>
      <c r="Q331" s="11">
        <f>ROUND(Clean_Data[[#This Row],[GrossSales]]*Clean_Data[[#This Row],[DiscountPct]],2)</f>
        <v>18</v>
      </c>
      <c r="R331" s="11">
        <f>IF(Clean_Data[[#This Row],[Status]]="Delivered",ROUND(Clean_Data[[#This Row],[GrossSales]]-Clean_Data[[#This Row],[DiscountAmount]],2),0)</f>
        <v>162</v>
      </c>
      <c r="S331" s="3" t="str">
        <f>IF(Clean_Data[[#This Row],[OrderHour]]&lt;6,"Night",IF(Clean_Data[[#This Row],[OrderHour]]&lt;12,"Morning",IF(Clean_Data[[#This Row],[OrderHour]]&lt;18,"Afternoon","Evening")))</f>
        <v>Morning</v>
      </c>
      <c r="T331" s="3" t="str">
        <f>TEXT(Clean_Data[[#This Row],[OrderDate]],"[$-409]ddd")</f>
        <v>Fri</v>
      </c>
      <c r="U331" s="3">
        <f>WEEKDAY(Clean_Data[[#This Row],[OrderDate]],2)</f>
        <v>5</v>
      </c>
      <c r="V331" s="3">
        <f>INT(Clean_Data[[#This Row],[OrderHour]]/6)+1</f>
        <v>2</v>
      </c>
      <c r="W331" s="3">
        <f>IF(Clean_Data[[#This Row],[Status]]="Delivered",1,0)</f>
        <v>1</v>
      </c>
      <c r="X331" s="3">
        <f>IF(Clean_Data[[#This Row],[Status]]="Delivered",IF(Clean_Data[[#This Row],[DeliveryMinutes]]&lt;=Dashboard!$X$5,1,0),0)</f>
        <v>1</v>
      </c>
      <c r="Y3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1" s="3">
        <f>IF(AND(Clean_Data[[#This Row],[Include]]=1,Clean_Data[[#This Row],[DeliveredFlag]]=1),1,0)</f>
        <v>1</v>
      </c>
      <c r="AA331" s="1">
        <f>IF(COUNTIF($D$2:D331,D331)=1,ROW()-1,ROWS(Clean_Data[OrderID])+1)</f>
        <v>901</v>
      </c>
      <c r="AB331" s="1">
        <f>IF(COUNTIF($F$2:F331,F331)=1,ROW()-1,ROWS(Clean_Data[OrderID])+1)</f>
        <v>901</v>
      </c>
      <c r="AC331" s="1">
        <f>IF(COUNTIF($G$2:G331,G331)=1,ROW()-1,ROWS(Clean_Data[OrderID])+1)</f>
        <v>901</v>
      </c>
      <c r="AD331" s="1">
        <f>IF(COUNTIF($H$2:H331,H331)=1,ROW()-1,ROWS(Clean_Data[OrderID])+1)</f>
        <v>901</v>
      </c>
      <c r="AE331" s="1">
        <f>IF(COUNTIF($V$2:V331,V331)=1,V331,ROWS(Clean_Data[OrderID])+1)</f>
        <v>901</v>
      </c>
      <c r="AF331" s="1">
        <f>IF(COUNTIF($U$2:U331,U331)=1,U331,ROWS(Clean_Data[OrderID])+1)</f>
        <v>901</v>
      </c>
      <c r="AG331" s="1">
        <f>IF(COUNTIF($E$2:E331,E331)=1,ROW()-1,ROWS(Clean_Data[OrderID])+1)</f>
        <v>901</v>
      </c>
    </row>
    <row r="332" spans="1:33" ht="20" customHeight="1">
      <c r="A332" s="3" t="s">
        <v>657</v>
      </c>
      <c r="B332" s="2">
        <v>46277</v>
      </c>
      <c r="C332" s="3">
        <v>13</v>
      </c>
      <c r="D332" s="3" t="s">
        <v>305</v>
      </c>
      <c r="E332" s="3" t="s">
        <v>91</v>
      </c>
      <c r="F332" s="3" t="s">
        <v>139</v>
      </c>
      <c r="G332" s="3" t="s">
        <v>93</v>
      </c>
      <c r="H332" s="3" t="s">
        <v>146</v>
      </c>
      <c r="I332" s="3">
        <v>4</v>
      </c>
      <c r="J332" s="11">
        <v>110</v>
      </c>
      <c r="K332" s="4">
        <v>0.15</v>
      </c>
      <c r="L332" s="3" t="s">
        <v>101</v>
      </c>
      <c r="M332" s="3"/>
      <c r="N332" s="3"/>
      <c r="O332" s="3"/>
      <c r="P332" s="11">
        <f>Clean_Data[[#This Row],[Quantity]]*Clean_Data[[#This Row],[UnitPrice]]</f>
        <v>440</v>
      </c>
      <c r="Q332" s="11">
        <f>ROUND(Clean_Data[[#This Row],[GrossSales]]*Clean_Data[[#This Row],[DiscountPct]],2)</f>
        <v>66</v>
      </c>
      <c r="R332" s="11">
        <f>IF(Clean_Data[[#This Row],[Status]]="Delivered",ROUND(Clean_Data[[#This Row],[GrossSales]]-Clean_Data[[#This Row],[DiscountAmount]],2),0)</f>
        <v>0</v>
      </c>
      <c r="S332" s="3" t="str">
        <f>IF(Clean_Data[[#This Row],[OrderHour]]&lt;6,"Night",IF(Clean_Data[[#This Row],[OrderHour]]&lt;12,"Morning",IF(Clean_Data[[#This Row],[OrderHour]]&lt;18,"Afternoon","Evening")))</f>
        <v>Afternoon</v>
      </c>
      <c r="T332" s="3" t="str">
        <f>TEXT(Clean_Data[[#This Row],[OrderDate]],"[$-409]ddd")</f>
        <v>Sat</v>
      </c>
      <c r="U332" s="3">
        <f>WEEKDAY(Clean_Data[[#This Row],[OrderDate]],2)</f>
        <v>6</v>
      </c>
      <c r="V332" s="3">
        <f>INT(Clean_Data[[#This Row],[OrderHour]]/6)+1</f>
        <v>3</v>
      </c>
      <c r="W332" s="3">
        <f>IF(Clean_Data[[#This Row],[Status]]="Delivered",1,0)</f>
        <v>0</v>
      </c>
      <c r="X332" s="3">
        <f>IF(Clean_Data[[#This Row],[Status]]="Delivered",IF(Clean_Data[[#This Row],[DeliveryMinutes]]&lt;=Dashboard!$X$5,1,0),0)</f>
        <v>0</v>
      </c>
      <c r="Y3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2" s="3">
        <f>IF(AND(Clean_Data[[#This Row],[Include]]=1,Clean_Data[[#This Row],[DeliveredFlag]]=1),1,0)</f>
        <v>0</v>
      </c>
      <c r="AA332" s="1">
        <f>IF(COUNTIF($D$2:D332,D332)=1,ROW()-1,ROWS(Clean_Data[OrderID])+1)</f>
        <v>901</v>
      </c>
      <c r="AB332" s="1">
        <f>IF(COUNTIF($F$2:F332,F332)=1,ROW()-1,ROWS(Clean_Data[OrderID])+1)</f>
        <v>901</v>
      </c>
      <c r="AC332" s="1">
        <f>IF(COUNTIF($G$2:G332,G332)=1,ROW()-1,ROWS(Clean_Data[OrderID])+1)</f>
        <v>901</v>
      </c>
      <c r="AD332" s="1">
        <f>IF(COUNTIF($H$2:H332,H332)=1,ROW()-1,ROWS(Clean_Data[OrderID])+1)</f>
        <v>901</v>
      </c>
      <c r="AE332" s="1">
        <f>IF(COUNTIF($V$2:V332,V332)=1,V332,ROWS(Clean_Data[OrderID])+1)</f>
        <v>901</v>
      </c>
      <c r="AF332" s="1">
        <f>IF(COUNTIF($U$2:U332,U332)=1,U332,ROWS(Clean_Data[OrderID])+1)</f>
        <v>901</v>
      </c>
      <c r="AG332" s="1">
        <f>IF(COUNTIF($E$2:E332,E332)=1,ROW()-1,ROWS(Clean_Data[OrderID])+1)</f>
        <v>901</v>
      </c>
    </row>
    <row r="333" spans="1:33" ht="20" customHeight="1">
      <c r="A333" s="3" t="s">
        <v>658</v>
      </c>
      <c r="B333" s="2">
        <v>46277</v>
      </c>
      <c r="C333" s="3">
        <v>6</v>
      </c>
      <c r="D333" s="3" t="s">
        <v>487</v>
      </c>
      <c r="E333" s="3" t="s">
        <v>91</v>
      </c>
      <c r="F333" s="3" t="s">
        <v>139</v>
      </c>
      <c r="G333" s="3" t="s">
        <v>174</v>
      </c>
      <c r="H333" s="3" t="s">
        <v>184</v>
      </c>
      <c r="I333" s="3">
        <v>2</v>
      </c>
      <c r="J333" s="11">
        <v>62</v>
      </c>
      <c r="K333" s="4">
        <v>0</v>
      </c>
      <c r="L333" s="3" t="s">
        <v>95</v>
      </c>
      <c r="M333" s="3">
        <v>19</v>
      </c>
      <c r="N333" s="3">
        <v>5</v>
      </c>
      <c r="O333" s="3">
        <v>4</v>
      </c>
      <c r="P333" s="11">
        <f>Clean_Data[[#This Row],[Quantity]]*Clean_Data[[#This Row],[UnitPrice]]</f>
        <v>124</v>
      </c>
      <c r="Q333" s="11">
        <f>ROUND(Clean_Data[[#This Row],[GrossSales]]*Clean_Data[[#This Row],[DiscountPct]],2)</f>
        <v>0</v>
      </c>
      <c r="R333" s="11">
        <f>IF(Clean_Data[[#This Row],[Status]]="Delivered",ROUND(Clean_Data[[#This Row],[GrossSales]]-Clean_Data[[#This Row],[DiscountAmount]],2),0)</f>
        <v>124</v>
      </c>
      <c r="S333" s="3" t="str">
        <f>IF(Clean_Data[[#This Row],[OrderHour]]&lt;6,"Night",IF(Clean_Data[[#This Row],[OrderHour]]&lt;12,"Morning",IF(Clean_Data[[#This Row],[OrderHour]]&lt;18,"Afternoon","Evening")))</f>
        <v>Morning</v>
      </c>
      <c r="T333" s="3" t="str">
        <f>TEXT(Clean_Data[[#This Row],[OrderDate]],"[$-409]ddd")</f>
        <v>Sat</v>
      </c>
      <c r="U333" s="3">
        <f>WEEKDAY(Clean_Data[[#This Row],[OrderDate]],2)</f>
        <v>6</v>
      </c>
      <c r="V333" s="3">
        <f>INT(Clean_Data[[#This Row],[OrderHour]]/6)+1</f>
        <v>2</v>
      </c>
      <c r="W333" s="3">
        <f>IF(Clean_Data[[#This Row],[Status]]="Delivered",1,0)</f>
        <v>1</v>
      </c>
      <c r="X333" s="3">
        <f>IF(Clean_Data[[#This Row],[Status]]="Delivered",IF(Clean_Data[[#This Row],[DeliveryMinutes]]&lt;=Dashboard!$X$5,1,0),0)</f>
        <v>1</v>
      </c>
      <c r="Y3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3" s="3">
        <f>IF(AND(Clean_Data[[#This Row],[Include]]=1,Clean_Data[[#This Row],[DeliveredFlag]]=1),1,0)</f>
        <v>1</v>
      </c>
      <c r="AA333" s="1">
        <f>IF(COUNTIF($D$2:D333,D333)=1,ROW()-1,ROWS(Clean_Data[OrderID])+1)</f>
        <v>901</v>
      </c>
      <c r="AB333" s="1">
        <f>IF(COUNTIF($F$2:F333,F333)=1,ROW()-1,ROWS(Clean_Data[OrderID])+1)</f>
        <v>901</v>
      </c>
      <c r="AC333" s="1">
        <f>IF(COUNTIF($G$2:G333,G333)=1,ROW()-1,ROWS(Clean_Data[OrderID])+1)</f>
        <v>901</v>
      </c>
      <c r="AD333" s="1">
        <f>IF(COUNTIF($H$2:H333,H333)=1,ROW()-1,ROWS(Clean_Data[OrderID])+1)</f>
        <v>901</v>
      </c>
      <c r="AE333" s="1">
        <f>IF(COUNTIF($V$2:V333,V333)=1,V333,ROWS(Clean_Data[OrderID])+1)</f>
        <v>901</v>
      </c>
      <c r="AF333" s="1">
        <f>IF(COUNTIF($U$2:U333,U333)=1,U333,ROWS(Clean_Data[OrderID])+1)</f>
        <v>901</v>
      </c>
      <c r="AG333" s="1">
        <f>IF(COUNTIF($E$2:E333,E333)=1,ROW()-1,ROWS(Clean_Data[OrderID])+1)</f>
        <v>901</v>
      </c>
    </row>
    <row r="334" spans="1:33" ht="20" customHeight="1">
      <c r="A334" s="3" t="s">
        <v>659</v>
      </c>
      <c r="B334" s="2">
        <v>46277</v>
      </c>
      <c r="C334" s="3">
        <v>18</v>
      </c>
      <c r="D334" s="3" t="s">
        <v>372</v>
      </c>
      <c r="E334" s="3" t="s">
        <v>117</v>
      </c>
      <c r="F334" s="3" t="s">
        <v>92</v>
      </c>
      <c r="G334" s="3" t="s">
        <v>135</v>
      </c>
      <c r="H334" s="3" t="s">
        <v>136</v>
      </c>
      <c r="I334" s="3">
        <v>5</v>
      </c>
      <c r="J334" s="11">
        <v>40</v>
      </c>
      <c r="K334" s="4">
        <v>0</v>
      </c>
      <c r="L334" s="3" t="s">
        <v>95</v>
      </c>
      <c r="M334" s="3">
        <v>25</v>
      </c>
      <c r="N334" s="3">
        <v>12</v>
      </c>
      <c r="O334" s="3">
        <v>5</v>
      </c>
      <c r="P334" s="11">
        <f>Clean_Data[[#This Row],[Quantity]]*Clean_Data[[#This Row],[UnitPrice]]</f>
        <v>200</v>
      </c>
      <c r="Q334" s="11">
        <f>ROUND(Clean_Data[[#This Row],[GrossSales]]*Clean_Data[[#This Row],[DiscountPct]],2)</f>
        <v>0</v>
      </c>
      <c r="R334" s="11">
        <f>IF(Clean_Data[[#This Row],[Status]]="Delivered",ROUND(Clean_Data[[#This Row],[GrossSales]]-Clean_Data[[#This Row],[DiscountAmount]],2),0)</f>
        <v>200</v>
      </c>
      <c r="S334" s="3" t="str">
        <f>IF(Clean_Data[[#This Row],[OrderHour]]&lt;6,"Night",IF(Clean_Data[[#This Row],[OrderHour]]&lt;12,"Morning",IF(Clean_Data[[#This Row],[OrderHour]]&lt;18,"Afternoon","Evening")))</f>
        <v>Evening</v>
      </c>
      <c r="T334" s="3" t="str">
        <f>TEXT(Clean_Data[[#This Row],[OrderDate]],"[$-409]ddd")</f>
        <v>Sat</v>
      </c>
      <c r="U334" s="3">
        <f>WEEKDAY(Clean_Data[[#This Row],[OrderDate]],2)</f>
        <v>6</v>
      </c>
      <c r="V334" s="3">
        <f>INT(Clean_Data[[#This Row],[OrderHour]]/6)+1</f>
        <v>4</v>
      </c>
      <c r="W334" s="3">
        <f>IF(Clean_Data[[#This Row],[Status]]="Delivered",1,0)</f>
        <v>1</v>
      </c>
      <c r="X334" s="3">
        <f>IF(Clean_Data[[#This Row],[Status]]="Delivered",IF(Clean_Data[[#This Row],[DeliveryMinutes]]&lt;=Dashboard!$X$5,1,0),0)</f>
        <v>1</v>
      </c>
      <c r="Y3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4" s="3">
        <f>IF(AND(Clean_Data[[#This Row],[Include]]=1,Clean_Data[[#This Row],[DeliveredFlag]]=1),1,0)</f>
        <v>1</v>
      </c>
      <c r="AA334" s="1">
        <f>IF(COUNTIF($D$2:D334,D334)=1,ROW()-1,ROWS(Clean_Data[OrderID])+1)</f>
        <v>901</v>
      </c>
      <c r="AB334" s="1">
        <f>IF(COUNTIF($F$2:F334,F334)=1,ROW()-1,ROWS(Clean_Data[OrderID])+1)</f>
        <v>901</v>
      </c>
      <c r="AC334" s="1">
        <f>IF(COUNTIF($G$2:G334,G334)=1,ROW()-1,ROWS(Clean_Data[OrderID])+1)</f>
        <v>901</v>
      </c>
      <c r="AD334" s="1">
        <f>IF(COUNTIF($H$2:H334,H334)=1,ROW()-1,ROWS(Clean_Data[OrderID])+1)</f>
        <v>901</v>
      </c>
      <c r="AE334" s="1">
        <f>IF(COUNTIF($V$2:V334,V334)=1,V334,ROWS(Clean_Data[OrderID])+1)</f>
        <v>901</v>
      </c>
      <c r="AF334" s="1">
        <f>IF(COUNTIF($U$2:U334,U334)=1,U334,ROWS(Clean_Data[OrderID])+1)</f>
        <v>901</v>
      </c>
      <c r="AG334" s="1">
        <f>IF(COUNTIF($E$2:E334,E334)=1,ROW()-1,ROWS(Clean_Data[OrderID])+1)</f>
        <v>901</v>
      </c>
    </row>
    <row r="335" spans="1:33" ht="20" customHeight="1">
      <c r="A335" s="3" t="s">
        <v>660</v>
      </c>
      <c r="B335" s="2">
        <v>46277</v>
      </c>
      <c r="C335" s="3">
        <v>8</v>
      </c>
      <c r="D335" s="3" t="s">
        <v>157</v>
      </c>
      <c r="E335" s="3" t="s">
        <v>91</v>
      </c>
      <c r="F335" s="3" t="s">
        <v>139</v>
      </c>
      <c r="G335" s="3" t="s">
        <v>93</v>
      </c>
      <c r="H335" s="3" t="s">
        <v>118</v>
      </c>
      <c r="I335" s="3">
        <v>2</v>
      </c>
      <c r="J335" s="11">
        <v>45</v>
      </c>
      <c r="K335" s="4">
        <v>0</v>
      </c>
      <c r="L335" s="3" t="s">
        <v>95</v>
      </c>
      <c r="M335" s="3">
        <v>33</v>
      </c>
      <c r="N335" s="3">
        <v>13</v>
      </c>
      <c r="O335" s="3">
        <v>4</v>
      </c>
      <c r="P335" s="11">
        <f>Clean_Data[[#This Row],[Quantity]]*Clean_Data[[#This Row],[UnitPrice]]</f>
        <v>90</v>
      </c>
      <c r="Q335" s="11">
        <f>ROUND(Clean_Data[[#This Row],[GrossSales]]*Clean_Data[[#This Row],[DiscountPct]],2)</f>
        <v>0</v>
      </c>
      <c r="R335" s="11">
        <f>IF(Clean_Data[[#This Row],[Status]]="Delivered",ROUND(Clean_Data[[#This Row],[GrossSales]]-Clean_Data[[#This Row],[DiscountAmount]],2),0)</f>
        <v>90</v>
      </c>
      <c r="S335" s="3" t="str">
        <f>IF(Clean_Data[[#This Row],[OrderHour]]&lt;6,"Night",IF(Clean_Data[[#This Row],[OrderHour]]&lt;12,"Morning",IF(Clean_Data[[#This Row],[OrderHour]]&lt;18,"Afternoon","Evening")))</f>
        <v>Morning</v>
      </c>
      <c r="T335" s="3" t="str">
        <f>TEXT(Clean_Data[[#This Row],[OrderDate]],"[$-409]ddd")</f>
        <v>Sat</v>
      </c>
      <c r="U335" s="3">
        <f>WEEKDAY(Clean_Data[[#This Row],[OrderDate]],2)</f>
        <v>6</v>
      </c>
      <c r="V335" s="3">
        <f>INT(Clean_Data[[#This Row],[OrderHour]]/6)+1</f>
        <v>2</v>
      </c>
      <c r="W335" s="3">
        <f>IF(Clean_Data[[#This Row],[Status]]="Delivered",1,0)</f>
        <v>1</v>
      </c>
      <c r="X335" s="3">
        <f>IF(Clean_Data[[#This Row],[Status]]="Delivered",IF(Clean_Data[[#This Row],[DeliveryMinutes]]&lt;=Dashboard!$X$5,1,0),0)</f>
        <v>0</v>
      </c>
      <c r="Y3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5" s="3">
        <f>IF(AND(Clean_Data[[#This Row],[Include]]=1,Clean_Data[[#This Row],[DeliveredFlag]]=1),1,0)</f>
        <v>1</v>
      </c>
      <c r="AA335" s="1">
        <f>IF(COUNTIF($D$2:D335,D335)=1,ROW()-1,ROWS(Clean_Data[OrderID])+1)</f>
        <v>901</v>
      </c>
      <c r="AB335" s="1">
        <f>IF(COUNTIF($F$2:F335,F335)=1,ROW()-1,ROWS(Clean_Data[OrderID])+1)</f>
        <v>901</v>
      </c>
      <c r="AC335" s="1">
        <f>IF(COUNTIF($G$2:G335,G335)=1,ROW()-1,ROWS(Clean_Data[OrderID])+1)</f>
        <v>901</v>
      </c>
      <c r="AD335" s="1">
        <f>IF(COUNTIF($H$2:H335,H335)=1,ROW()-1,ROWS(Clean_Data[OrderID])+1)</f>
        <v>901</v>
      </c>
      <c r="AE335" s="1">
        <f>IF(COUNTIF($V$2:V335,V335)=1,V335,ROWS(Clean_Data[OrderID])+1)</f>
        <v>901</v>
      </c>
      <c r="AF335" s="1">
        <f>IF(COUNTIF($U$2:U335,U335)=1,U335,ROWS(Clean_Data[OrderID])+1)</f>
        <v>901</v>
      </c>
      <c r="AG335" s="1">
        <f>IF(COUNTIF($E$2:E335,E335)=1,ROW()-1,ROWS(Clean_Data[OrderID])+1)</f>
        <v>901</v>
      </c>
    </row>
    <row r="336" spans="1:33" ht="20" customHeight="1">
      <c r="A336" s="3" t="s">
        <v>661</v>
      </c>
      <c r="B336" s="2">
        <v>46277</v>
      </c>
      <c r="C336" s="3">
        <v>19</v>
      </c>
      <c r="D336" s="3" t="s">
        <v>452</v>
      </c>
      <c r="E336" s="3" t="s">
        <v>91</v>
      </c>
      <c r="F336" s="3" t="s">
        <v>92</v>
      </c>
      <c r="G336" s="3" t="s">
        <v>174</v>
      </c>
      <c r="H336" s="3" t="s">
        <v>274</v>
      </c>
      <c r="I336" s="3">
        <v>3</v>
      </c>
      <c r="J336" s="11">
        <v>90</v>
      </c>
      <c r="K336" s="4">
        <v>0.1</v>
      </c>
      <c r="L336" s="3" t="s">
        <v>101</v>
      </c>
      <c r="M336" s="3"/>
      <c r="N336" s="3"/>
      <c r="O336" s="3"/>
      <c r="P336" s="11">
        <f>Clean_Data[[#This Row],[Quantity]]*Clean_Data[[#This Row],[UnitPrice]]</f>
        <v>270</v>
      </c>
      <c r="Q336" s="11">
        <f>ROUND(Clean_Data[[#This Row],[GrossSales]]*Clean_Data[[#This Row],[DiscountPct]],2)</f>
        <v>27</v>
      </c>
      <c r="R336" s="11">
        <f>IF(Clean_Data[[#This Row],[Status]]="Delivered",ROUND(Clean_Data[[#This Row],[GrossSales]]-Clean_Data[[#This Row],[DiscountAmount]],2),0)</f>
        <v>0</v>
      </c>
      <c r="S336" s="3" t="str">
        <f>IF(Clean_Data[[#This Row],[OrderHour]]&lt;6,"Night",IF(Clean_Data[[#This Row],[OrderHour]]&lt;12,"Morning",IF(Clean_Data[[#This Row],[OrderHour]]&lt;18,"Afternoon","Evening")))</f>
        <v>Evening</v>
      </c>
      <c r="T336" s="3" t="str">
        <f>TEXT(Clean_Data[[#This Row],[OrderDate]],"[$-409]ddd")</f>
        <v>Sat</v>
      </c>
      <c r="U336" s="3">
        <f>WEEKDAY(Clean_Data[[#This Row],[OrderDate]],2)</f>
        <v>6</v>
      </c>
      <c r="V336" s="3">
        <f>INT(Clean_Data[[#This Row],[OrderHour]]/6)+1</f>
        <v>4</v>
      </c>
      <c r="W336" s="3">
        <f>IF(Clean_Data[[#This Row],[Status]]="Delivered",1,0)</f>
        <v>0</v>
      </c>
      <c r="X336" s="3">
        <f>IF(Clean_Data[[#This Row],[Status]]="Delivered",IF(Clean_Data[[#This Row],[DeliveryMinutes]]&lt;=Dashboard!$X$5,1,0),0)</f>
        <v>0</v>
      </c>
      <c r="Y3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6" s="3">
        <f>IF(AND(Clean_Data[[#This Row],[Include]]=1,Clean_Data[[#This Row],[DeliveredFlag]]=1),1,0)</f>
        <v>0</v>
      </c>
      <c r="AA336" s="1">
        <f>IF(COUNTIF($D$2:D336,D336)=1,ROW()-1,ROWS(Clean_Data[OrderID])+1)</f>
        <v>901</v>
      </c>
      <c r="AB336" s="1">
        <f>IF(COUNTIF($F$2:F336,F336)=1,ROW()-1,ROWS(Clean_Data[OrderID])+1)</f>
        <v>901</v>
      </c>
      <c r="AC336" s="1">
        <f>IF(COUNTIF($G$2:G336,G336)=1,ROW()-1,ROWS(Clean_Data[OrderID])+1)</f>
        <v>901</v>
      </c>
      <c r="AD336" s="1">
        <f>IF(COUNTIF($H$2:H336,H336)=1,ROW()-1,ROWS(Clean_Data[OrderID])+1)</f>
        <v>901</v>
      </c>
      <c r="AE336" s="1">
        <f>IF(COUNTIF($V$2:V336,V336)=1,V336,ROWS(Clean_Data[OrderID])+1)</f>
        <v>901</v>
      </c>
      <c r="AF336" s="1">
        <f>IF(COUNTIF($U$2:U336,U336)=1,U336,ROWS(Clean_Data[OrderID])+1)</f>
        <v>901</v>
      </c>
      <c r="AG336" s="1">
        <f>IF(COUNTIF($E$2:E336,E336)=1,ROW()-1,ROWS(Clean_Data[OrderID])+1)</f>
        <v>901</v>
      </c>
    </row>
    <row r="337" spans="1:33" ht="20" customHeight="1">
      <c r="A337" s="3" t="s">
        <v>662</v>
      </c>
      <c r="B337" s="2">
        <v>46277</v>
      </c>
      <c r="C337" s="3">
        <v>19</v>
      </c>
      <c r="D337" s="3" t="s">
        <v>271</v>
      </c>
      <c r="E337" s="3" t="s">
        <v>91</v>
      </c>
      <c r="F337" s="3" t="s">
        <v>92</v>
      </c>
      <c r="G337" s="3" t="s">
        <v>135</v>
      </c>
      <c r="H337" s="3" t="s">
        <v>217</v>
      </c>
      <c r="I337" s="3">
        <v>2</v>
      </c>
      <c r="J337" s="11">
        <v>65</v>
      </c>
      <c r="K337" s="4">
        <v>0</v>
      </c>
      <c r="L337" s="3" t="s">
        <v>95</v>
      </c>
      <c r="M337" s="3">
        <v>27</v>
      </c>
      <c r="N337" s="3">
        <v>8</v>
      </c>
      <c r="O337" s="3">
        <v>4</v>
      </c>
      <c r="P337" s="11">
        <f>Clean_Data[[#This Row],[Quantity]]*Clean_Data[[#This Row],[UnitPrice]]</f>
        <v>130</v>
      </c>
      <c r="Q337" s="11">
        <f>ROUND(Clean_Data[[#This Row],[GrossSales]]*Clean_Data[[#This Row],[DiscountPct]],2)</f>
        <v>0</v>
      </c>
      <c r="R337" s="11">
        <f>IF(Clean_Data[[#This Row],[Status]]="Delivered",ROUND(Clean_Data[[#This Row],[GrossSales]]-Clean_Data[[#This Row],[DiscountAmount]],2),0)</f>
        <v>130</v>
      </c>
      <c r="S337" s="3" t="str">
        <f>IF(Clean_Data[[#This Row],[OrderHour]]&lt;6,"Night",IF(Clean_Data[[#This Row],[OrderHour]]&lt;12,"Morning",IF(Clean_Data[[#This Row],[OrderHour]]&lt;18,"Afternoon","Evening")))</f>
        <v>Evening</v>
      </c>
      <c r="T337" s="3" t="str">
        <f>TEXT(Clean_Data[[#This Row],[OrderDate]],"[$-409]ddd")</f>
        <v>Sat</v>
      </c>
      <c r="U337" s="3">
        <f>WEEKDAY(Clean_Data[[#This Row],[OrderDate]],2)</f>
        <v>6</v>
      </c>
      <c r="V337" s="3">
        <f>INT(Clean_Data[[#This Row],[OrderHour]]/6)+1</f>
        <v>4</v>
      </c>
      <c r="W337" s="3">
        <f>IF(Clean_Data[[#This Row],[Status]]="Delivered",1,0)</f>
        <v>1</v>
      </c>
      <c r="X337" s="3">
        <f>IF(Clean_Data[[#This Row],[Status]]="Delivered",IF(Clean_Data[[#This Row],[DeliveryMinutes]]&lt;=Dashboard!$X$5,1,0),0)</f>
        <v>1</v>
      </c>
      <c r="Y3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7" s="3">
        <f>IF(AND(Clean_Data[[#This Row],[Include]]=1,Clean_Data[[#This Row],[DeliveredFlag]]=1),1,0)</f>
        <v>1</v>
      </c>
      <c r="AA337" s="1">
        <f>IF(COUNTIF($D$2:D337,D337)=1,ROW()-1,ROWS(Clean_Data[OrderID])+1)</f>
        <v>901</v>
      </c>
      <c r="AB337" s="1">
        <f>IF(COUNTIF($F$2:F337,F337)=1,ROW()-1,ROWS(Clean_Data[OrderID])+1)</f>
        <v>901</v>
      </c>
      <c r="AC337" s="1">
        <f>IF(COUNTIF($G$2:G337,G337)=1,ROW()-1,ROWS(Clean_Data[OrderID])+1)</f>
        <v>901</v>
      </c>
      <c r="AD337" s="1">
        <f>IF(COUNTIF($H$2:H337,H337)=1,ROW()-1,ROWS(Clean_Data[OrderID])+1)</f>
        <v>901</v>
      </c>
      <c r="AE337" s="1">
        <f>IF(COUNTIF($V$2:V337,V337)=1,V337,ROWS(Clean_Data[OrderID])+1)</f>
        <v>901</v>
      </c>
      <c r="AF337" s="1">
        <f>IF(COUNTIF($U$2:U337,U337)=1,U337,ROWS(Clean_Data[OrderID])+1)</f>
        <v>901</v>
      </c>
      <c r="AG337" s="1">
        <f>IF(COUNTIF($E$2:E337,E337)=1,ROW()-1,ROWS(Clean_Data[OrderID])+1)</f>
        <v>901</v>
      </c>
    </row>
    <row r="338" spans="1:33" ht="20" customHeight="1">
      <c r="A338" s="3" t="s">
        <v>663</v>
      </c>
      <c r="B338" s="2">
        <v>46277</v>
      </c>
      <c r="C338" s="3">
        <v>19</v>
      </c>
      <c r="D338" s="3" t="s">
        <v>664</v>
      </c>
      <c r="E338" s="3" t="s">
        <v>91</v>
      </c>
      <c r="F338" s="3" t="s">
        <v>121</v>
      </c>
      <c r="G338" s="3" t="s">
        <v>122</v>
      </c>
      <c r="H338" s="3" t="s">
        <v>153</v>
      </c>
      <c r="I338" s="3">
        <v>3</v>
      </c>
      <c r="J338" s="11">
        <v>130</v>
      </c>
      <c r="K338" s="4">
        <v>0</v>
      </c>
      <c r="L338" s="3" t="s">
        <v>101</v>
      </c>
      <c r="M338" s="3"/>
      <c r="N338" s="3"/>
      <c r="O338" s="3"/>
      <c r="P338" s="11">
        <f>Clean_Data[[#This Row],[Quantity]]*Clean_Data[[#This Row],[UnitPrice]]</f>
        <v>390</v>
      </c>
      <c r="Q338" s="11">
        <f>ROUND(Clean_Data[[#This Row],[GrossSales]]*Clean_Data[[#This Row],[DiscountPct]],2)</f>
        <v>0</v>
      </c>
      <c r="R338" s="11">
        <f>IF(Clean_Data[[#This Row],[Status]]="Delivered",ROUND(Clean_Data[[#This Row],[GrossSales]]-Clean_Data[[#This Row],[DiscountAmount]],2),0)</f>
        <v>0</v>
      </c>
      <c r="S338" s="3" t="str">
        <f>IF(Clean_Data[[#This Row],[OrderHour]]&lt;6,"Night",IF(Clean_Data[[#This Row],[OrderHour]]&lt;12,"Morning",IF(Clean_Data[[#This Row],[OrderHour]]&lt;18,"Afternoon","Evening")))</f>
        <v>Evening</v>
      </c>
      <c r="T338" s="3" t="str">
        <f>TEXT(Clean_Data[[#This Row],[OrderDate]],"[$-409]ddd")</f>
        <v>Sat</v>
      </c>
      <c r="U338" s="3">
        <f>WEEKDAY(Clean_Data[[#This Row],[OrderDate]],2)</f>
        <v>6</v>
      </c>
      <c r="V338" s="3">
        <f>INT(Clean_Data[[#This Row],[OrderHour]]/6)+1</f>
        <v>4</v>
      </c>
      <c r="W338" s="3">
        <f>IF(Clean_Data[[#This Row],[Status]]="Delivered",1,0)</f>
        <v>0</v>
      </c>
      <c r="X338" s="3">
        <f>IF(Clean_Data[[#This Row],[Status]]="Delivered",IF(Clean_Data[[#This Row],[DeliveryMinutes]]&lt;=Dashboard!$X$5,1,0),0)</f>
        <v>0</v>
      </c>
      <c r="Y3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8" s="3">
        <f>IF(AND(Clean_Data[[#This Row],[Include]]=1,Clean_Data[[#This Row],[DeliveredFlag]]=1),1,0)</f>
        <v>0</v>
      </c>
      <c r="AA338" s="1">
        <f>IF(COUNTIF($D$2:D338,D338)=1,ROW()-1,ROWS(Clean_Data[OrderID])+1)</f>
        <v>337</v>
      </c>
      <c r="AB338" s="1">
        <f>IF(COUNTIF($F$2:F338,F338)=1,ROW()-1,ROWS(Clean_Data[OrderID])+1)</f>
        <v>901</v>
      </c>
      <c r="AC338" s="1">
        <f>IF(COUNTIF($G$2:G338,G338)=1,ROW()-1,ROWS(Clean_Data[OrderID])+1)</f>
        <v>901</v>
      </c>
      <c r="AD338" s="1">
        <f>IF(COUNTIF($H$2:H338,H338)=1,ROW()-1,ROWS(Clean_Data[OrderID])+1)</f>
        <v>901</v>
      </c>
      <c r="AE338" s="1">
        <f>IF(COUNTIF($V$2:V338,V338)=1,V338,ROWS(Clean_Data[OrderID])+1)</f>
        <v>901</v>
      </c>
      <c r="AF338" s="1">
        <f>IF(COUNTIF($U$2:U338,U338)=1,U338,ROWS(Clean_Data[OrderID])+1)</f>
        <v>901</v>
      </c>
      <c r="AG338" s="1">
        <f>IF(COUNTIF($E$2:E338,E338)=1,ROW()-1,ROWS(Clean_Data[OrderID])+1)</f>
        <v>901</v>
      </c>
    </row>
    <row r="339" spans="1:33" ht="20" customHeight="1">
      <c r="A339" s="3" t="s">
        <v>665</v>
      </c>
      <c r="B339" s="2">
        <v>46277</v>
      </c>
      <c r="C339" s="3">
        <v>21</v>
      </c>
      <c r="D339" s="3" t="s">
        <v>520</v>
      </c>
      <c r="E339" s="3" t="s">
        <v>91</v>
      </c>
      <c r="F339" s="3" t="s">
        <v>92</v>
      </c>
      <c r="G339" s="3" t="s">
        <v>93</v>
      </c>
      <c r="H339" s="3" t="s">
        <v>146</v>
      </c>
      <c r="I339" s="3">
        <v>5</v>
      </c>
      <c r="J339" s="11">
        <v>110</v>
      </c>
      <c r="K339" s="4">
        <v>0</v>
      </c>
      <c r="L339" s="3" t="s">
        <v>95</v>
      </c>
      <c r="M339" s="3">
        <v>32</v>
      </c>
      <c r="N339" s="3">
        <v>13</v>
      </c>
      <c r="O339" s="3">
        <v>4</v>
      </c>
      <c r="P339" s="11">
        <f>Clean_Data[[#This Row],[Quantity]]*Clean_Data[[#This Row],[UnitPrice]]</f>
        <v>550</v>
      </c>
      <c r="Q339" s="11">
        <f>ROUND(Clean_Data[[#This Row],[GrossSales]]*Clean_Data[[#This Row],[DiscountPct]],2)</f>
        <v>0</v>
      </c>
      <c r="R339" s="11">
        <f>IF(Clean_Data[[#This Row],[Status]]="Delivered",ROUND(Clean_Data[[#This Row],[GrossSales]]-Clean_Data[[#This Row],[DiscountAmount]],2),0)</f>
        <v>550</v>
      </c>
      <c r="S339" s="3" t="str">
        <f>IF(Clean_Data[[#This Row],[OrderHour]]&lt;6,"Night",IF(Clean_Data[[#This Row],[OrderHour]]&lt;12,"Morning",IF(Clean_Data[[#This Row],[OrderHour]]&lt;18,"Afternoon","Evening")))</f>
        <v>Evening</v>
      </c>
      <c r="T339" s="3" t="str">
        <f>TEXT(Clean_Data[[#This Row],[OrderDate]],"[$-409]ddd")</f>
        <v>Sat</v>
      </c>
      <c r="U339" s="3">
        <f>WEEKDAY(Clean_Data[[#This Row],[OrderDate]],2)</f>
        <v>6</v>
      </c>
      <c r="V339" s="3">
        <f>INT(Clean_Data[[#This Row],[OrderHour]]/6)+1</f>
        <v>4</v>
      </c>
      <c r="W339" s="3">
        <f>IF(Clean_Data[[#This Row],[Status]]="Delivered",1,0)</f>
        <v>1</v>
      </c>
      <c r="X339" s="3">
        <f>IF(Clean_Data[[#This Row],[Status]]="Delivered",IF(Clean_Data[[#This Row],[DeliveryMinutes]]&lt;=Dashboard!$X$5,1,0),0)</f>
        <v>0</v>
      </c>
      <c r="Y3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39" s="3">
        <f>IF(AND(Clean_Data[[#This Row],[Include]]=1,Clean_Data[[#This Row],[DeliveredFlag]]=1),1,0)</f>
        <v>1</v>
      </c>
      <c r="AA339" s="1">
        <f>IF(COUNTIF($D$2:D339,D339)=1,ROW()-1,ROWS(Clean_Data[OrderID])+1)</f>
        <v>901</v>
      </c>
      <c r="AB339" s="1">
        <f>IF(COUNTIF($F$2:F339,F339)=1,ROW()-1,ROWS(Clean_Data[OrderID])+1)</f>
        <v>901</v>
      </c>
      <c r="AC339" s="1">
        <f>IF(COUNTIF($G$2:G339,G339)=1,ROW()-1,ROWS(Clean_Data[OrderID])+1)</f>
        <v>901</v>
      </c>
      <c r="AD339" s="1">
        <f>IF(COUNTIF($H$2:H339,H339)=1,ROW()-1,ROWS(Clean_Data[OrderID])+1)</f>
        <v>901</v>
      </c>
      <c r="AE339" s="1">
        <f>IF(COUNTIF($V$2:V339,V339)=1,V339,ROWS(Clean_Data[OrderID])+1)</f>
        <v>901</v>
      </c>
      <c r="AF339" s="1">
        <f>IF(COUNTIF($U$2:U339,U339)=1,U339,ROWS(Clean_Data[OrderID])+1)</f>
        <v>901</v>
      </c>
      <c r="AG339" s="1">
        <f>IF(COUNTIF($E$2:E339,E339)=1,ROW()-1,ROWS(Clean_Data[OrderID])+1)</f>
        <v>901</v>
      </c>
    </row>
    <row r="340" spans="1:33" ht="20" customHeight="1">
      <c r="A340" s="3" t="s">
        <v>666</v>
      </c>
      <c r="B340" s="2">
        <v>46277</v>
      </c>
      <c r="C340" s="3">
        <v>7</v>
      </c>
      <c r="D340" s="3" t="s">
        <v>667</v>
      </c>
      <c r="E340" s="3" t="s">
        <v>117</v>
      </c>
      <c r="F340" s="3" t="s">
        <v>139</v>
      </c>
      <c r="G340" s="3" t="s">
        <v>135</v>
      </c>
      <c r="H340" s="3" t="s">
        <v>162</v>
      </c>
      <c r="I340" s="3">
        <v>3</v>
      </c>
      <c r="J340" s="11">
        <v>180</v>
      </c>
      <c r="K340" s="4">
        <v>0</v>
      </c>
      <c r="L340" s="3" t="s">
        <v>95</v>
      </c>
      <c r="M340" s="3">
        <v>16</v>
      </c>
      <c r="N340" s="3">
        <v>5</v>
      </c>
      <c r="O340" s="3">
        <v>5</v>
      </c>
      <c r="P340" s="11">
        <f>Clean_Data[[#This Row],[Quantity]]*Clean_Data[[#This Row],[UnitPrice]]</f>
        <v>540</v>
      </c>
      <c r="Q340" s="11">
        <f>ROUND(Clean_Data[[#This Row],[GrossSales]]*Clean_Data[[#This Row],[DiscountPct]],2)</f>
        <v>0</v>
      </c>
      <c r="R340" s="11">
        <f>IF(Clean_Data[[#This Row],[Status]]="Delivered",ROUND(Clean_Data[[#This Row],[GrossSales]]-Clean_Data[[#This Row],[DiscountAmount]],2),0)</f>
        <v>540</v>
      </c>
      <c r="S340" s="3" t="str">
        <f>IF(Clean_Data[[#This Row],[OrderHour]]&lt;6,"Night",IF(Clean_Data[[#This Row],[OrderHour]]&lt;12,"Morning",IF(Clean_Data[[#This Row],[OrderHour]]&lt;18,"Afternoon","Evening")))</f>
        <v>Morning</v>
      </c>
      <c r="T340" s="3" t="str">
        <f>TEXT(Clean_Data[[#This Row],[OrderDate]],"[$-409]ddd")</f>
        <v>Sat</v>
      </c>
      <c r="U340" s="3">
        <f>WEEKDAY(Clean_Data[[#This Row],[OrderDate]],2)</f>
        <v>6</v>
      </c>
      <c r="V340" s="3">
        <f>INT(Clean_Data[[#This Row],[OrderHour]]/6)+1</f>
        <v>2</v>
      </c>
      <c r="W340" s="3">
        <f>IF(Clean_Data[[#This Row],[Status]]="Delivered",1,0)</f>
        <v>1</v>
      </c>
      <c r="X340" s="3">
        <f>IF(Clean_Data[[#This Row],[Status]]="Delivered",IF(Clean_Data[[#This Row],[DeliveryMinutes]]&lt;=Dashboard!$X$5,1,0),0)</f>
        <v>1</v>
      </c>
      <c r="Y3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0" s="3">
        <f>IF(AND(Clean_Data[[#This Row],[Include]]=1,Clean_Data[[#This Row],[DeliveredFlag]]=1),1,0)</f>
        <v>1</v>
      </c>
      <c r="AA340" s="1">
        <f>IF(COUNTIF($D$2:D340,D340)=1,ROW()-1,ROWS(Clean_Data[OrderID])+1)</f>
        <v>339</v>
      </c>
      <c r="AB340" s="1">
        <f>IF(COUNTIF($F$2:F340,F340)=1,ROW()-1,ROWS(Clean_Data[OrderID])+1)</f>
        <v>901</v>
      </c>
      <c r="AC340" s="1">
        <f>IF(COUNTIF($G$2:G340,G340)=1,ROW()-1,ROWS(Clean_Data[OrderID])+1)</f>
        <v>901</v>
      </c>
      <c r="AD340" s="1">
        <f>IF(COUNTIF($H$2:H340,H340)=1,ROW()-1,ROWS(Clean_Data[OrderID])+1)</f>
        <v>901</v>
      </c>
      <c r="AE340" s="1">
        <f>IF(COUNTIF($V$2:V340,V340)=1,V340,ROWS(Clean_Data[OrderID])+1)</f>
        <v>901</v>
      </c>
      <c r="AF340" s="1">
        <f>IF(COUNTIF($U$2:U340,U340)=1,U340,ROWS(Clean_Data[OrderID])+1)</f>
        <v>901</v>
      </c>
      <c r="AG340" s="1">
        <f>IF(COUNTIF($E$2:E340,E340)=1,ROW()-1,ROWS(Clean_Data[OrderID])+1)</f>
        <v>901</v>
      </c>
    </row>
    <row r="341" spans="1:33" ht="20" customHeight="1">
      <c r="A341" s="3" t="s">
        <v>668</v>
      </c>
      <c r="B341" s="2">
        <v>46277</v>
      </c>
      <c r="C341" s="3">
        <v>22</v>
      </c>
      <c r="D341" s="3" t="s">
        <v>626</v>
      </c>
      <c r="E341" s="3" t="s">
        <v>91</v>
      </c>
      <c r="F341" s="3" t="s">
        <v>109</v>
      </c>
      <c r="G341" s="3" t="s">
        <v>135</v>
      </c>
      <c r="H341" s="3" t="s">
        <v>217</v>
      </c>
      <c r="I341" s="3">
        <v>2</v>
      </c>
      <c r="J341" s="11">
        <v>65</v>
      </c>
      <c r="K341" s="4">
        <v>0.05</v>
      </c>
      <c r="L341" s="3" t="s">
        <v>101</v>
      </c>
      <c r="M341" s="3"/>
      <c r="N341" s="3"/>
      <c r="O341" s="3"/>
      <c r="P341" s="11">
        <f>Clean_Data[[#This Row],[Quantity]]*Clean_Data[[#This Row],[UnitPrice]]</f>
        <v>130</v>
      </c>
      <c r="Q341" s="11">
        <f>ROUND(Clean_Data[[#This Row],[GrossSales]]*Clean_Data[[#This Row],[DiscountPct]],2)</f>
        <v>6.5</v>
      </c>
      <c r="R341" s="11">
        <f>IF(Clean_Data[[#This Row],[Status]]="Delivered",ROUND(Clean_Data[[#This Row],[GrossSales]]-Clean_Data[[#This Row],[DiscountAmount]],2),0)</f>
        <v>0</v>
      </c>
      <c r="S341" s="3" t="str">
        <f>IF(Clean_Data[[#This Row],[OrderHour]]&lt;6,"Night",IF(Clean_Data[[#This Row],[OrderHour]]&lt;12,"Morning",IF(Clean_Data[[#This Row],[OrderHour]]&lt;18,"Afternoon","Evening")))</f>
        <v>Evening</v>
      </c>
      <c r="T341" s="3" t="str">
        <f>TEXT(Clean_Data[[#This Row],[OrderDate]],"[$-409]ddd")</f>
        <v>Sat</v>
      </c>
      <c r="U341" s="3">
        <f>WEEKDAY(Clean_Data[[#This Row],[OrderDate]],2)</f>
        <v>6</v>
      </c>
      <c r="V341" s="3">
        <f>INT(Clean_Data[[#This Row],[OrderHour]]/6)+1</f>
        <v>4</v>
      </c>
      <c r="W341" s="3">
        <f>IF(Clean_Data[[#This Row],[Status]]="Delivered",1,0)</f>
        <v>0</v>
      </c>
      <c r="X341" s="3">
        <f>IF(Clean_Data[[#This Row],[Status]]="Delivered",IF(Clean_Data[[#This Row],[DeliveryMinutes]]&lt;=Dashboard!$X$5,1,0),0)</f>
        <v>0</v>
      </c>
      <c r="Y3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1" s="3">
        <f>IF(AND(Clean_Data[[#This Row],[Include]]=1,Clean_Data[[#This Row],[DeliveredFlag]]=1),1,0)</f>
        <v>0</v>
      </c>
      <c r="AA341" s="1">
        <f>IF(COUNTIF($D$2:D341,D341)=1,ROW()-1,ROWS(Clean_Data[OrderID])+1)</f>
        <v>901</v>
      </c>
      <c r="AB341" s="1">
        <f>IF(COUNTIF($F$2:F341,F341)=1,ROW()-1,ROWS(Clean_Data[OrderID])+1)</f>
        <v>901</v>
      </c>
      <c r="AC341" s="1">
        <f>IF(COUNTIF($G$2:G341,G341)=1,ROW()-1,ROWS(Clean_Data[OrderID])+1)</f>
        <v>901</v>
      </c>
      <c r="AD341" s="1">
        <f>IF(COUNTIF($H$2:H341,H341)=1,ROW()-1,ROWS(Clean_Data[OrderID])+1)</f>
        <v>901</v>
      </c>
      <c r="AE341" s="1">
        <f>IF(COUNTIF($V$2:V341,V341)=1,V341,ROWS(Clean_Data[OrderID])+1)</f>
        <v>901</v>
      </c>
      <c r="AF341" s="1">
        <f>IF(COUNTIF($U$2:U341,U341)=1,U341,ROWS(Clean_Data[OrderID])+1)</f>
        <v>901</v>
      </c>
      <c r="AG341" s="1">
        <f>IF(COUNTIF($E$2:E341,E341)=1,ROW()-1,ROWS(Clean_Data[OrderID])+1)</f>
        <v>901</v>
      </c>
    </row>
    <row r="342" spans="1:33" ht="20" customHeight="1">
      <c r="A342" s="3" t="s">
        <v>669</v>
      </c>
      <c r="B342" s="2">
        <v>46277</v>
      </c>
      <c r="C342" s="3">
        <v>8</v>
      </c>
      <c r="D342" s="3" t="s">
        <v>219</v>
      </c>
      <c r="E342" s="3" t="s">
        <v>91</v>
      </c>
      <c r="F342" s="3" t="s">
        <v>139</v>
      </c>
      <c r="G342" s="3" t="s">
        <v>135</v>
      </c>
      <c r="H342" s="3" t="s">
        <v>217</v>
      </c>
      <c r="I342" s="3">
        <v>5</v>
      </c>
      <c r="J342" s="11">
        <v>65</v>
      </c>
      <c r="K342" s="4">
        <v>0</v>
      </c>
      <c r="L342" s="3" t="s">
        <v>95</v>
      </c>
      <c r="M342" s="3">
        <v>20</v>
      </c>
      <c r="N342" s="3">
        <v>9</v>
      </c>
      <c r="O342" s="3">
        <v>5</v>
      </c>
      <c r="P342" s="11">
        <f>Clean_Data[[#This Row],[Quantity]]*Clean_Data[[#This Row],[UnitPrice]]</f>
        <v>325</v>
      </c>
      <c r="Q342" s="11">
        <f>ROUND(Clean_Data[[#This Row],[GrossSales]]*Clean_Data[[#This Row],[DiscountPct]],2)</f>
        <v>0</v>
      </c>
      <c r="R342" s="11">
        <f>IF(Clean_Data[[#This Row],[Status]]="Delivered",ROUND(Clean_Data[[#This Row],[GrossSales]]-Clean_Data[[#This Row],[DiscountAmount]],2),0)</f>
        <v>325</v>
      </c>
      <c r="S342" s="3" t="str">
        <f>IF(Clean_Data[[#This Row],[OrderHour]]&lt;6,"Night",IF(Clean_Data[[#This Row],[OrderHour]]&lt;12,"Morning",IF(Clean_Data[[#This Row],[OrderHour]]&lt;18,"Afternoon","Evening")))</f>
        <v>Morning</v>
      </c>
      <c r="T342" s="3" t="str">
        <f>TEXT(Clean_Data[[#This Row],[OrderDate]],"[$-409]ddd")</f>
        <v>Sat</v>
      </c>
      <c r="U342" s="3">
        <f>WEEKDAY(Clean_Data[[#This Row],[OrderDate]],2)</f>
        <v>6</v>
      </c>
      <c r="V342" s="3">
        <f>INT(Clean_Data[[#This Row],[OrderHour]]/6)+1</f>
        <v>2</v>
      </c>
      <c r="W342" s="3">
        <f>IF(Clean_Data[[#This Row],[Status]]="Delivered",1,0)</f>
        <v>1</v>
      </c>
      <c r="X342" s="3">
        <f>IF(Clean_Data[[#This Row],[Status]]="Delivered",IF(Clean_Data[[#This Row],[DeliveryMinutes]]&lt;=Dashboard!$X$5,1,0),0)</f>
        <v>1</v>
      </c>
      <c r="Y3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2" s="3">
        <f>IF(AND(Clean_Data[[#This Row],[Include]]=1,Clean_Data[[#This Row],[DeliveredFlag]]=1),1,0)</f>
        <v>1</v>
      </c>
      <c r="AA342" s="1">
        <f>IF(COUNTIF($D$2:D342,D342)=1,ROW()-1,ROWS(Clean_Data[OrderID])+1)</f>
        <v>901</v>
      </c>
      <c r="AB342" s="1">
        <f>IF(COUNTIF($F$2:F342,F342)=1,ROW()-1,ROWS(Clean_Data[OrderID])+1)</f>
        <v>901</v>
      </c>
      <c r="AC342" s="1">
        <f>IF(COUNTIF($G$2:G342,G342)=1,ROW()-1,ROWS(Clean_Data[OrderID])+1)</f>
        <v>901</v>
      </c>
      <c r="AD342" s="1">
        <f>IF(COUNTIF($H$2:H342,H342)=1,ROW()-1,ROWS(Clean_Data[OrderID])+1)</f>
        <v>901</v>
      </c>
      <c r="AE342" s="1">
        <f>IF(COUNTIF($V$2:V342,V342)=1,V342,ROWS(Clean_Data[OrderID])+1)</f>
        <v>901</v>
      </c>
      <c r="AF342" s="1">
        <f>IF(COUNTIF($U$2:U342,U342)=1,U342,ROWS(Clean_Data[OrderID])+1)</f>
        <v>901</v>
      </c>
      <c r="AG342" s="1">
        <f>IF(COUNTIF($E$2:E342,E342)=1,ROW()-1,ROWS(Clean_Data[OrderID])+1)</f>
        <v>901</v>
      </c>
    </row>
    <row r="343" spans="1:33" ht="20" customHeight="1">
      <c r="A343" s="3" t="s">
        <v>670</v>
      </c>
      <c r="B343" s="2">
        <v>46277</v>
      </c>
      <c r="C343" s="3">
        <v>20</v>
      </c>
      <c r="D343" s="3" t="s">
        <v>671</v>
      </c>
      <c r="E343" s="3" t="s">
        <v>91</v>
      </c>
      <c r="F343" s="3" t="s">
        <v>121</v>
      </c>
      <c r="G343" s="3" t="s">
        <v>135</v>
      </c>
      <c r="H343" s="3" t="s">
        <v>162</v>
      </c>
      <c r="I343" s="3">
        <v>2</v>
      </c>
      <c r="J343" s="11">
        <v>180</v>
      </c>
      <c r="K343" s="4">
        <v>0.1</v>
      </c>
      <c r="L343" s="3" t="s">
        <v>95</v>
      </c>
      <c r="M343" s="3">
        <v>17</v>
      </c>
      <c r="N343" s="3">
        <v>6</v>
      </c>
      <c r="O343" s="3">
        <v>4</v>
      </c>
      <c r="P343" s="11">
        <f>Clean_Data[[#This Row],[Quantity]]*Clean_Data[[#This Row],[UnitPrice]]</f>
        <v>360</v>
      </c>
      <c r="Q343" s="11">
        <f>ROUND(Clean_Data[[#This Row],[GrossSales]]*Clean_Data[[#This Row],[DiscountPct]],2)</f>
        <v>36</v>
      </c>
      <c r="R343" s="11">
        <f>IF(Clean_Data[[#This Row],[Status]]="Delivered",ROUND(Clean_Data[[#This Row],[GrossSales]]-Clean_Data[[#This Row],[DiscountAmount]],2),0)</f>
        <v>324</v>
      </c>
      <c r="S343" s="3" t="str">
        <f>IF(Clean_Data[[#This Row],[OrderHour]]&lt;6,"Night",IF(Clean_Data[[#This Row],[OrderHour]]&lt;12,"Morning",IF(Clean_Data[[#This Row],[OrderHour]]&lt;18,"Afternoon","Evening")))</f>
        <v>Evening</v>
      </c>
      <c r="T343" s="3" t="str">
        <f>TEXT(Clean_Data[[#This Row],[OrderDate]],"[$-409]ddd")</f>
        <v>Sat</v>
      </c>
      <c r="U343" s="3">
        <f>WEEKDAY(Clean_Data[[#This Row],[OrderDate]],2)</f>
        <v>6</v>
      </c>
      <c r="V343" s="3">
        <f>INT(Clean_Data[[#This Row],[OrderHour]]/6)+1</f>
        <v>4</v>
      </c>
      <c r="W343" s="3">
        <f>IF(Clean_Data[[#This Row],[Status]]="Delivered",1,0)</f>
        <v>1</v>
      </c>
      <c r="X343" s="3">
        <f>IF(Clean_Data[[#This Row],[Status]]="Delivered",IF(Clean_Data[[#This Row],[DeliveryMinutes]]&lt;=Dashboard!$X$5,1,0),0)</f>
        <v>1</v>
      </c>
      <c r="Y3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3" s="3">
        <f>IF(AND(Clean_Data[[#This Row],[Include]]=1,Clean_Data[[#This Row],[DeliveredFlag]]=1),1,0)</f>
        <v>1</v>
      </c>
      <c r="AA343" s="1">
        <f>IF(COUNTIF($D$2:D343,D343)=1,ROW()-1,ROWS(Clean_Data[OrderID])+1)</f>
        <v>342</v>
      </c>
      <c r="AB343" s="1">
        <f>IF(COUNTIF($F$2:F343,F343)=1,ROW()-1,ROWS(Clean_Data[OrderID])+1)</f>
        <v>901</v>
      </c>
      <c r="AC343" s="1">
        <f>IF(COUNTIF($G$2:G343,G343)=1,ROW()-1,ROWS(Clean_Data[OrderID])+1)</f>
        <v>901</v>
      </c>
      <c r="AD343" s="1">
        <f>IF(COUNTIF($H$2:H343,H343)=1,ROW()-1,ROWS(Clean_Data[OrderID])+1)</f>
        <v>901</v>
      </c>
      <c r="AE343" s="1">
        <f>IF(COUNTIF($V$2:V343,V343)=1,V343,ROWS(Clean_Data[OrderID])+1)</f>
        <v>901</v>
      </c>
      <c r="AF343" s="1">
        <f>IF(COUNTIF($U$2:U343,U343)=1,U343,ROWS(Clean_Data[OrderID])+1)</f>
        <v>901</v>
      </c>
      <c r="AG343" s="1">
        <f>IF(COUNTIF($E$2:E343,E343)=1,ROW()-1,ROWS(Clean_Data[OrderID])+1)</f>
        <v>901</v>
      </c>
    </row>
    <row r="344" spans="1:33" ht="20" customHeight="1">
      <c r="A344" s="3" t="s">
        <v>672</v>
      </c>
      <c r="B344" s="2">
        <v>46277</v>
      </c>
      <c r="C344" s="3">
        <v>9</v>
      </c>
      <c r="D344" s="3" t="s">
        <v>489</v>
      </c>
      <c r="E344" s="3" t="s">
        <v>117</v>
      </c>
      <c r="F344" s="3" t="s">
        <v>92</v>
      </c>
      <c r="G344" s="3" t="s">
        <v>93</v>
      </c>
      <c r="H344" s="3" t="s">
        <v>94</v>
      </c>
      <c r="I344" s="3">
        <v>4</v>
      </c>
      <c r="J344" s="11">
        <v>95</v>
      </c>
      <c r="K344" s="4">
        <v>0</v>
      </c>
      <c r="L344" s="3" t="s">
        <v>95</v>
      </c>
      <c r="M344" s="3">
        <v>23</v>
      </c>
      <c r="N344" s="3">
        <v>13</v>
      </c>
      <c r="O344" s="3">
        <v>5</v>
      </c>
      <c r="P344" s="11">
        <f>Clean_Data[[#This Row],[Quantity]]*Clean_Data[[#This Row],[UnitPrice]]</f>
        <v>380</v>
      </c>
      <c r="Q344" s="11">
        <f>ROUND(Clean_Data[[#This Row],[GrossSales]]*Clean_Data[[#This Row],[DiscountPct]],2)</f>
        <v>0</v>
      </c>
      <c r="R344" s="11">
        <f>IF(Clean_Data[[#This Row],[Status]]="Delivered",ROUND(Clean_Data[[#This Row],[GrossSales]]-Clean_Data[[#This Row],[DiscountAmount]],2),0)</f>
        <v>380</v>
      </c>
      <c r="S344" s="3" t="str">
        <f>IF(Clean_Data[[#This Row],[OrderHour]]&lt;6,"Night",IF(Clean_Data[[#This Row],[OrderHour]]&lt;12,"Morning",IF(Clean_Data[[#This Row],[OrderHour]]&lt;18,"Afternoon","Evening")))</f>
        <v>Morning</v>
      </c>
      <c r="T344" s="3" t="str">
        <f>TEXT(Clean_Data[[#This Row],[OrderDate]],"[$-409]ddd")</f>
        <v>Sat</v>
      </c>
      <c r="U344" s="3">
        <f>WEEKDAY(Clean_Data[[#This Row],[OrderDate]],2)</f>
        <v>6</v>
      </c>
      <c r="V344" s="3">
        <f>INT(Clean_Data[[#This Row],[OrderHour]]/6)+1</f>
        <v>2</v>
      </c>
      <c r="W344" s="3">
        <f>IF(Clean_Data[[#This Row],[Status]]="Delivered",1,0)</f>
        <v>1</v>
      </c>
      <c r="X344" s="3">
        <f>IF(Clean_Data[[#This Row],[Status]]="Delivered",IF(Clean_Data[[#This Row],[DeliveryMinutes]]&lt;=Dashboard!$X$5,1,0),0)</f>
        <v>1</v>
      </c>
      <c r="Y3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4" s="3">
        <f>IF(AND(Clean_Data[[#This Row],[Include]]=1,Clean_Data[[#This Row],[DeliveredFlag]]=1),1,0)</f>
        <v>1</v>
      </c>
      <c r="AA344" s="1">
        <f>IF(COUNTIF($D$2:D344,D344)=1,ROW()-1,ROWS(Clean_Data[OrderID])+1)</f>
        <v>901</v>
      </c>
      <c r="AB344" s="1">
        <f>IF(COUNTIF($F$2:F344,F344)=1,ROW()-1,ROWS(Clean_Data[OrderID])+1)</f>
        <v>901</v>
      </c>
      <c r="AC344" s="1">
        <f>IF(COUNTIF($G$2:G344,G344)=1,ROW()-1,ROWS(Clean_Data[OrderID])+1)</f>
        <v>901</v>
      </c>
      <c r="AD344" s="1">
        <f>IF(COUNTIF($H$2:H344,H344)=1,ROW()-1,ROWS(Clean_Data[OrderID])+1)</f>
        <v>901</v>
      </c>
      <c r="AE344" s="1">
        <f>IF(COUNTIF($V$2:V344,V344)=1,V344,ROWS(Clean_Data[OrderID])+1)</f>
        <v>901</v>
      </c>
      <c r="AF344" s="1">
        <f>IF(COUNTIF($U$2:U344,U344)=1,U344,ROWS(Clean_Data[OrderID])+1)</f>
        <v>901</v>
      </c>
      <c r="AG344" s="1">
        <f>IF(COUNTIF($E$2:E344,E344)=1,ROW()-1,ROWS(Clean_Data[OrderID])+1)</f>
        <v>901</v>
      </c>
    </row>
    <row r="345" spans="1:33" ht="20" customHeight="1">
      <c r="A345" s="3" t="s">
        <v>673</v>
      </c>
      <c r="B345" s="2">
        <v>46277</v>
      </c>
      <c r="C345" s="3">
        <v>18</v>
      </c>
      <c r="D345" s="3" t="s">
        <v>394</v>
      </c>
      <c r="E345" s="3" t="s">
        <v>91</v>
      </c>
      <c r="F345" s="3" t="s">
        <v>98</v>
      </c>
      <c r="G345" s="3" t="s">
        <v>99</v>
      </c>
      <c r="H345" s="3" t="s">
        <v>104</v>
      </c>
      <c r="I345" s="3">
        <v>4</v>
      </c>
      <c r="J345" s="11">
        <v>240</v>
      </c>
      <c r="K345" s="4">
        <v>0.1</v>
      </c>
      <c r="L345" s="3" t="s">
        <v>95</v>
      </c>
      <c r="M345" s="3">
        <v>36</v>
      </c>
      <c r="N345" s="3">
        <v>6</v>
      </c>
      <c r="O345" s="3">
        <v>4</v>
      </c>
      <c r="P345" s="11">
        <f>Clean_Data[[#This Row],[Quantity]]*Clean_Data[[#This Row],[UnitPrice]]</f>
        <v>960</v>
      </c>
      <c r="Q345" s="11">
        <f>ROUND(Clean_Data[[#This Row],[GrossSales]]*Clean_Data[[#This Row],[DiscountPct]],2)</f>
        <v>96</v>
      </c>
      <c r="R345" s="11">
        <f>IF(Clean_Data[[#This Row],[Status]]="Delivered",ROUND(Clean_Data[[#This Row],[GrossSales]]-Clean_Data[[#This Row],[DiscountAmount]],2),0)</f>
        <v>864</v>
      </c>
      <c r="S345" s="3" t="str">
        <f>IF(Clean_Data[[#This Row],[OrderHour]]&lt;6,"Night",IF(Clean_Data[[#This Row],[OrderHour]]&lt;12,"Morning",IF(Clean_Data[[#This Row],[OrderHour]]&lt;18,"Afternoon","Evening")))</f>
        <v>Evening</v>
      </c>
      <c r="T345" s="3" t="str">
        <f>TEXT(Clean_Data[[#This Row],[OrderDate]],"[$-409]ddd")</f>
        <v>Sat</v>
      </c>
      <c r="U345" s="3">
        <f>WEEKDAY(Clean_Data[[#This Row],[OrderDate]],2)</f>
        <v>6</v>
      </c>
      <c r="V345" s="3">
        <f>INT(Clean_Data[[#This Row],[OrderHour]]/6)+1</f>
        <v>4</v>
      </c>
      <c r="W345" s="3">
        <f>IF(Clean_Data[[#This Row],[Status]]="Delivered",1,0)</f>
        <v>1</v>
      </c>
      <c r="X345" s="3">
        <f>IF(Clean_Data[[#This Row],[Status]]="Delivered",IF(Clean_Data[[#This Row],[DeliveryMinutes]]&lt;=Dashboard!$X$5,1,0),0)</f>
        <v>0</v>
      </c>
      <c r="Y3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5" s="3">
        <f>IF(AND(Clean_Data[[#This Row],[Include]]=1,Clean_Data[[#This Row],[DeliveredFlag]]=1),1,0)</f>
        <v>1</v>
      </c>
      <c r="AA345" s="1">
        <f>IF(COUNTIF($D$2:D345,D345)=1,ROW()-1,ROWS(Clean_Data[OrderID])+1)</f>
        <v>901</v>
      </c>
      <c r="AB345" s="1">
        <f>IF(COUNTIF($F$2:F345,F345)=1,ROW()-1,ROWS(Clean_Data[OrderID])+1)</f>
        <v>901</v>
      </c>
      <c r="AC345" s="1">
        <f>IF(COUNTIF($G$2:G345,G345)=1,ROW()-1,ROWS(Clean_Data[OrderID])+1)</f>
        <v>901</v>
      </c>
      <c r="AD345" s="1">
        <f>IF(COUNTIF($H$2:H345,H345)=1,ROW()-1,ROWS(Clean_Data[OrderID])+1)</f>
        <v>901</v>
      </c>
      <c r="AE345" s="1">
        <f>IF(COUNTIF($V$2:V345,V345)=1,V345,ROWS(Clean_Data[OrderID])+1)</f>
        <v>901</v>
      </c>
      <c r="AF345" s="1">
        <f>IF(COUNTIF($U$2:U345,U345)=1,U345,ROWS(Clean_Data[OrderID])+1)</f>
        <v>901</v>
      </c>
      <c r="AG345" s="1">
        <f>IF(COUNTIF($E$2:E345,E345)=1,ROW()-1,ROWS(Clean_Data[OrderID])+1)</f>
        <v>901</v>
      </c>
    </row>
    <row r="346" spans="1:33" ht="20" customHeight="1">
      <c r="A346" s="3" t="s">
        <v>674</v>
      </c>
      <c r="B346" s="2">
        <v>46277</v>
      </c>
      <c r="C346" s="3">
        <v>17</v>
      </c>
      <c r="D346" s="3" t="s">
        <v>388</v>
      </c>
      <c r="E346" s="3" t="s">
        <v>91</v>
      </c>
      <c r="F346" s="3" t="s">
        <v>121</v>
      </c>
      <c r="G346" s="3" t="s">
        <v>93</v>
      </c>
      <c r="H346" s="3" t="s">
        <v>94</v>
      </c>
      <c r="I346" s="3">
        <v>4</v>
      </c>
      <c r="J346" s="11">
        <v>95</v>
      </c>
      <c r="K346" s="4">
        <v>0.1</v>
      </c>
      <c r="L346" s="3" t="s">
        <v>95</v>
      </c>
      <c r="M346" s="3">
        <v>27</v>
      </c>
      <c r="N346" s="3">
        <v>14</v>
      </c>
      <c r="O346" s="3">
        <v>5</v>
      </c>
      <c r="P346" s="11">
        <f>Clean_Data[[#This Row],[Quantity]]*Clean_Data[[#This Row],[UnitPrice]]</f>
        <v>380</v>
      </c>
      <c r="Q346" s="11">
        <f>ROUND(Clean_Data[[#This Row],[GrossSales]]*Clean_Data[[#This Row],[DiscountPct]],2)</f>
        <v>38</v>
      </c>
      <c r="R346" s="11">
        <f>IF(Clean_Data[[#This Row],[Status]]="Delivered",ROUND(Clean_Data[[#This Row],[GrossSales]]-Clean_Data[[#This Row],[DiscountAmount]],2),0)</f>
        <v>342</v>
      </c>
      <c r="S346" s="3" t="str">
        <f>IF(Clean_Data[[#This Row],[OrderHour]]&lt;6,"Night",IF(Clean_Data[[#This Row],[OrderHour]]&lt;12,"Morning",IF(Clean_Data[[#This Row],[OrderHour]]&lt;18,"Afternoon","Evening")))</f>
        <v>Afternoon</v>
      </c>
      <c r="T346" s="3" t="str">
        <f>TEXT(Clean_Data[[#This Row],[OrderDate]],"[$-409]ddd")</f>
        <v>Sat</v>
      </c>
      <c r="U346" s="3">
        <f>WEEKDAY(Clean_Data[[#This Row],[OrderDate]],2)</f>
        <v>6</v>
      </c>
      <c r="V346" s="3">
        <f>INT(Clean_Data[[#This Row],[OrderHour]]/6)+1</f>
        <v>3</v>
      </c>
      <c r="W346" s="3">
        <f>IF(Clean_Data[[#This Row],[Status]]="Delivered",1,0)</f>
        <v>1</v>
      </c>
      <c r="X346" s="3">
        <f>IF(Clean_Data[[#This Row],[Status]]="Delivered",IF(Clean_Data[[#This Row],[DeliveryMinutes]]&lt;=Dashboard!$X$5,1,0),0)</f>
        <v>1</v>
      </c>
      <c r="Y3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6" s="3">
        <f>IF(AND(Clean_Data[[#This Row],[Include]]=1,Clean_Data[[#This Row],[DeliveredFlag]]=1),1,0)</f>
        <v>1</v>
      </c>
      <c r="AA346" s="1">
        <f>IF(COUNTIF($D$2:D346,D346)=1,ROW()-1,ROWS(Clean_Data[OrderID])+1)</f>
        <v>901</v>
      </c>
      <c r="AB346" s="1">
        <f>IF(COUNTIF($F$2:F346,F346)=1,ROW()-1,ROWS(Clean_Data[OrderID])+1)</f>
        <v>901</v>
      </c>
      <c r="AC346" s="1">
        <f>IF(COUNTIF($G$2:G346,G346)=1,ROW()-1,ROWS(Clean_Data[OrderID])+1)</f>
        <v>901</v>
      </c>
      <c r="AD346" s="1">
        <f>IF(COUNTIF($H$2:H346,H346)=1,ROW()-1,ROWS(Clean_Data[OrderID])+1)</f>
        <v>901</v>
      </c>
      <c r="AE346" s="1">
        <f>IF(COUNTIF($V$2:V346,V346)=1,V346,ROWS(Clean_Data[OrderID])+1)</f>
        <v>901</v>
      </c>
      <c r="AF346" s="1">
        <f>IF(COUNTIF($U$2:U346,U346)=1,U346,ROWS(Clean_Data[OrderID])+1)</f>
        <v>901</v>
      </c>
      <c r="AG346" s="1">
        <f>IF(COUNTIF($E$2:E346,E346)=1,ROW()-1,ROWS(Clean_Data[OrderID])+1)</f>
        <v>901</v>
      </c>
    </row>
    <row r="347" spans="1:33" ht="20" customHeight="1">
      <c r="A347" s="3" t="s">
        <v>675</v>
      </c>
      <c r="B347" s="2">
        <v>46277</v>
      </c>
      <c r="C347" s="3">
        <v>21</v>
      </c>
      <c r="D347" s="3" t="s">
        <v>394</v>
      </c>
      <c r="E347" s="3" t="s">
        <v>91</v>
      </c>
      <c r="F347" s="3" t="s">
        <v>121</v>
      </c>
      <c r="G347" s="3" t="s">
        <v>93</v>
      </c>
      <c r="H347" s="3" t="s">
        <v>118</v>
      </c>
      <c r="I347" s="3">
        <v>5</v>
      </c>
      <c r="J347" s="11">
        <v>45</v>
      </c>
      <c r="K347" s="4">
        <v>0</v>
      </c>
      <c r="L347" s="3" t="s">
        <v>95</v>
      </c>
      <c r="M347" s="3">
        <v>21</v>
      </c>
      <c r="N347" s="3">
        <v>8</v>
      </c>
      <c r="O347" s="3">
        <v>4</v>
      </c>
      <c r="P347" s="11">
        <f>Clean_Data[[#This Row],[Quantity]]*Clean_Data[[#This Row],[UnitPrice]]</f>
        <v>225</v>
      </c>
      <c r="Q347" s="11">
        <f>ROUND(Clean_Data[[#This Row],[GrossSales]]*Clean_Data[[#This Row],[DiscountPct]],2)</f>
        <v>0</v>
      </c>
      <c r="R347" s="11">
        <f>IF(Clean_Data[[#This Row],[Status]]="Delivered",ROUND(Clean_Data[[#This Row],[GrossSales]]-Clean_Data[[#This Row],[DiscountAmount]],2),0)</f>
        <v>225</v>
      </c>
      <c r="S347" s="3" t="str">
        <f>IF(Clean_Data[[#This Row],[OrderHour]]&lt;6,"Night",IF(Clean_Data[[#This Row],[OrderHour]]&lt;12,"Morning",IF(Clean_Data[[#This Row],[OrderHour]]&lt;18,"Afternoon","Evening")))</f>
        <v>Evening</v>
      </c>
      <c r="T347" s="3" t="str">
        <f>TEXT(Clean_Data[[#This Row],[OrderDate]],"[$-409]ddd")</f>
        <v>Sat</v>
      </c>
      <c r="U347" s="3">
        <f>WEEKDAY(Clean_Data[[#This Row],[OrderDate]],2)</f>
        <v>6</v>
      </c>
      <c r="V347" s="3">
        <f>INT(Clean_Data[[#This Row],[OrderHour]]/6)+1</f>
        <v>4</v>
      </c>
      <c r="W347" s="3">
        <f>IF(Clean_Data[[#This Row],[Status]]="Delivered",1,0)</f>
        <v>1</v>
      </c>
      <c r="X347" s="3">
        <f>IF(Clean_Data[[#This Row],[Status]]="Delivered",IF(Clean_Data[[#This Row],[DeliveryMinutes]]&lt;=Dashboard!$X$5,1,0),0)</f>
        <v>1</v>
      </c>
      <c r="Y3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7" s="3">
        <f>IF(AND(Clean_Data[[#This Row],[Include]]=1,Clean_Data[[#This Row],[DeliveredFlag]]=1),1,0)</f>
        <v>1</v>
      </c>
      <c r="AA347" s="1">
        <f>IF(COUNTIF($D$2:D347,D347)=1,ROW()-1,ROWS(Clean_Data[OrderID])+1)</f>
        <v>901</v>
      </c>
      <c r="AB347" s="1">
        <f>IF(COUNTIF($F$2:F347,F347)=1,ROW()-1,ROWS(Clean_Data[OrderID])+1)</f>
        <v>901</v>
      </c>
      <c r="AC347" s="1">
        <f>IF(COUNTIF($G$2:G347,G347)=1,ROW()-1,ROWS(Clean_Data[OrderID])+1)</f>
        <v>901</v>
      </c>
      <c r="AD347" s="1">
        <f>IF(COUNTIF($H$2:H347,H347)=1,ROW()-1,ROWS(Clean_Data[OrderID])+1)</f>
        <v>901</v>
      </c>
      <c r="AE347" s="1">
        <f>IF(COUNTIF($V$2:V347,V347)=1,V347,ROWS(Clean_Data[OrderID])+1)</f>
        <v>901</v>
      </c>
      <c r="AF347" s="1">
        <f>IF(COUNTIF($U$2:U347,U347)=1,U347,ROWS(Clean_Data[OrderID])+1)</f>
        <v>901</v>
      </c>
      <c r="AG347" s="1">
        <f>IF(COUNTIF($E$2:E347,E347)=1,ROW()-1,ROWS(Clean_Data[OrderID])+1)</f>
        <v>901</v>
      </c>
    </row>
    <row r="348" spans="1:33" ht="20" customHeight="1">
      <c r="A348" s="3" t="s">
        <v>676</v>
      </c>
      <c r="B348" s="2">
        <v>46277</v>
      </c>
      <c r="C348" s="3">
        <v>17</v>
      </c>
      <c r="D348" s="3" t="s">
        <v>677</v>
      </c>
      <c r="E348" s="3" t="s">
        <v>117</v>
      </c>
      <c r="F348" s="3" t="s">
        <v>92</v>
      </c>
      <c r="G348" s="3" t="s">
        <v>110</v>
      </c>
      <c r="H348" s="3" t="s">
        <v>114</v>
      </c>
      <c r="I348" s="3">
        <v>1</v>
      </c>
      <c r="J348" s="11">
        <v>145</v>
      </c>
      <c r="K348" s="4">
        <v>0</v>
      </c>
      <c r="L348" s="3" t="s">
        <v>95</v>
      </c>
      <c r="M348" s="3">
        <v>12</v>
      </c>
      <c r="N348" s="3">
        <v>7</v>
      </c>
      <c r="O348" s="3">
        <v>5</v>
      </c>
      <c r="P348" s="11">
        <f>Clean_Data[[#This Row],[Quantity]]*Clean_Data[[#This Row],[UnitPrice]]</f>
        <v>145</v>
      </c>
      <c r="Q348" s="11">
        <f>ROUND(Clean_Data[[#This Row],[GrossSales]]*Clean_Data[[#This Row],[DiscountPct]],2)</f>
        <v>0</v>
      </c>
      <c r="R348" s="11">
        <f>IF(Clean_Data[[#This Row],[Status]]="Delivered",ROUND(Clean_Data[[#This Row],[GrossSales]]-Clean_Data[[#This Row],[DiscountAmount]],2),0)</f>
        <v>145</v>
      </c>
      <c r="S348" s="3" t="str">
        <f>IF(Clean_Data[[#This Row],[OrderHour]]&lt;6,"Night",IF(Clean_Data[[#This Row],[OrderHour]]&lt;12,"Morning",IF(Clean_Data[[#This Row],[OrderHour]]&lt;18,"Afternoon","Evening")))</f>
        <v>Afternoon</v>
      </c>
      <c r="T348" s="3" t="str">
        <f>TEXT(Clean_Data[[#This Row],[OrderDate]],"[$-409]ddd")</f>
        <v>Sat</v>
      </c>
      <c r="U348" s="3">
        <f>WEEKDAY(Clean_Data[[#This Row],[OrderDate]],2)</f>
        <v>6</v>
      </c>
      <c r="V348" s="3">
        <f>INT(Clean_Data[[#This Row],[OrderHour]]/6)+1</f>
        <v>3</v>
      </c>
      <c r="W348" s="3">
        <f>IF(Clean_Data[[#This Row],[Status]]="Delivered",1,0)</f>
        <v>1</v>
      </c>
      <c r="X348" s="3">
        <f>IF(Clean_Data[[#This Row],[Status]]="Delivered",IF(Clean_Data[[#This Row],[DeliveryMinutes]]&lt;=Dashboard!$X$5,1,0),0)</f>
        <v>1</v>
      </c>
      <c r="Y3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8" s="3">
        <f>IF(AND(Clean_Data[[#This Row],[Include]]=1,Clean_Data[[#This Row],[DeliveredFlag]]=1),1,0)</f>
        <v>1</v>
      </c>
      <c r="AA348" s="1">
        <f>IF(COUNTIF($D$2:D348,D348)=1,ROW()-1,ROWS(Clean_Data[OrderID])+1)</f>
        <v>347</v>
      </c>
      <c r="AB348" s="1">
        <f>IF(COUNTIF($F$2:F348,F348)=1,ROW()-1,ROWS(Clean_Data[OrderID])+1)</f>
        <v>901</v>
      </c>
      <c r="AC348" s="1">
        <f>IF(COUNTIF($G$2:G348,G348)=1,ROW()-1,ROWS(Clean_Data[OrderID])+1)</f>
        <v>901</v>
      </c>
      <c r="AD348" s="1">
        <f>IF(COUNTIF($H$2:H348,H348)=1,ROW()-1,ROWS(Clean_Data[OrderID])+1)</f>
        <v>901</v>
      </c>
      <c r="AE348" s="1">
        <f>IF(COUNTIF($V$2:V348,V348)=1,V348,ROWS(Clean_Data[OrderID])+1)</f>
        <v>901</v>
      </c>
      <c r="AF348" s="1">
        <f>IF(COUNTIF($U$2:U348,U348)=1,U348,ROWS(Clean_Data[OrderID])+1)</f>
        <v>901</v>
      </c>
      <c r="AG348" s="1">
        <f>IF(COUNTIF($E$2:E348,E348)=1,ROW()-1,ROWS(Clean_Data[OrderID])+1)</f>
        <v>901</v>
      </c>
    </row>
    <row r="349" spans="1:33" ht="20" customHeight="1">
      <c r="A349" s="3" t="s">
        <v>678</v>
      </c>
      <c r="B349" s="2">
        <v>46277</v>
      </c>
      <c r="C349" s="3">
        <v>18</v>
      </c>
      <c r="D349" s="3" t="s">
        <v>468</v>
      </c>
      <c r="E349" s="3" t="s">
        <v>117</v>
      </c>
      <c r="F349" s="3" t="s">
        <v>109</v>
      </c>
      <c r="G349" s="3" t="s">
        <v>93</v>
      </c>
      <c r="H349" s="3" t="s">
        <v>94</v>
      </c>
      <c r="I349" s="3">
        <v>1</v>
      </c>
      <c r="J349" s="11">
        <v>95</v>
      </c>
      <c r="K349" s="4">
        <v>0</v>
      </c>
      <c r="L349" s="3" t="s">
        <v>95</v>
      </c>
      <c r="M349" s="3">
        <v>15</v>
      </c>
      <c r="N349" s="3">
        <v>4</v>
      </c>
      <c r="O349" s="3">
        <v>5</v>
      </c>
      <c r="P349" s="11">
        <f>Clean_Data[[#This Row],[Quantity]]*Clean_Data[[#This Row],[UnitPrice]]</f>
        <v>95</v>
      </c>
      <c r="Q349" s="11">
        <f>ROUND(Clean_Data[[#This Row],[GrossSales]]*Clean_Data[[#This Row],[DiscountPct]],2)</f>
        <v>0</v>
      </c>
      <c r="R349" s="11">
        <f>IF(Clean_Data[[#This Row],[Status]]="Delivered",ROUND(Clean_Data[[#This Row],[GrossSales]]-Clean_Data[[#This Row],[DiscountAmount]],2),0)</f>
        <v>95</v>
      </c>
      <c r="S349" s="3" t="str">
        <f>IF(Clean_Data[[#This Row],[OrderHour]]&lt;6,"Night",IF(Clean_Data[[#This Row],[OrderHour]]&lt;12,"Morning",IF(Clean_Data[[#This Row],[OrderHour]]&lt;18,"Afternoon","Evening")))</f>
        <v>Evening</v>
      </c>
      <c r="T349" s="3" t="str">
        <f>TEXT(Clean_Data[[#This Row],[OrderDate]],"[$-409]ddd")</f>
        <v>Sat</v>
      </c>
      <c r="U349" s="3">
        <f>WEEKDAY(Clean_Data[[#This Row],[OrderDate]],2)</f>
        <v>6</v>
      </c>
      <c r="V349" s="3">
        <f>INT(Clean_Data[[#This Row],[OrderHour]]/6)+1</f>
        <v>4</v>
      </c>
      <c r="W349" s="3">
        <f>IF(Clean_Data[[#This Row],[Status]]="Delivered",1,0)</f>
        <v>1</v>
      </c>
      <c r="X349" s="3">
        <f>IF(Clean_Data[[#This Row],[Status]]="Delivered",IF(Clean_Data[[#This Row],[DeliveryMinutes]]&lt;=Dashboard!$X$5,1,0),0)</f>
        <v>1</v>
      </c>
      <c r="Y3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49" s="3">
        <f>IF(AND(Clean_Data[[#This Row],[Include]]=1,Clean_Data[[#This Row],[DeliveredFlag]]=1),1,0)</f>
        <v>1</v>
      </c>
      <c r="AA349" s="1">
        <f>IF(COUNTIF($D$2:D349,D349)=1,ROW()-1,ROWS(Clean_Data[OrderID])+1)</f>
        <v>901</v>
      </c>
      <c r="AB349" s="1">
        <f>IF(COUNTIF($F$2:F349,F349)=1,ROW()-1,ROWS(Clean_Data[OrderID])+1)</f>
        <v>901</v>
      </c>
      <c r="AC349" s="1">
        <f>IF(COUNTIF($G$2:G349,G349)=1,ROW()-1,ROWS(Clean_Data[OrderID])+1)</f>
        <v>901</v>
      </c>
      <c r="AD349" s="1">
        <f>IF(COUNTIF($H$2:H349,H349)=1,ROW()-1,ROWS(Clean_Data[OrderID])+1)</f>
        <v>901</v>
      </c>
      <c r="AE349" s="1">
        <f>IF(COUNTIF($V$2:V349,V349)=1,V349,ROWS(Clean_Data[OrderID])+1)</f>
        <v>901</v>
      </c>
      <c r="AF349" s="1">
        <f>IF(COUNTIF($U$2:U349,U349)=1,U349,ROWS(Clean_Data[OrderID])+1)</f>
        <v>901</v>
      </c>
      <c r="AG349" s="1">
        <f>IF(COUNTIF($E$2:E349,E349)=1,ROW()-1,ROWS(Clean_Data[OrderID])+1)</f>
        <v>901</v>
      </c>
    </row>
    <row r="350" spans="1:33" ht="20" customHeight="1">
      <c r="A350" s="3" t="s">
        <v>679</v>
      </c>
      <c r="B350" s="2">
        <v>46277</v>
      </c>
      <c r="C350" s="3">
        <v>21</v>
      </c>
      <c r="D350" s="3" t="s">
        <v>372</v>
      </c>
      <c r="E350" s="3" t="s">
        <v>117</v>
      </c>
      <c r="F350" s="3" t="s">
        <v>98</v>
      </c>
      <c r="G350" s="3" t="s">
        <v>99</v>
      </c>
      <c r="H350" s="3" t="s">
        <v>100</v>
      </c>
      <c r="I350" s="3">
        <v>5</v>
      </c>
      <c r="J350" s="11">
        <v>120</v>
      </c>
      <c r="K350" s="4">
        <v>0</v>
      </c>
      <c r="L350" s="3" t="s">
        <v>95</v>
      </c>
      <c r="M350" s="3">
        <v>25</v>
      </c>
      <c r="N350" s="3">
        <v>13</v>
      </c>
      <c r="O350" s="3">
        <v>4</v>
      </c>
      <c r="P350" s="11">
        <f>Clean_Data[[#This Row],[Quantity]]*Clean_Data[[#This Row],[UnitPrice]]</f>
        <v>600</v>
      </c>
      <c r="Q350" s="11">
        <f>ROUND(Clean_Data[[#This Row],[GrossSales]]*Clean_Data[[#This Row],[DiscountPct]],2)</f>
        <v>0</v>
      </c>
      <c r="R350" s="11">
        <f>IF(Clean_Data[[#This Row],[Status]]="Delivered",ROUND(Clean_Data[[#This Row],[GrossSales]]-Clean_Data[[#This Row],[DiscountAmount]],2),0)</f>
        <v>600</v>
      </c>
      <c r="S350" s="3" t="str">
        <f>IF(Clean_Data[[#This Row],[OrderHour]]&lt;6,"Night",IF(Clean_Data[[#This Row],[OrderHour]]&lt;12,"Morning",IF(Clean_Data[[#This Row],[OrderHour]]&lt;18,"Afternoon","Evening")))</f>
        <v>Evening</v>
      </c>
      <c r="T350" s="3" t="str">
        <f>TEXT(Clean_Data[[#This Row],[OrderDate]],"[$-409]ddd")</f>
        <v>Sat</v>
      </c>
      <c r="U350" s="3">
        <f>WEEKDAY(Clean_Data[[#This Row],[OrderDate]],2)</f>
        <v>6</v>
      </c>
      <c r="V350" s="3">
        <f>INT(Clean_Data[[#This Row],[OrderHour]]/6)+1</f>
        <v>4</v>
      </c>
      <c r="W350" s="3">
        <f>IF(Clean_Data[[#This Row],[Status]]="Delivered",1,0)</f>
        <v>1</v>
      </c>
      <c r="X350" s="3">
        <f>IF(Clean_Data[[#This Row],[Status]]="Delivered",IF(Clean_Data[[#This Row],[DeliveryMinutes]]&lt;=Dashboard!$X$5,1,0),0)</f>
        <v>1</v>
      </c>
      <c r="Y3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0" s="3">
        <f>IF(AND(Clean_Data[[#This Row],[Include]]=1,Clean_Data[[#This Row],[DeliveredFlag]]=1),1,0)</f>
        <v>1</v>
      </c>
      <c r="AA350" s="1">
        <f>IF(COUNTIF($D$2:D350,D350)=1,ROW()-1,ROWS(Clean_Data[OrderID])+1)</f>
        <v>901</v>
      </c>
      <c r="AB350" s="1">
        <f>IF(COUNTIF($F$2:F350,F350)=1,ROW()-1,ROWS(Clean_Data[OrderID])+1)</f>
        <v>901</v>
      </c>
      <c r="AC350" s="1">
        <f>IF(COUNTIF($G$2:G350,G350)=1,ROW()-1,ROWS(Clean_Data[OrderID])+1)</f>
        <v>901</v>
      </c>
      <c r="AD350" s="1">
        <f>IF(COUNTIF($H$2:H350,H350)=1,ROW()-1,ROWS(Clean_Data[OrderID])+1)</f>
        <v>901</v>
      </c>
      <c r="AE350" s="1">
        <f>IF(COUNTIF($V$2:V350,V350)=1,V350,ROWS(Clean_Data[OrderID])+1)</f>
        <v>901</v>
      </c>
      <c r="AF350" s="1">
        <f>IF(COUNTIF($U$2:U350,U350)=1,U350,ROWS(Clean_Data[OrderID])+1)</f>
        <v>901</v>
      </c>
      <c r="AG350" s="1">
        <f>IF(COUNTIF($E$2:E350,E350)=1,ROW()-1,ROWS(Clean_Data[OrderID])+1)</f>
        <v>901</v>
      </c>
    </row>
    <row r="351" spans="1:33" ht="20" customHeight="1">
      <c r="A351" s="3" t="s">
        <v>680</v>
      </c>
      <c r="B351" s="2">
        <v>46277</v>
      </c>
      <c r="C351" s="3">
        <v>22</v>
      </c>
      <c r="D351" s="3" t="s">
        <v>681</v>
      </c>
      <c r="E351" s="3" t="s">
        <v>91</v>
      </c>
      <c r="F351" s="3" t="s">
        <v>121</v>
      </c>
      <c r="G351" s="3" t="s">
        <v>122</v>
      </c>
      <c r="H351" s="3" t="s">
        <v>123</v>
      </c>
      <c r="I351" s="3">
        <v>1</v>
      </c>
      <c r="J351" s="11">
        <v>45</v>
      </c>
      <c r="K351" s="4">
        <v>0</v>
      </c>
      <c r="L351" s="3" t="s">
        <v>95</v>
      </c>
      <c r="M351" s="3">
        <v>28</v>
      </c>
      <c r="N351" s="3">
        <v>4</v>
      </c>
      <c r="O351" s="3">
        <v>5</v>
      </c>
      <c r="P351" s="11">
        <f>Clean_Data[[#This Row],[Quantity]]*Clean_Data[[#This Row],[UnitPrice]]</f>
        <v>45</v>
      </c>
      <c r="Q351" s="11">
        <f>ROUND(Clean_Data[[#This Row],[GrossSales]]*Clean_Data[[#This Row],[DiscountPct]],2)</f>
        <v>0</v>
      </c>
      <c r="R351" s="11">
        <f>IF(Clean_Data[[#This Row],[Status]]="Delivered",ROUND(Clean_Data[[#This Row],[GrossSales]]-Clean_Data[[#This Row],[DiscountAmount]],2),0)</f>
        <v>45</v>
      </c>
      <c r="S351" s="3" t="str">
        <f>IF(Clean_Data[[#This Row],[OrderHour]]&lt;6,"Night",IF(Clean_Data[[#This Row],[OrderHour]]&lt;12,"Morning",IF(Clean_Data[[#This Row],[OrderHour]]&lt;18,"Afternoon","Evening")))</f>
        <v>Evening</v>
      </c>
      <c r="T351" s="3" t="str">
        <f>TEXT(Clean_Data[[#This Row],[OrderDate]],"[$-409]ddd")</f>
        <v>Sat</v>
      </c>
      <c r="U351" s="3">
        <f>WEEKDAY(Clean_Data[[#This Row],[OrderDate]],2)</f>
        <v>6</v>
      </c>
      <c r="V351" s="3">
        <f>INT(Clean_Data[[#This Row],[OrderHour]]/6)+1</f>
        <v>4</v>
      </c>
      <c r="W351" s="3">
        <f>IF(Clean_Data[[#This Row],[Status]]="Delivered",1,0)</f>
        <v>1</v>
      </c>
      <c r="X351" s="3">
        <f>IF(Clean_Data[[#This Row],[Status]]="Delivered",IF(Clean_Data[[#This Row],[DeliveryMinutes]]&lt;=Dashboard!$X$5,1,0),0)</f>
        <v>1</v>
      </c>
      <c r="Y3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1" s="3">
        <f>IF(AND(Clean_Data[[#This Row],[Include]]=1,Clean_Data[[#This Row],[DeliveredFlag]]=1),1,0)</f>
        <v>1</v>
      </c>
      <c r="AA351" s="1">
        <f>IF(COUNTIF($D$2:D351,D351)=1,ROW()-1,ROWS(Clean_Data[OrderID])+1)</f>
        <v>350</v>
      </c>
      <c r="AB351" s="1">
        <f>IF(COUNTIF($F$2:F351,F351)=1,ROW()-1,ROWS(Clean_Data[OrderID])+1)</f>
        <v>901</v>
      </c>
      <c r="AC351" s="1">
        <f>IF(COUNTIF($G$2:G351,G351)=1,ROW()-1,ROWS(Clean_Data[OrderID])+1)</f>
        <v>901</v>
      </c>
      <c r="AD351" s="1">
        <f>IF(COUNTIF($H$2:H351,H351)=1,ROW()-1,ROWS(Clean_Data[OrderID])+1)</f>
        <v>901</v>
      </c>
      <c r="AE351" s="1">
        <f>IF(COUNTIF($V$2:V351,V351)=1,V351,ROWS(Clean_Data[OrderID])+1)</f>
        <v>901</v>
      </c>
      <c r="AF351" s="1">
        <f>IF(COUNTIF($U$2:U351,U351)=1,U351,ROWS(Clean_Data[OrderID])+1)</f>
        <v>901</v>
      </c>
      <c r="AG351" s="1">
        <f>IF(COUNTIF($E$2:E351,E351)=1,ROW()-1,ROWS(Clean_Data[OrderID])+1)</f>
        <v>901</v>
      </c>
    </row>
    <row r="352" spans="1:33" ht="20" customHeight="1">
      <c r="A352" s="3" t="s">
        <v>682</v>
      </c>
      <c r="B352" s="2">
        <v>46277</v>
      </c>
      <c r="C352" s="3">
        <v>12</v>
      </c>
      <c r="D352" s="3" t="s">
        <v>683</v>
      </c>
      <c r="E352" s="3" t="s">
        <v>117</v>
      </c>
      <c r="F352" s="3" t="s">
        <v>139</v>
      </c>
      <c r="G352" s="3" t="s">
        <v>122</v>
      </c>
      <c r="H352" s="3" t="s">
        <v>214</v>
      </c>
      <c r="I352" s="3">
        <v>3</v>
      </c>
      <c r="J352" s="11">
        <v>55</v>
      </c>
      <c r="K352" s="4">
        <v>0</v>
      </c>
      <c r="L352" s="3" t="s">
        <v>95</v>
      </c>
      <c r="M352" s="3">
        <v>18</v>
      </c>
      <c r="N352" s="3">
        <v>14</v>
      </c>
      <c r="O352" s="3">
        <v>5</v>
      </c>
      <c r="P352" s="11">
        <f>Clean_Data[[#This Row],[Quantity]]*Clean_Data[[#This Row],[UnitPrice]]</f>
        <v>165</v>
      </c>
      <c r="Q352" s="11">
        <f>ROUND(Clean_Data[[#This Row],[GrossSales]]*Clean_Data[[#This Row],[DiscountPct]],2)</f>
        <v>0</v>
      </c>
      <c r="R352" s="11">
        <f>IF(Clean_Data[[#This Row],[Status]]="Delivered",ROUND(Clean_Data[[#This Row],[GrossSales]]-Clean_Data[[#This Row],[DiscountAmount]],2),0)</f>
        <v>165</v>
      </c>
      <c r="S352" s="3" t="str">
        <f>IF(Clean_Data[[#This Row],[OrderHour]]&lt;6,"Night",IF(Clean_Data[[#This Row],[OrderHour]]&lt;12,"Morning",IF(Clean_Data[[#This Row],[OrderHour]]&lt;18,"Afternoon","Evening")))</f>
        <v>Afternoon</v>
      </c>
      <c r="T352" s="3" t="str">
        <f>TEXT(Clean_Data[[#This Row],[OrderDate]],"[$-409]ddd")</f>
        <v>Sat</v>
      </c>
      <c r="U352" s="3">
        <f>WEEKDAY(Clean_Data[[#This Row],[OrderDate]],2)</f>
        <v>6</v>
      </c>
      <c r="V352" s="3">
        <f>INT(Clean_Data[[#This Row],[OrderHour]]/6)+1</f>
        <v>3</v>
      </c>
      <c r="W352" s="3">
        <f>IF(Clean_Data[[#This Row],[Status]]="Delivered",1,0)</f>
        <v>1</v>
      </c>
      <c r="X352" s="3">
        <f>IF(Clean_Data[[#This Row],[Status]]="Delivered",IF(Clean_Data[[#This Row],[DeliveryMinutes]]&lt;=Dashboard!$X$5,1,0),0)</f>
        <v>1</v>
      </c>
      <c r="Y3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2" s="3">
        <f>IF(AND(Clean_Data[[#This Row],[Include]]=1,Clean_Data[[#This Row],[DeliveredFlag]]=1),1,0)</f>
        <v>1</v>
      </c>
      <c r="AA352" s="1">
        <f>IF(COUNTIF($D$2:D352,D352)=1,ROW()-1,ROWS(Clean_Data[OrderID])+1)</f>
        <v>351</v>
      </c>
      <c r="AB352" s="1">
        <f>IF(COUNTIF($F$2:F352,F352)=1,ROW()-1,ROWS(Clean_Data[OrderID])+1)</f>
        <v>901</v>
      </c>
      <c r="AC352" s="1">
        <f>IF(COUNTIF($G$2:G352,G352)=1,ROW()-1,ROWS(Clean_Data[OrderID])+1)</f>
        <v>901</v>
      </c>
      <c r="AD352" s="1">
        <f>IF(COUNTIF($H$2:H352,H352)=1,ROW()-1,ROWS(Clean_Data[OrderID])+1)</f>
        <v>901</v>
      </c>
      <c r="AE352" s="1">
        <f>IF(COUNTIF($V$2:V352,V352)=1,V352,ROWS(Clean_Data[OrderID])+1)</f>
        <v>901</v>
      </c>
      <c r="AF352" s="1">
        <f>IF(COUNTIF($U$2:U352,U352)=1,U352,ROWS(Clean_Data[OrderID])+1)</f>
        <v>901</v>
      </c>
      <c r="AG352" s="1">
        <f>IF(COUNTIF($E$2:E352,E352)=1,ROW()-1,ROWS(Clean_Data[OrderID])+1)</f>
        <v>901</v>
      </c>
    </row>
    <row r="353" spans="1:33" ht="20" customHeight="1">
      <c r="A353" s="3" t="s">
        <v>684</v>
      </c>
      <c r="B353" s="2">
        <v>46277</v>
      </c>
      <c r="C353" s="3">
        <v>17</v>
      </c>
      <c r="D353" s="3" t="s">
        <v>388</v>
      </c>
      <c r="E353" s="3" t="s">
        <v>91</v>
      </c>
      <c r="F353" s="3" t="s">
        <v>92</v>
      </c>
      <c r="G353" s="3" t="s">
        <v>93</v>
      </c>
      <c r="H353" s="3" t="s">
        <v>146</v>
      </c>
      <c r="I353" s="3">
        <v>3</v>
      </c>
      <c r="J353" s="11">
        <v>110</v>
      </c>
      <c r="K353" s="4">
        <v>0</v>
      </c>
      <c r="L353" s="3" t="s">
        <v>95</v>
      </c>
      <c r="M353" s="3">
        <v>35</v>
      </c>
      <c r="N353" s="3">
        <v>11</v>
      </c>
      <c r="O353" s="3">
        <v>5</v>
      </c>
      <c r="P353" s="11">
        <f>Clean_Data[[#This Row],[Quantity]]*Clean_Data[[#This Row],[UnitPrice]]</f>
        <v>330</v>
      </c>
      <c r="Q353" s="11">
        <f>ROUND(Clean_Data[[#This Row],[GrossSales]]*Clean_Data[[#This Row],[DiscountPct]],2)</f>
        <v>0</v>
      </c>
      <c r="R353" s="11">
        <f>IF(Clean_Data[[#This Row],[Status]]="Delivered",ROUND(Clean_Data[[#This Row],[GrossSales]]-Clean_Data[[#This Row],[DiscountAmount]],2),0)</f>
        <v>330</v>
      </c>
      <c r="S353" s="3" t="str">
        <f>IF(Clean_Data[[#This Row],[OrderHour]]&lt;6,"Night",IF(Clean_Data[[#This Row],[OrderHour]]&lt;12,"Morning",IF(Clean_Data[[#This Row],[OrderHour]]&lt;18,"Afternoon","Evening")))</f>
        <v>Afternoon</v>
      </c>
      <c r="T353" s="3" t="str">
        <f>TEXT(Clean_Data[[#This Row],[OrderDate]],"[$-409]ddd")</f>
        <v>Sat</v>
      </c>
      <c r="U353" s="3">
        <f>WEEKDAY(Clean_Data[[#This Row],[OrderDate]],2)</f>
        <v>6</v>
      </c>
      <c r="V353" s="3">
        <f>INT(Clean_Data[[#This Row],[OrderHour]]/6)+1</f>
        <v>3</v>
      </c>
      <c r="W353" s="3">
        <f>IF(Clean_Data[[#This Row],[Status]]="Delivered",1,0)</f>
        <v>1</v>
      </c>
      <c r="X353" s="3">
        <f>IF(Clean_Data[[#This Row],[Status]]="Delivered",IF(Clean_Data[[#This Row],[DeliveryMinutes]]&lt;=Dashboard!$X$5,1,0),0)</f>
        <v>0</v>
      </c>
      <c r="Y3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3" s="3">
        <f>IF(AND(Clean_Data[[#This Row],[Include]]=1,Clean_Data[[#This Row],[DeliveredFlag]]=1),1,0)</f>
        <v>1</v>
      </c>
      <c r="AA353" s="1">
        <f>IF(COUNTIF($D$2:D353,D353)=1,ROW()-1,ROWS(Clean_Data[OrderID])+1)</f>
        <v>901</v>
      </c>
      <c r="AB353" s="1">
        <f>IF(COUNTIF($F$2:F353,F353)=1,ROW()-1,ROWS(Clean_Data[OrderID])+1)</f>
        <v>901</v>
      </c>
      <c r="AC353" s="1">
        <f>IF(COUNTIF($G$2:G353,G353)=1,ROW()-1,ROWS(Clean_Data[OrderID])+1)</f>
        <v>901</v>
      </c>
      <c r="AD353" s="1">
        <f>IF(COUNTIF($H$2:H353,H353)=1,ROW()-1,ROWS(Clean_Data[OrderID])+1)</f>
        <v>901</v>
      </c>
      <c r="AE353" s="1">
        <f>IF(COUNTIF($V$2:V353,V353)=1,V353,ROWS(Clean_Data[OrderID])+1)</f>
        <v>901</v>
      </c>
      <c r="AF353" s="1">
        <f>IF(COUNTIF($U$2:U353,U353)=1,U353,ROWS(Clean_Data[OrderID])+1)</f>
        <v>901</v>
      </c>
      <c r="AG353" s="1">
        <f>IF(COUNTIF($E$2:E353,E353)=1,ROW()-1,ROWS(Clean_Data[OrderID])+1)</f>
        <v>901</v>
      </c>
    </row>
    <row r="354" spans="1:33" ht="20" customHeight="1">
      <c r="A354" s="3" t="s">
        <v>685</v>
      </c>
      <c r="B354" s="2">
        <v>46277</v>
      </c>
      <c r="C354" s="3">
        <v>12</v>
      </c>
      <c r="D354" s="3" t="s">
        <v>508</v>
      </c>
      <c r="E354" s="3" t="s">
        <v>117</v>
      </c>
      <c r="F354" s="3" t="s">
        <v>121</v>
      </c>
      <c r="G354" s="3" t="s">
        <v>122</v>
      </c>
      <c r="H354" s="3" t="s">
        <v>123</v>
      </c>
      <c r="I354" s="3">
        <v>1</v>
      </c>
      <c r="J354" s="11">
        <v>45</v>
      </c>
      <c r="K354" s="4">
        <v>0.05</v>
      </c>
      <c r="L354" s="3" t="s">
        <v>95</v>
      </c>
      <c r="M354" s="3">
        <v>32</v>
      </c>
      <c r="N354" s="3">
        <v>14</v>
      </c>
      <c r="O354" s="3">
        <v>4</v>
      </c>
      <c r="P354" s="11">
        <f>Clean_Data[[#This Row],[Quantity]]*Clean_Data[[#This Row],[UnitPrice]]</f>
        <v>45</v>
      </c>
      <c r="Q354" s="11">
        <f>ROUND(Clean_Data[[#This Row],[GrossSales]]*Clean_Data[[#This Row],[DiscountPct]],2)</f>
        <v>2.25</v>
      </c>
      <c r="R354" s="11">
        <f>IF(Clean_Data[[#This Row],[Status]]="Delivered",ROUND(Clean_Data[[#This Row],[GrossSales]]-Clean_Data[[#This Row],[DiscountAmount]],2),0)</f>
        <v>42.75</v>
      </c>
      <c r="S354" s="3" t="str">
        <f>IF(Clean_Data[[#This Row],[OrderHour]]&lt;6,"Night",IF(Clean_Data[[#This Row],[OrderHour]]&lt;12,"Morning",IF(Clean_Data[[#This Row],[OrderHour]]&lt;18,"Afternoon","Evening")))</f>
        <v>Afternoon</v>
      </c>
      <c r="T354" s="3" t="str">
        <f>TEXT(Clean_Data[[#This Row],[OrderDate]],"[$-409]ddd")</f>
        <v>Sat</v>
      </c>
      <c r="U354" s="3">
        <f>WEEKDAY(Clean_Data[[#This Row],[OrderDate]],2)</f>
        <v>6</v>
      </c>
      <c r="V354" s="3">
        <f>INT(Clean_Data[[#This Row],[OrderHour]]/6)+1</f>
        <v>3</v>
      </c>
      <c r="W354" s="3">
        <f>IF(Clean_Data[[#This Row],[Status]]="Delivered",1,0)</f>
        <v>1</v>
      </c>
      <c r="X354" s="3">
        <f>IF(Clean_Data[[#This Row],[Status]]="Delivered",IF(Clean_Data[[#This Row],[DeliveryMinutes]]&lt;=Dashboard!$X$5,1,0),0)</f>
        <v>0</v>
      </c>
      <c r="Y3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4" s="3">
        <f>IF(AND(Clean_Data[[#This Row],[Include]]=1,Clean_Data[[#This Row],[DeliveredFlag]]=1),1,0)</f>
        <v>1</v>
      </c>
      <c r="AA354" s="1">
        <f>IF(COUNTIF($D$2:D354,D354)=1,ROW()-1,ROWS(Clean_Data[OrderID])+1)</f>
        <v>901</v>
      </c>
      <c r="AB354" s="1">
        <f>IF(COUNTIF($F$2:F354,F354)=1,ROW()-1,ROWS(Clean_Data[OrderID])+1)</f>
        <v>901</v>
      </c>
      <c r="AC354" s="1">
        <f>IF(COUNTIF($G$2:G354,G354)=1,ROW()-1,ROWS(Clean_Data[OrderID])+1)</f>
        <v>901</v>
      </c>
      <c r="AD354" s="1">
        <f>IF(COUNTIF($H$2:H354,H354)=1,ROW()-1,ROWS(Clean_Data[OrderID])+1)</f>
        <v>901</v>
      </c>
      <c r="AE354" s="1">
        <f>IF(COUNTIF($V$2:V354,V354)=1,V354,ROWS(Clean_Data[OrderID])+1)</f>
        <v>901</v>
      </c>
      <c r="AF354" s="1">
        <f>IF(COUNTIF($U$2:U354,U354)=1,U354,ROWS(Clean_Data[OrderID])+1)</f>
        <v>901</v>
      </c>
      <c r="AG354" s="1">
        <f>IF(COUNTIF($E$2:E354,E354)=1,ROW()-1,ROWS(Clean_Data[OrderID])+1)</f>
        <v>901</v>
      </c>
    </row>
    <row r="355" spans="1:33" ht="20" customHeight="1">
      <c r="A355" s="3" t="s">
        <v>686</v>
      </c>
      <c r="B355" s="2">
        <v>46277</v>
      </c>
      <c r="C355" s="3">
        <v>11</v>
      </c>
      <c r="D355" s="3" t="s">
        <v>687</v>
      </c>
      <c r="E355" s="3" t="s">
        <v>91</v>
      </c>
      <c r="F355" s="3" t="s">
        <v>121</v>
      </c>
      <c r="G355" s="3" t="s">
        <v>93</v>
      </c>
      <c r="H355" s="3" t="s">
        <v>118</v>
      </c>
      <c r="I355" s="3">
        <v>3</v>
      </c>
      <c r="J355" s="11">
        <v>45</v>
      </c>
      <c r="K355" s="4">
        <v>0.15</v>
      </c>
      <c r="L355" s="3" t="s">
        <v>95</v>
      </c>
      <c r="M355" s="3">
        <v>37</v>
      </c>
      <c r="N355" s="3">
        <v>5</v>
      </c>
      <c r="O355" s="3">
        <v>5</v>
      </c>
      <c r="P355" s="11">
        <f>Clean_Data[[#This Row],[Quantity]]*Clean_Data[[#This Row],[UnitPrice]]</f>
        <v>135</v>
      </c>
      <c r="Q355" s="11">
        <f>ROUND(Clean_Data[[#This Row],[GrossSales]]*Clean_Data[[#This Row],[DiscountPct]],2)</f>
        <v>20.25</v>
      </c>
      <c r="R355" s="11">
        <f>IF(Clean_Data[[#This Row],[Status]]="Delivered",ROUND(Clean_Data[[#This Row],[GrossSales]]-Clean_Data[[#This Row],[DiscountAmount]],2),0)</f>
        <v>114.75</v>
      </c>
      <c r="S355" s="3" t="str">
        <f>IF(Clean_Data[[#This Row],[OrderHour]]&lt;6,"Night",IF(Clean_Data[[#This Row],[OrderHour]]&lt;12,"Morning",IF(Clean_Data[[#This Row],[OrderHour]]&lt;18,"Afternoon","Evening")))</f>
        <v>Morning</v>
      </c>
      <c r="T355" s="3" t="str">
        <f>TEXT(Clean_Data[[#This Row],[OrderDate]],"[$-409]ddd")</f>
        <v>Sat</v>
      </c>
      <c r="U355" s="3">
        <f>WEEKDAY(Clean_Data[[#This Row],[OrderDate]],2)</f>
        <v>6</v>
      </c>
      <c r="V355" s="3">
        <f>INT(Clean_Data[[#This Row],[OrderHour]]/6)+1</f>
        <v>2</v>
      </c>
      <c r="W355" s="3">
        <f>IF(Clean_Data[[#This Row],[Status]]="Delivered",1,0)</f>
        <v>1</v>
      </c>
      <c r="X355" s="3">
        <f>IF(Clean_Data[[#This Row],[Status]]="Delivered",IF(Clean_Data[[#This Row],[DeliveryMinutes]]&lt;=Dashboard!$X$5,1,0),0)</f>
        <v>0</v>
      </c>
      <c r="Y3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5" s="3">
        <f>IF(AND(Clean_Data[[#This Row],[Include]]=1,Clean_Data[[#This Row],[DeliveredFlag]]=1),1,0)</f>
        <v>1</v>
      </c>
      <c r="AA355" s="1">
        <f>IF(COUNTIF($D$2:D355,D355)=1,ROW()-1,ROWS(Clean_Data[OrderID])+1)</f>
        <v>354</v>
      </c>
      <c r="AB355" s="1">
        <f>IF(COUNTIF($F$2:F355,F355)=1,ROW()-1,ROWS(Clean_Data[OrderID])+1)</f>
        <v>901</v>
      </c>
      <c r="AC355" s="1">
        <f>IF(COUNTIF($G$2:G355,G355)=1,ROW()-1,ROWS(Clean_Data[OrderID])+1)</f>
        <v>901</v>
      </c>
      <c r="AD355" s="1">
        <f>IF(COUNTIF($H$2:H355,H355)=1,ROW()-1,ROWS(Clean_Data[OrderID])+1)</f>
        <v>901</v>
      </c>
      <c r="AE355" s="1">
        <f>IF(COUNTIF($V$2:V355,V355)=1,V355,ROWS(Clean_Data[OrderID])+1)</f>
        <v>901</v>
      </c>
      <c r="AF355" s="1">
        <f>IF(COUNTIF($U$2:U355,U355)=1,U355,ROWS(Clean_Data[OrderID])+1)</f>
        <v>901</v>
      </c>
      <c r="AG355" s="1">
        <f>IF(COUNTIF($E$2:E355,E355)=1,ROW()-1,ROWS(Clean_Data[OrderID])+1)</f>
        <v>901</v>
      </c>
    </row>
    <row r="356" spans="1:33" ht="20" customHeight="1">
      <c r="A356" s="3" t="s">
        <v>688</v>
      </c>
      <c r="B356" s="2">
        <v>46277</v>
      </c>
      <c r="C356" s="3">
        <v>22</v>
      </c>
      <c r="D356" s="3" t="s">
        <v>689</v>
      </c>
      <c r="E356" s="3" t="s">
        <v>91</v>
      </c>
      <c r="F356" s="3" t="s">
        <v>109</v>
      </c>
      <c r="G356" s="3" t="s">
        <v>135</v>
      </c>
      <c r="H356" s="3" t="s">
        <v>162</v>
      </c>
      <c r="I356" s="3">
        <v>3</v>
      </c>
      <c r="J356" s="11">
        <v>180</v>
      </c>
      <c r="K356" s="4">
        <v>0</v>
      </c>
      <c r="L356" s="3" t="s">
        <v>95</v>
      </c>
      <c r="M356" s="3">
        <v>31</v>
      </c>
      <c r="N356" s="3">
        <v>8</v>
      </c>
      <c r="O356" s="3">
        <v>5</v>
      </c>
      <c r="P356" s="11">
        <f>Clean_Data[[#This Row],[Quantity]]*Clean_Data[[#This Row],[UnitPrice]]</f>
        <v>540</v>
      </c>
      <c r="Q356" s="11">
        <f>ROUND(Clean_Data[[#This Row],[GrossSales]]*Clean_Data[[#This Row],[DiscountPct]],2)</f>
        <v>0</v>
      </c>
      <c r="R356" s="11">
        <f>IF(Clean_Data[[#This Row],[Status]]="Delivered",ROUND(Clean_Data[[#This Row],[GrossSales]]-Clean_Data[[#This Row],[DiscountAmount]],2),0)</f>
        <v>540</v>
      </c>
      <c r="S356" s="3" t="str">
        <f>IF(Clean_Data[[#This Row],[OrderHour]]&lt;6,"Night",IF(Clean_Data[[#This Row],[OrderHour]]&lt;12,"Morning",IF(Clean_Data[[#This Row],[OrderHour]]&lt;18,"Afternoon","Evening")))</f>
        <v>Evening</v>
      </c>
      <c r="T356" s="3" t="str">
        <f>TEXT(Clean_Data[[#This Row],[OrderDate]],"[$-409]ddd")</f>
        <v>Sat</v>
      </c>
      <c r="U356" s="3">
        <f>WEEKDAY(Clean_Data[[#This Row],[OrderDate]],2)</f>
        <v>6</v>
      </c>
      <c r="V356" s="3">
        <f>INT(Clean_Data[[#This Row],[OrderHour]]/6)+1</f>
        <v>4</v>
      </c>
      <c r="W356" s="3">
        <f>IF(Clean_Data[[#This Row],[Status]]="Delivered",1,0)</f>
        <v>1</v>
      </c>
      <c r="X356" s="3">
        <f>IF(Clean_Data[[#This Row],[Status]]="Delivered",IF(Clean_Data[[#This Row],[DeliveryMinutes]]&lt;=Dashboard!$X$5,1,0),0)</f>
        <v>0</v>
      </c>
      <c r="Y3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6" s="3">
        <f>IF(AND(Clean_Data[[#This Row],[Include]]=1,Clean_Data[[#This Row],[DeliveredFlag]]=1),1,0)</f>
        <v>1</v>
      </c>
      <c r="AA356" s="1">
        <f>IF(COUNTIF($D$2:D356,D356)=1,ROW()-1,ROWS(Clean_Data[OrderID])+1)</f>
        <v>355</v>
      </c>
      <c r="AB356" s="1">
        <f>IF(COUNTIF($F$2:F356,F356)=1,ROW()-1,ROWS(Clean_Data[OrderID])+1)</f>
        <v>901</v>
      </c>
      <c r="AC356" s="1">
        <f>IF(COUNTIF($G$2:G356,G356)=1,ROW()-1,ROWS(Clean_Data[OrderID])+1)</f>
        <v>901</v>
      </c>
      <c r="AD356" s="1">
        <f>IF(COUNTIF($H$2:H356,H356)=1,ROW()-1,ROWS(Clean_Data[OrderID])+1)</f>
        <v>901</v>
      </c>
      <c r="AE356" s="1">
        <f>IF(COUNTIF($V$2:V356,V356)=1,V356,ROWS(Clean_Data[OrderID])+1)</f>
        <v>901</v>
      </c>
      <c r="AF356" s="1">
        <f>IF(COUNTIF($U$2:U356,U356)=1,U356,ROWS(Clean_Data[OrderID])+1)</f>
        <v>901</v>
      </c>
      <c r="AG356" s="1">
        <f>IF(COUNTIF($E$2:E356,E356)=1,ROW()-1,ROWS(Clean_Data[OrderID])+1)</f>
        <v>901</v>
      </c>
    </row>
    <row r="357" spans="1:33" ht="20" customHeight="1">
      <c r="A357" s="3" t="s">
        <v>690</v>
      </c>
      <c r="B357" s="2">
        <v>46277</v>
      </c>
      <c r="C357" s="3">
        <v>18</v>
      </c>
      <c r="D357" s="3" t="s">
        <v>589</v>
      </c>
      <c r="E357" s="3" t="s">
        <v>91</v>
      </c>
      <c r="F357" s="3" t="s">
        <v>139</v>
      </c>
      <c r="G357" s="3" t="s">
        <v>110</v>
      </c>
      <c r="H357" s="3" t="s">
        <v>206</v>
      </c>
      <c r="I357" s="3">
        <v>3</v>
      </c>
      <c r="J357" s="11">
        <v>220</v>
      </c>
      <c r="K357" s="4">
        <v>0</v>
      </c>
      <c r="L357" s="3" t="s">
        <v>95</v>
      </c>
      <c r="M357" s="3">
        <v>23</v>
      </c>
      <c r="N357" s="3">
        <v>7</v>
      </c>
      <c r="O357" s="3">
        <v>5</v>
      </c>
      <c r="P357" s="11">
        <f>Clean_Data[[#This Row],[Quantity]]*Clean_Data[[#This Row],[UnitPrice]]</f>
        <v>660</v>
      </c>
      <c r="Q357" s="11">
        <f>ROUND(Clean_Data[[#This Row],[GrossSales]]*Clean_Data[[#This Row],[DiscountPct]],2)</f>
        <v>0</v>
      </c>
      <c r="R357" s="11">
        <f>IF(Clean_Data[[#This Row],[Status]]="Delivered",ROUND(Clean_Data[[#This Row],[GrossSales]]-Clean_Data[[#This Row],[DiscountAmount]],2),0)</f>
        <v>660</v>
      </c>
      <c r="S357" s="3" t="str">
        <f>IF(Clean_Data[[#This Row],[OrderHour]]&lt;6,"Night",IF(Clean_Data[[#This Row],[OrderHour]]&lt;12,"Morning",IF(Clean_Data[[#This Row],[OrderHour]]&lt;18,"Afternoon","Evening")))</f>
        <v>Evening</v>
      </c>
      <c r="T357" s="3" t="str">
        <f>TEXT(Clean_Data[[#This Row],[OrderDate]],"[$-409]ddd")</f>
        <v>Sat</v>
      </c>
      <c r="U357" s="3">
        <f>WEEKDAY(Clean_Data[[#This Row],[OrderDate]],2)</f>
        <v>6</v>
      </c>
      <c r="V357" s="3">
        <f>INT(Clean_Data[[#This Row],[OrderHour]]/6)+1</f>
        <v>4</v>
      </c>
      <c r="W357" s="3">
        <f>IF(Clean_Data[[#This Row],[Status]]="Delivered",1,0)</f>
        <v>1</v>
      </c>
      <c r="X357" s="3">
        <f>IF(Clean_Data[[#This Row],[Status]]="Delivered",IF(Clean_Data[[#This Row],[DeliveryMinutes]]&lt;=Dashboard!$X$5,1,0),0)</f>
        <v>1</v>
      </c>
      <c r="Y3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7" s="3">
        <f>IF(AND(Clean_Data[[#This Row],[Include]]=1,Clean_Data[[#This Row],[DeliveredFlag]]=1),1,0)</f>
        <v>1</v>
      </c>
      <c r="AA357" s="1">
        <f>IF(COUNTIF($D$2:D357,D357)=1,ROW()-1,ROWS(Clean_Data[OrderID])+1)</f>
        <v>901</v>
      </c>
      <c r="AB357" s="1">
        <f>IF(COUNTIF($F$2:F357,F357)=1,ROW()-1,ROWS(Clean_Data[OrderID])+1)</f>
        <v>901</v>
      </c>
      <c r="AC357" s="1">
        <f>IF(COUNTIF($G$2:G357,G357)=1,ROW()-1,ROWS(Clean_Data[OrderID])+1)</f>
        <v>901</v>
      </c>
      <c r="AD357" s="1">
        <f>IF(COUNTIF($H$2:H357,H357)=1,ROW()-1,ROWS(Clean_Data[OrderID])+1)</f>
        <v>901</v>
      </c>
      <c r="AE357" s="1">
        <f>IF(COUNTIF($V$2:V357,V357)=1,V357,ROWS(Clean_Data[OrderID])+1)</f>
        <v>901</v>
      </c>
      <c r="AF357" s="1">
        <f>IF(COUNTIF($U$2:U357,U357)=1,U357,ROWS(Clean_Data[OrderID])+1)</f>
        <v>901</v>
      </c>
      <c r="AG357" s="1">
        <f>IF(COUNTIF($E$2:E357,E357)=1,ROW()-1,ROWS(Clean_Data[OrderID])+1)</f>
        <v>901</v>
      </c>
    </row>
    <row r="358" spans="1:33" ht="20" customHeight="1">
      <c r="A358" s="3" t="s">
        <v>691</v>
      </c>
      <c r="B358" s="2">
        <v>46277</v>
      </c>
      <c r="C358" s="3">
        <v>17</v>
      </c>
      <c r="D358" s="3" t="s">
        <v>624</v>
      </c>
      <c r="E358" s="3" t="s">
        <v>91</v>
      </c>
      <c r="F358" s="3" t="s">
        <v>98</v>
      </c>
      <c r="G358" s="3" t="s">
        <v>135</v>
      </c>
      <c r="H358" s="3" t="s">
        <v>136</v>
      </c>
      <c r="I358" s="3">
        <v>2</v>
      </c>
      <c r="J358" s="11">
        <v>40</v>
      </c>
      <c r="K358" s="4">
        <v>0.15</v>
      </c>
      <c r="L358" s="3" t="s">
        <v>95</v>
      </c>
      <c r="M358" s="3">
        <v>25</v>
      </c>
      <c r="N358" s="3">
        <v>6</v>
      </c>
      <c r="O358" s="3">
        <v>5</v>
      </c>
      <c r="P358" s="11">
        <f>Clean_Data[[#This Row],[Quantity]]*Clean_Data[[#This Row],[UnitPrice]]</f>
        <v>80</v>
      </c>
      <c r="Q358" s="11">
        <f>ROUND(Clean_Data[[#This Row],[GrossSales]]*Clean_Data[[#This Row],[DiscountPct]],2)</f>
        <v>12</v>
      </c>
      <c r="R358" s="11">
        <f>IF(Clean_Data[[#This Row],[Status]]="Delivered",ROUND(Clean_Data[[#This Row],[GrossSales]]-Clean_Data[[#This Row],[DiscountAmount]],2),0)</f>
        <v>68</v>
      </c>
      <c r="S358" s="3" t="str">
        <f>IF(Clean_Data[[#This Row],[OrderHour]]&lt;6,"Night",IF(Clean_Data[[#This Row],[OrderHour]]&lt;12,"Morning",IF(Clean_Data[[#This Row],[OrderHour]]&lt;18,"Afternoon","Evening")))</f>
        <v>Afternoon</v>
      </c>
      <c r="T358" s="3" t="str">
        <f>TEXT(Clean_Data[[#This Row],[OrderDate]],"[$-409]ddd")</f>
        <v>Sat</v>
      </c>
      <c r="U358" s="3">
        <f>WEEKDAY(Clean_Data[[#This Row],[OrderDate]],2)</f>
        <v>6</v>
      </c>
      <c r="V358" s="3">
        <f>INT(Clean_Data[[#This Row],[OrderHour]]/6)+1</f>
        <v>3</v>
      </c>
      <c r="W358" s="3">
        <f>IF(Clean_Data[[#This Row],[Status]]="Delivered",1,0)</f>
        <v>1</v>
      </c>
      <c r="X358" s="3">
        <f>IF(Clean_Data[[#This Row],[Status]]="Delivered",IF(Clean_Data[[#This Row],[DeliveryMinutes]]&lt;=Dashboard!$X$5,1,0),0)</f>
        <v>1</v>
      </c>
      <c r="Y3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8" s="3">
        <f>IF(AND(Clean_Data[[#This Row],[Include]]=1,Clean_Data[[#This Row],[DeliveredFlag]]=1),1,0)</f>
        <v>1</v>
      </c>
      <c r="AA358" s="1">
        <f>IF(COUNTIF($D$2:D358,D358)=1,ROW()-1,ROWS(Clean_Data[OrderID])+1)</f>
        <v>901</v>
      </c>
      <c r="AB358" s="1">
        <f>IF(COUNTIF($F$2:F358,F358)=1,ROW()-1,ROWS(Clean_Data[OrderID])+1)</f>
        <v>901</v>
      </c>
      <c r="AC358" s="1">
        <f>IF(COUNTIF($G$2:G358,G358)=1,ROW()-1,ROWS(Clean_Data[OrderID])+1)</f>
        <v>901</v>
      </c>
      <c r="AD358" s="1">
        <f>IF(COUNTIF($H$2:H358,H358)=1,ROW()-1,ROWS(Clean_Data[OrderID])+1)</f>
        <v>901</v>
      </c>
      <c r="AE358" s="1">
        <f>IF(COUNTIF($V$2:V358,V358)=1,V358,ROWS(Clean_Data[OrderID])+1)</f>
        <v>901</v>
      </c>
      <c r="AF358" s="1">
        <f>IF(COUNTIF($U$2:U358,U358)=1,U358,ROWS(Clean_Data[OrderID])+1)</f>
        <v>901</v>
      </c>
      <c r="AG358" s="1">
        <f>IF(COUNTIF($E$2:E358,E358)=1,ROW()-1,ROWS(Clean_Data[OrderID])+1)</f>
        <v>901</v>
      </c>
    </row>
    <row r="359" spans="1:33" ht="20" customHeight="1">
      <c r="A359" s="3" t="s">
        <v>692</v>
      </c>
      <c r="B359" s="2">
        <v>46277</v>
      </c>
      <c r="C359" s="3">
        <v>18</v>
      </c>
      <c r="D359" s="3" t="s">
        <v>693</v>
      </c>
      <c r="E359" s="3" t="s">
        <v>91</v>
      </c>
      <c r="F359" s="3" t="s">
        <v>139</v>
      </c>
      <c r="G359" s="3" t="s">
        <v>93</v>
      </c>
      <c r="H359" s="3" t="s">
        <v>146</v>
      </c>
      <c r="I359" s="3">
        <v>2</v>
      </c>
      <c r="J359" s="11">
        <v>110</v>
      </c>
      <c r="K359" s="4">
        <v>0.15</v>
      </c>
      <c r="L359" s="3" t="s">
        <v>95</v>
      </c>
      <c r="M359" s="3">
        <v>16</v>
      </c>
      <c r="N359" s="3">
        <v>11</v>
      </c>
      <c r="O359" s="3">
        <v>3</v>
      </c>
      <c r="P359" s="11">
        <f>Clean_Data[[#This Row],[Quantity]]*Clean_Data[[#This Row],[UnitPrice]]</f>
        <v>220</v>
      </c>
      <c r="Q359" s="11">
        <f>ROUND(Clean_Data[[#This Row],[GrossSales]]*Clean_Data[[#This Row],[DiscountPct]],2)</f>
        <v>33</v>
      </c>
      <c r="R359" s="11">
        <f>IF(Clean_Data[[#This Row],[Status]]="Delivered",ROUND(Clean_Data[[#This Row],[GrossSales]]-Clean_Data[[#This Row],[DiscountAmount]],2),0)</f>
        <v>187</v>
      </c>
      <c r="S359" s="3" t="str">
        <f>IF(Clean_Data[[#This Row],[OrderHour]]&lt;6,"Night",IF(Clean_Data[[#This Row],[OrderHour]]&lt;12,"Morning",IF(Clean_Data[[#This Row],[OrderHour]]&lt;18,"Afternoon","Evening")))</f>
        <v>Evening</v>
      </c>
      <c r="T359" s="3" t="str">
        <f>TEXT(Clean_Data[[#This Row],[OrderDate]],"[$-409]ddd")</f>
        <v>Sat</v>
      </c>
      <c r="U359" s="3">
        <f>WEEKDAY(Clean_Data[[#This Row],[OrderDate]],2)</f>
        <v>6</v>
      </c>
      <c r="V359" s="3">
        <f>INT(Clean_Data[[#This Row],[OrderHour]]/6)+1</f>
        <v>4</v>
      </c>
      <c r="W359" s="3">
        <f>IF(Clean_Data[[#This Row],[Status]]="Delivered",1,0)</f>
        <v>1</v>
      </c>
      <c r="X359" s="3">
        <f>IF(Clean_Data[[#This Row],[Status]]="Delivered",IF(Clean_Data[[#This Row],[DeliveryMinutes]]&lt;=Dashboard!$X$5,1,0),0)</f>
        <v>1</v>
      </c>
      <c r="Y3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59" s="3">
        <f>IF(AND(Clean_Data[[#This Row],[Include]]=1,Clean_Data[[#This Row],[DeliveredFlag]]=1),1,0)</f>
        <v>1</v>
      </c>
      <c r="AA359" s="1">
        <f>IF(COUNTIF($D$2:D359,D359)=1,ROW()-1,ROWS(Clean_Data[OrderID])+1)</f>
        <v>358</v>
      </c>
      <c r="AB359" s="1">
        <f>IF(COUNTIF($F$2:F359,F359)=1,ROW()-1,ROWS(Clean_Data[OrderID])+1)</f>
        <v>901</v>
      </c>
      <c r="AC359" s="1">
        <f>IF(COUNTIF($G$2:G359,G359)=1,ROW()-1,ROWS(Clean_Data[OrderID])+1)</f>
        <v>901</v>
      </c>
      <c r="AD359" s="1">
        <f>IF(COUNTIF($H$2:H359,H359)=1,ROW()-1,ROWS(Clean_Data[OrderID])+1)</f>
        <v>901</v>
      </c>
      <c r="AE359" s="1">
        <f>IF(COUNTIF($V$2:V359,V359)=1,V359,ROWS(Clean_Data[OrderID])+1)</f>
        <v>901</v>
      </c>
      <c r="AF359" s="1">
        <f>IF(COUNTIF($U$2:U359,U359)=1,U359,ROWS(Clean_Data[OrderID])+1)</f>
        <v>901</v>
      </c>
      <c r="AG359" s="1">
        <f>IF(COUNTIF($E$2:E359,E359)=1,ROW()-1,ROWS(Clean_Data[OrderID])+1)</f>
        <v>901</v>
      </c>
    </row>
    <row r="360" spans="1:33" ht="20" customHeight="1">
      <c r="A360" s="3" t="s">
        <v>694</v>
      </c>
      <c r="B360" s="2">
        <v>46277</v>
      </c>
      <c r="C360" s="3">
        <v>12</v>
      </c>
      <c r="D360" s="3" t="s">
        <v>695</v>
      </c>
      <c r="E360" s="3" t="s">
        <v>117</v>
      </c>
      <c r="F360" s="3" t="s">
        <v>109</v>
      </c>
      <c r="G360" s="3" t="s">
        <v>110</v>
      </c>
      <c r="H360" s="3" t="s">
        <v>114</v>
      </c>
      <c r="I360" s="3">
        <v>6</v>
      </c>
      <c r="J360" s="11">
        <v>145</v>
      </c>
      <c r="K360" s="4">
        <v>0.05</v>
      </c>
      <c r="L360" s="3" t="s">
        <v>95</v>
      </c>
      <c r="M360" s="3">
        <v>35</v>
      </c>
      <c r="N360" s="3">
        <v>10</v>
      </c>
      <c r="O360" s="3">
        <v>4</v>
      </c>
      <c r="P360" s="11">
        <f>Clean_Data[[#This Row],[Quantity]]*Clean_Data[[#This Row],[UnitPrice]]</f>
        <v>870</v>
      </c>
      <c r="Q360" s="11">
        <f>ROUND(Clean_Data[[#This Row],[GrossSales]]*Clean_Data[[#This Row],[DiscountPct]],2)</f>
        <v>43.5</v>
      </c>
      <c r="R360" s="11">
        <f>IF(Clean_Data[[#This Row],[Status]]="Delivered",ROUND(Clean_Data[[#This Row],[GrossSales]]-Clean_Data[[#This Row],[DiscountAmount]],2),0)</f>
        <v>826.5</v>
      </c>
      <c r="S360" s="3" t="str">
        <f>IF(Clean_Data[[#This Row],[OrderHour]]&lt;6,"Night",IF(Clean_Data[[#This Row],[OrderHour]]&lt;12,"Morning",IF(Clean_Data[[#This Row],[OrderHour]]&lt;18,"Afternoon","Evening")))</f>
        <v>Afternoon</v>
      </c>
      <c r="T360" s="3" t="str">
        <f>TEXT(Clean_Data[[#This Row],[OrderDate]],"[$-409]ddd")</f>
        <v>Sat</v>
      </c>
      <c r="U360" s="3">
        <f>WEEKDAY(Clean_Data[[#This Row],[OrderDate]],2)</f>
        <v>6</v>
      </c>
      <c r="V360" s="3">
        <f>INT(Clean_Data[[#This Row],[OrderHour]]/6)+1</f>
        <v>3</v>
      </c>
      <c r="W360" s="3">
        <f>IF(Clean_Data[[#This Row],[Status]]="Delivered",1,0)</f>
        <v>1</v>
      </c>
      <c r="X360" s="3">
        <f>IF(Clean_Data[[#This Row],[Status]]="Delivered",IF(Clean_Data[[#This Row],[DeliveryMinutes]]&lt;=Dashboard!$X$5,1,0),0)</f>
        <v>0</v>
      </c>
      <c r="Y3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0" s="3">
        <f>IF(AND(Clean_Data[[#This Row],[Include]]=1,Clean_Data[[#This Row],[DeliveredFlag]]=1),1,0)</f>
        <v>1</v>
      </c>
      <c r="AA360" s="1">
        <f>IF(COUNTIF($D$2:D360,D360)=1,ROW()-1,ROWS(Clean_Data[OrderID])+1)</f>
        <v>359</v>
      </c>
      <c r="AB360" s="1">
        <f>IF(COUNTIF($F$2:F360,F360)=1,ROW()-1,ROWS(Clean_Data[OrderID])+1)</f>
        <v>901</v>
      </c>
      <c r="AC360" s="1">
        <f>IF(COUNTIF($G$2:G360,G360)=1,ROW()-1,ROWS(Clean_Data[OrderID])+1)</f>
        <v>901</v>
      </c>
      <c r="AD360" s="1">
        <f>IF(COUNTIF($H$2:H360,H360)=1,ROW()-1,ROWS(Clean_Data[OrderID])+1)</f>
        <v>901</v>
      </c>
      <c r="AE360" s="1">
        <f>IF(COUNTIF($V$2:V360,V360)=1,V360,ROWS(Clean_Data[OrderID])+1)</f>
        <v>901</v>
      </c>
      <c r="AF360" s="1">
        <f>IF(COUNTIF($U$2:U360,U360)=1,U360,ROWS(Clean_Data[OrderID])+1)</f>
        <v>901</v>
      </c>
      <c r="AG360" s="1">
        <f>IF(COUNTIF($E$2:E360,E360)=1,ROW()-1,ROWS(Clean_Data[OrderID])+1)</f>
        <v>901</v>
      </c>
    </row>
    <row r="361" spans="1:33" ht="20" customHeight="1">
      <c r="A361" s="3" t="s">
        <v>696</v>
      </c>
      <c r="B361" s="2">
        <v>46277</v>
      </c>
      <c r="C361" s="3">
        <v>12</v>
      </c>
      <c r="D361" s="3" t="s">
        <v>259</v>
      </c>
      <c r="E361" s="3" t="s">
        <v>91</v>
      </c>
      <c r="F361" s="3" t="s">
        <v>98</v>
      </c>
      <c r="G361" s="3" t="s">
        <v>122</v>
      </c>
      <c r="H361" s="3" t="s">
        <v>153</v>
      </c>
      <c r="I361" s="3">
        <v>4</v>
      </c>
      <c r="J361" s="11">
        <v>130</v>
      </c>
      <c r="K361" s="4">
        <v>0</v>
      </c>
      <c r="L361" s="3" t="s">
        <v>95</v>
      </c>
      <c r="M361" s="3">
        <v>19</v>
      </c>
      <c r="N361" s="3">
        <v>9</v>
      </c>
      <c r="O361" s="3">
        <v>5</v>
      </c>
      <c r="P361" s="11">
        <f>Clean_Data[[#This Row],[Quantity]]*Clean_Data[[#This Row],[UnitPrice]]</f>
        <v>520</v>
      </c>
      <c r="Q361" s="11">
        <f>ROUND(Clean_Data[[#This Row],[GrossSales]]*Clean_Data[[#This Row],[DiscountPct]],2)</f>
        <v>0</v>
      </c>
      <c r="R361" s="11">
        <f>IF(Clean_Data[[#This Row],[Status]]="Delivered",ROUND(Clean_Data[[#This Row],[GrossSales]]-Clean_Data[[#This Row],[DiscountAmount]],2),0)</f>
        <v>520</v>
      </c>
      <c r="S361" s="3" t="str">
        <f>IF(Clean_Data[[#This Row],[OrderHour]]&lt;6,"Night",IF(Clean_Data[[#This Row],[OrderHour]]&lt;12,"Morning",IF(Clean_Data[[#This Row],[OrderHour]]&lt;18,"Afternoon","Evening")))</f>
        <v>Afternoon</v>
      </c>
      <c r="T361" s="3" t="str">
        <f>TEXT(Clean_Data[[#This Row],[OrderDate]],"[$-409]ddd")</f>
        <v>Sat</v>
      </c>
      <c r="U361" s="3">
        <f>WEEKDAY(Clean_Data[[#This Row],[OrderDate]],2)</f>
        <v>6</v>
      </c>
      <c r="V361" s="3">
        <f>INT(Clean_Data[[#This Row],[OrderHour]]/6)+1</f>
        <v>3</v>
      </c>
      <c r="W361" s="3">
        <f>IF(Clean_Data[[#This Row],[Status]]="Delivered",1,0)</f>
        <v>1</v>
      </c>
      <c r="X361" s="3">
        <f>IF(Clean_Data[[#This Row],[Status]]="Delivered",IF(Clean_Data[[#This Row],[DeliveryMinutes]]&lt;=Dashboard!$X$5,1,0),0)</f>
        <v>1</v>
      </c>
      <c r="Y3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1" s="3">
        <f>IF(AND(Clean_Data[[#This Row],[Include]]=1,Clean_Data[[#This Row],[DeliveredFlag]]=1),1,0)</f>
        <v>1</v>
      </c>
      <c r="AA361" s="1">
        <f>IF(COUNTIF($D$2:D361,D361)=1,ROW()-1,ROWS(Clean_Data[OrderID])+1)</f>
        <v>901</v>
      </c>
      <c r="AB361" s="1">
        <f>IF(COUNTIF($F$2:F361,F361)=1,ROW()-1,ROWS(Clean_Data[OrderID])+1)</f>
        <v>901</v>
      </c>
      <c r="AC361" s="1">
        <f>IF(COUNTIF($G$2:G361,G361)=1,ROW()-1,ROWS(Clean_Data[OrderID])+1)</f>
        <v>901</v>
      </c>
      <c r="AD361" s="1">
        <f>IF(COUNTIF($H$2:H361,H361)=1,ROW()-1,ROWS(Clean_Data[OrderID])+1)</f>
        <v>901</v>
      </c>
      <c r="AE361" s="1">
        <f>IF(COUNTIF($V$2:V361,V361)=1,V361,ROWS(Clean_Data[OrderID])+1)</f>
        <v>901</v>
      </c>
      <c r="AF361" s="1">
        <f>IF(COUNTIF($U$2:U361,U361)=1,U361,ROWS(Clean_Data[OrderID])+1)</f>
        <v>901</v>
      </c>
      <c r="AG361" s="1">
        <f>IF(COUNTIF($E$2:E361,E361)=1,ROW()-1,ROWS(Clean_Data[OrderID])+1)</f>
        <v>901</v>
      </c>
    </row>
    <row r="362" spans="1:33" ht="20" customHeight="1">
      <c r="A362" s="3" t="s">
        <v>697</v>
      </c>
      <c r="B362" s="2">
        <v>46278</v>
      </c>
      <c r="C362" s="3">
        <v>8</v>
      </c>
      <c r="D362" s="3" t="s">
        <v>378</v>
      </c>
      <c r="E362" s="3" t="s">
        <v>117</v>
      </c>
      <c r="F362" s="3" t="s">
        <v>121</v>
      </c>
      <c r="G362" s="3" t="s">
        <v>110</v>
      </c>
      <c r="H362" s="3" t="s">
        <v>114</v>
      </c>
      <c r="I362" s="3">
        <v>3</v>
      </c>
      <c r="J362" s="11">
        <v>145</v>
      </c>
      <c r="K362" s="4">
        <v>0.05</v>
      </c>
      <c r="L362" s="3" t="s">
        <v>95</v>
      </c>
      <c r="M362" s="3">
        <v>28</v>
      </c>
      <c r="N362" s="3">
        <v>5</v>
      </c>
      <c r="O362" s="3">
        <v>4</v>
      </c>
      <c r="P362" s="11">
        <f>Clean_Data[[#This Row],[Quantity]]*Clean_Data[[#This Row],[UnitPrice]]</f>
        <v>435</v>
      </c>
      <c r="Q362" s="11">
        <f>ROUND(Clean_Data[[#This Row],[GrossSales]]*Clean_Data[[#This Row],[DiscountPct]],2)</f>
        <v>21.75</v>
      </c>
      <c r="R362" s="11">
        <f>IF(Clean_Data[[#This Row],[Status]]="Delivered",ROUND(Clean_Data[[#This Row],[GrossSales]]-Clean_Data[[#This Row],[DiscountAmount]],2),0)</f>
        <v>413.25</v>
      </c>
      <c r="S362" s="3" t="str">
        <f>IF(Clean_Data[[#This Row],[OrderHour]]&lt;6,"Night",IF(Clean_Data[[#This Row],[OrderHour]]&lt;12,"Morning",IF(Clean_Data[[#This Row],[OrderHour]]&lt;18,"Afternoon","Evening")))</f>
        <v>Morning</v>
      </c>
      <c r="T362" s="3" t="str">
        <f>TEXT(Clean_Data[[#This Row],[OrderDate]],"[$-409]ddd")</f>
        <v>Sun</v>
      </c>
      <c r="U362" s="3">
        <f>WEEKDAY(Clean_Data[[#This Row],[OrderDate]],2)</f>
        <v>7</v>
      </c>
      <c r="V362" s="3">
        <f>INT(Clean_Data[[#This Row],[OrderHour]]/6)+1</f>
        <v>2</v>
      </c>
      <c r="W362" s="3">
        <f>IF(Clean_Data[[#This Row],[Status]]="Delivered",1,0)</f>
        <v>1</v>
      </c>
      <c r="X362" s="3">
        <f>IF(Clean_Data[[#This Row],[Status]]="Delivered",IF(Clean_Data[[#This Row],[DeliveryMinutes]]&lt;=Dashboard!$X$5,1,0),0)</f>
        <v>1</v>
      </c>
      <c r="Y3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2" s="3">
        <f>IF(AND(Clean_Data[[#This Row],[Include]]=1,Clean_Data[[#This Row],[DeliveredFlag]]=1),1,0)</f>
        <v>1</v>
      </c>
      <c r="AA362" s="1">
        <f>IF(COUNTIF($D$2:D362,D362)=1,ROW()-1,ROWS(Clean_Data[OrderID])+1)</f>
        <v>901</v>
      </c>
      <c r="AB362" s="1">
        <f>IF(COUNTIF($F$2:F362,F362)=1,ROW()-1,ROWS(Clean_Data[OrderID])+1)</f>
        <v>901</v>
      </c>
      <c r="AC362" s="1">
        <f>IF(COUNTIF($G$2:G362,G362)=1,ROW()-1,ROWS(Clean_Data[OrderID])+1)</f>
        <v>901</v>
      </c>
      <c r="AD362" s="1">
        <f>IF(COUNTIF($H$2:H362,H362)=1,ROW()-1,ROWS(Clean_Data[OrderID])+1)</f>
        <v>901</v>
      </c>
      <c r="AE362" s="1">
        <f>IF(COUNTIF($V$2:V362,V362)=1,V362,ROWS(Clean_Data[OrderID])+1)</f>
        <v>901</v>
      </c>
      <c r="AF362" s="1">
        <f>IF(COUNTIF($U$2:U362,U362)=1,U362,ROWS(Clean_Data[OrderID])+1)</f>
        <v>901</v>
      </c>
      <c r="AG362" s="1">
        <f>IF(COUNTIF($E$2:E362,E362)=1,ROW()-1,ROWS(Clean_Data[OrderID])+1)</f>
        <v>901</v>
      </c>
    </row>
    <row r="363" spans="1:33" ht="20" customHeight="1">
      <c r="A363" s="3" t="s">
        <v>698</v>
      </c>
      <c r="B363" s="2">
        <v>46278</v>
      </c>
      <c r="C363" s="3">
        <v>9</v>
      </c>
      <c r="D363" s="3" t="s">
        <v>293</v>
      </c>
      <c r="E363" s="3" t="s">
        <v>91</v>
      </c>
      <c r="F363" s="3" t="s">
        <v>92</v>
      </c>
      <c r="G363" s="3" t="s">
        <v>122</v>
      </c>
      <c r="H363" s="3" t="s">
        <v>153</v>
      </c>
      <c r="I363" s="3">
        <v>2</v>
      </c>
      <c r="J363" s="11">
        <v>130</v>
      </c>
      <c r="K363" s="4">
        <v>0</v>
      </c>
      <c r="L363" s="3" t="s">
        <v>95</v>
      </c>
      <c r="M363" s="3">
        <v>36</v>
      </c>
      <c r="N363" s="3">
        <v>6</v>
      </c>
      <c r="O363" s="3">
        <v>4</v>
      </c>
      <c r="P363" s="11">
        <f>Clean_Data[[#This Row],[Quantity]]*Clean_Data[[#This Row],[UnitPrice]]</f>
        <v>260</v>
      </c>
      <c r="Q363" s="11">
        <f>ROUND(Clean_Data[[#This Row],[GrossSales]]*Clean_Data[[#This Row],[DiscountPct]],2)</f>
        <v>0</v>
      </c>
      <c r="R363" s="11">
        <f>IF(Clean_Data[[#This Row],[Status]]="Delivered",ROUND(Clean_Data[[#This Row],[GrossSales]]-Clean_Data[[#This Row],[DiscountAmount]],2),0)</f>
        <v>260</v>
      </c>
      <c r="S363" s="3" t="str">
        <f>IF(Clean_Data[[#This Row],[OrderHour]]&lt;6,"Night",IF(Clean_Data[[#This Row],[OrderHour]]&lt;12,"Morning",IF(Clean_Data[[#This Row],[OrderHour]]&lt;18,"Afternoon","Evening")))</f>
        <v>Morning</v>
      </c>
      <c r="T363" s="3" t="str">
        <f>TEXT(Clean_Data[[#This Row],[OrderDate]],"[$-409]ddd")</f>
        <v>Sun</v>
      </c>
      <c r="U363" s="3">
        <f>WEEKDAY(Clean_Data[[#This Row],[OrderDate]],2)</f>
        <v>7</v>
      </c>
      <c r="V363" s="3">
        <f>INT(Clean_Data[[#This Row],[OrderHour]]/6)+1</f>
        <v>2</v>
      </c>
      <c r="W363" s="3">
        <f>IF(Clean_Data[[#This Row],[Status]]="Delivered",1,0)</f>
        <v>1</v>
      </c>
      <c r="X363" s="3">
        <f>IF(Clean_Data[[#This Row],[Status]]="Delivered",IF(Clean_Data[[#This Row],[DeliveryMinutes]]&lt;=Dashboard!$X$5,1,0),0)</f>
        <v>0</v>
      </c>
      <c r="Y3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3" s="3">
        <f>IF(AND(Clean_Data[[#This Row],[Include]]=1,Clean_Data[[#This Row],[DeliveredFlag]]=1),1,0)</f>
        <v>1</v>
      </c>
      <c r="AA363" s="1">
        <f>IF(COUNTIF($D$2:D363,D363)=1,ROW()-1,ROWS(Clean_Data[OrderID])+1)</f>
        <v>901</v>
      </c>
      <c r="AB363" s="1">
        <f>IF(COUNTIF($F$2:F363,F363)=1,ROW()-1,ROWS(Clean_Data[OrderID])+1)</f>
        <v>901</v>
      </c>
      <c r="AC363" s="1">
        <f>IF(COUNTIF($G$2:G363,G363)=1,ROW()-1,ROWS(Clean_Data[OrderID])+1)</f>
        <v>901</v>
      </c>
      <c r="AD363" s="1">
        <f>IF(COUNTIF($H$2:H363,H363)=1,ROW()-1,ROWS(Clean_Data[OrderID])+1)</f>
        <v>901</v>
      </c>
      <c r="AE363" s="1">
        <f>IF(COUNTIF($V$2:V363,V363)=1,V363,ROWS(Clean_Data[OrderID])+1)</f>
        <v>901</v>
      </c>
      <c r="AF363" s="1">
        <f>IF(COUNTIF($U$2:U363,U363)=1,U363,ROWS(Clean_Data[OrderID])+1)</f>
        <v>901</v>
      </c>
      <c r="AG363" s="1">
        <f>IF(COUNTIF($E$2:E363,E363)=1,ROW()-1,ROWS(Clean_Data[OrderID])+1)</f>
        <v>901</v>
      </c>
    </row>
    <row r="364" spans="1:33" ht="20" customHeight="1">
      <c r="A364" s="3" t="s">
        <v>699</v>
      </c>
      <c r="B364" s="2">
        <v>46278</v>
      </c>
      <c r="C364" s="3">
        <v>19</v>
      </c>
      <c r="D364" s="3" t="s">
        <v>477</v>
      </c>
      <c r="E364" s="3" t="s">
        <v>91</v>
      </c>
      <c r="F364" s="3" t="s">
        <v>92</v>
      </c>
      <c r="G364" s="3" t="s">
        <v>174</v>
      </c>
      <c r="H364" s="3" t="s">
        <v>274</v>
      </c>
      <c r="I364" s="3">
        <v>3</v>
      </c>
      <c r="J364" s="11">
        <v>90</v>
      </c>
      <c r="K364" s="4">
        <v>0.05</v>
      </c>
      <c r="L364" s="3" t="s">
        <v>95</v>
      </c>
      <c r="M364" s="3">
        <v>29</v>
      </c>
      <c r="N364" s="3">
        <v>10</v>
      </c>
      <c r="O364" s="3">
        <v>3</v>
      </c>
      <c r="P364" s="11">
        <f>Clean_Data[[#This Row],[Quantity]]*Clean_Data[[#This Row],[UnitPrice]]</f>
        <v>270</v>
      </c>
      <c r="Q364" s="11">
        <f>ROUND(Clean_Data[[#This Row],[GrossSales]]*Clean_Data[[#This Row],[DiscountPct]],2)</f>
        <v>13.5</v>
      </c>
      <c r="R364" s="11">
        <f>IF(Clean_Data[[#This Row],[Status]]="Delivered",ROUND(Clean_Data[[#This Row],[GrossSales]]-Clean_Data[[#This Row],[DiscountAmount]],2),0)</f>
        <v>256.5</v>
      </c>
      <c r="S364" s="3" t="str">
        <f>IF(Clean_Data[[#This Row],[OrderHour]]&lt;6,"Night",IF(Clean_Data[[#This Row],[OrderHour]]&lt;12,"Morning",IF(Clean_Data[[#This Row],[OrderHour]]&lt;18,"Afternoon","Evening")))</f>
        <v>Evening</v>
      </c>
      <c r="T364" s="3" t="str">
        <f>TEXT(Clean_Data[[#This Row],[OrderDate]],"[$-409]ddd")</f>
        <v>Sun</v>
      </c>
      <c r="U364" s="3">
        <f>WEEKDAY(Clean_Data[[#This Row],[OrderDate]],2)</f>
        <v>7</v>
      </c>
      <c r="V364" s="3">
        <f>INT(Clean_Data[[#This Row],[OrderHour]]/6)+1</f>
        <v>4</v>
      </c>
      <c r="W364" s="3">
        <f>IF(Clean_Data[[#This Row],[Status]]="Delivered",1,0)</f>
        <v>1</v>
      </c>
      <c r="X364" s="3">
        <f>IF(Clean_Data[[#This Row],[Status]]="Delivered",IF(Clean_Data[[#This Row],[DeliveryMinutes]]&lt;=Dashboard!$X$5,1,0),0)</f>
        <v>1</v>
      </c>
      <c r="Y3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4" s="3">
        <f>IF(AND(Clean_Data[[#This Row],[Include]]=1,Clean_Data[[#This Row],[DeliveredFlag]]=1),1,0)</f>
        <v>1</v>
      </c>
      <c r="AA364" s="1">
        <f>IF(COUNTIF($D$2:D364,D364)=1,ROW()-1,ROWS(Clean_Data[OrderID])+1)</f>
        <v>901</v>
      </c>
      <c r="AB364" s="1">
        <f>IF(COUNTIF($F$2:F364,F364)=1,ROW()-1,ROWS(Clean_Data[OrderID])+1)</f>
        <v>901</v>
      </c>
      <c r="AC364" s="1">
        <f>IF(COUNTIF($G$2:G364,G364)=1,ROW()-1,ROWS(Clean_Data[OrderID])+1)</f>
        <v>901</v>
      </c>
      <c r="AD364" s="1">
        <f>IF(COUNTIF($H$2:H364,H364)=1,ROW()-1,ROWS(Clean_Data[OrderID])+1)</f>
        <v>901</v>
      </c>
      <c r="AE364" s="1">
        <f>IF(COUNTIF($V$2:V364,V364)=1,V364,ROWS(Clean_Data[OrderID])+1)</f>
        <v>901</v>
      </c>
      <c r="AF364" s="1">
        <f>IF(COUNTIF($U$2:U364,U364)=1,U364,ROWS(Clean_Data[OrderID])+1)</f>
        <v>901</v>
      </c>
      <c r="AG364" s="1">
        <f>IF(COUNTIF($E$2:E364,E364)=1,ROW()-1,ROWS(Clean_Data[OrderID])+1)</f>
        <v>901</v>
      </c>
    </row>
    <row r="365" spans="1:33" ht="20" customHeight="1">
      <c r="A365" s="3" t="s">
        <v>700</v>
      </c>
      <c r="B365" s="2">
        <v>46278</v>
      </c>
      <c r="C365" s="3">
        <v>18</v>
      </c>
      <c r="D365" s="3" t="s">
        <v>197</v>
      </c>
      <c r="E365" s="3" t="s">
        <v>91</v>
      </c>
      <c r="F365" s="3" t="s">
        <v>139</v>
      </c>
      <c r="G365" s="3" t="s">
        <v>174</v>
      </c>
      <c r="H365" s="3" t="s">
        <v>184</v>
      </c>
      <c r="I365" s="3">
        <v>1</v>
      </c>
      <c r="J365" s="11">
        <v>62</v>
      </c>
      <c r="K365" s="4">
        <v>0.15</v>
      </c>
      <c r="L365" s="3" t="s">
        <v>95</v>
      </c>
      <c r="M365" s="3">
        <v>28</v>
      </c>
      <c r="N365" s="3">
        <v>4</v>
      </c>
      <c r="O365" s="3">
        <v>4</v>
      </c>
      <c r="P365" s="11">
        <f>Clean_Data[[#This Row],[Quantity]]*Clean_Data[[#This Row],[UnitPrice]]</f>
        <v>62</v>
      </c>
      <c r="Q365" s="11">
        <f>ROUND(Clean_Data[[#This Row],[GrossSales]]*Clean_Data[[#This Row],[DiscountPct]],2)</f>
        <v>9.3000000000000007</v>
      </c>
      <c r="R365" s="11">
        <f>IF(Clean_Data[[#This Row],[Status]]="Delivered",ROUND(Clean_Data[[#This Row],[GrossSales]]-Clean_Data[[#This Row],[DiscountAmount]],2),0)</f>
        <v>52.7</v>
      </c>
      <c r="S365" s="3" t="str">
        <f>IF(Clean_Data[[#This Row],[OrderHour]]&lt;6,"Night",IF(Clean_Data[[#This Row],[OrderHour]]&lt;12,"Morning",IF(Clean_Data[[#This Row],[OrderHour]]&lt;18,"Afternoon","Evening")))</f>
        <v>Evening</v>
      </c>
      <c r="T365" s="3" t="str">
        <f>TEXT(Clean_Data[[#This Row],[OrderDate]],"[$-409]ddd")</f>
        <v>Sun</v>
      </c>
      <c r="U365" s="3">
        <f>WEEKDAY(Clean_Data[[#This Row],[OrderDate]],2)</f>
        <v>7</v>
      </c>
      <c r="V365" s="3">
        <f>INT(Clean_Data[[#This Row],[OrderHour]]/6)+1</f>
        <v>4</v>
      </c>
      <c r="W365" s="3">
        <f>IF(Clean_Data[[#This Row],[Status]]="Delivered",1,0)</f>
        <v>1</v>
      </c>
      <c r="X365" s="3">
        <f>IF(Clean_Data[[#This Row],[Status]]="Delivered",IF(Clean_Data[[#This Row],[DeliveryMinutes]]&lt;=Dashboard!$X$5,1,0),0)</f>
        <v>1</v>
      </c>
      <c r="Y3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5" s="3">
        <f>IF(AND(Clean_Data[[#This Row],[Include]]=1,Clean_Data[[#This Row],[DeliveredFlag]]=1),1,0)</f>
        <v>1</v>
      </c>
      <c r="AA365" s="1">
        <f>IF(COUNTIF($D$2:D365,D365)=1,ROW()-1,ROWS(Clean_Data[OrderID])+1)</f>
        <v>901</v>
      </c>
      <c r="AB365" s="1">
        <f>IF(COUNTIF($F$2:F365,F365)=1,ROW()-1,ROWS(Clean_Data[OrderID])+1)</f>
        <v>901</v>
      </c>
      <c r="AC365" s="1">
        <f>IF(COUNTIF($G$2:G365,G365)=1,ROW()-1,ROWS(Clean_Data[OrderID])+1)</f>
        <v>901</v>
      </c>
      <c r="AD365" s="1">
        <f>IF(COUNTIF($H$2:H365,H365)=1,ROW()-1,ROWS(Clean_Data[OrderID])+1)</f>
        <v>901</v>
      </c>
      <c r="AE365" s="1">
        <f>IF(COUNTIF($V$2:V365,V365)=1,V365,ROWS(Clean_Data[OrderID])+1)</f>
        <v>901</v>
      </c>
      <c r="AF365" s="1">
        <f>IF(COUNTIF($U$2:U365,U365)=1,U365,ROWS(Clean_Data[OrderID])+1)</f>
        <v>901</v>
      </c>
      <c r="AG365" s="1">
        <f>IF(COUNTIF($E$2:E365,E365)=1,ROW()-1,ROWS(Clean_Data[OrderID])+1)</f>
        <v>901</v>
      </c>
    </row>
    <row r="366" spans="1:33" ht="20" customHeight="1">
      <c r="A366" s="3" t="s">
        <v>701</v>
      </c>
      <c r="B366" s="2">
        <v>46278</v>
      </c>
      <c r="C366" s="3">
        <v>10</v>
      </c>
      <c r="D366" s="3" t="s">
        <v>349</v>
      </c>
      <c r="E366" s="3" t="s">
        <v>117</v>
      </c>
      <c r="F366" s="3" t="s">
        <v>109</v>
      </c>
      <c r="G366" s="3" t="s">
        <v>122</v>
      </c>
      <c r="H366" s="3" t="s">
        <v>153</v>
      </c>
      <c r="I366" s="3">
        <v>6</v>
      </c>
      <c r="J366" s="11">
        <v>130</v>
      </c>
      <c r="K366" s="4">
        <v>0.15</v>
      </c>
      <c r="L366" s="3" t="s">
        <v>95</v>
      </c>
      <c r="M366" s="3">
        <v>28</v>
      </c>
      <c r="N366" s="3">
        <v>4</v>
      </c>
      <c r="O366" s="3">
        <v>4</v>
      </c>
      <c r="P366" s="11">
        <f>Clean_Data[[#This Row],[Quantity]]*Clean_Data[[#This Row],[UnitPrice]]</f>
        <v>780</v>
      </c>
      <c r="Q366" s="11">
        <f>ROUND(Clean_Data[[#This Row],[GrossSales]]*Clean_Data[[#This Row],[DiscountPct]],2)</f>
        <v>117</v>
      </c>
      <c r="R366" s="11">
        <f>IF(Clean_Data[[#This Row],[Status]]="Delivered",ROUND(Clean_Data[[#This Row],[GrossSales]]-Clean_Data[[#This Row],[DiscountAmount]],2),0)</f>
        <v>663</v>
      </c>
      <c r="S366" s="3" t="str">
        <f>IF(Clean_Data[[#This Row],[OrderHour]]&lt;6,"Night",IF(Clean_Data[[#This Row],[OrderHour]]&lt;12,"Morning",IF(Clean_Data[[#This Row],[OrderHour]]&lt;18,"Afternoon","Evening")))</f>
        <v>Morning</v>
      </c>
      <c r="T366" s="3" t="str">
        <f>TEXT(Clean_Data[[#This Row],[OrderDate]],"[$-409]ddd")</f>
        <v>Sun</v>
      </c>
      <c r="U366" s="3">
        <f>WEEKDAY(Clean_Data[[#This Row],[OrderDate]],2)</f>
        <v>7</v>
      </c>
      <c r="V366" s="3">
        <f>INT(Clean_Data[[#This Row],[OrderHour]]/6)+1</f>
        <v>2</v>
      </c>
      <c r="W366" s="3">
        <f>IF(Clean_Data[[#This Row],[Status]]="Delivered",1,0)</f>
        <v>1</v>
      </c>
      <c r="X366" s="3">
        <f>IF(Clean_Data[[#This Row],[Status]]="Delivered",IF(Clean_Data[[#This Row],[DeliveryMinutes]]&lt;=Dashboard!$X$5,1,0),0)</f>
        <v>1</v>
      </c>
      <c r="Y3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6" s="3">
        <f>IF(AND(Clean_Data[[#This Row],[Include]]=1,Clean_Data[[#This Row],[DeliveredFlag]]=1),1,0)</f>
        <v>1</v>
      </c>
      <c r="AA366" s="1">
        <f>IF(COUNTIF($D$2:D366,D366)=1,ROW()-1,ROWS(Clean_Data[OrderID])+1)</f>
        <v>901</v>
      </c>
      <c r="AB366" s="1">
        <f>IF(COUNTIF($F$2:F366,F366)=1,ROW()-1,ROWS(Clean_Data[OrderID])+1)</f>
        <v>901</v>
      </c>
      <c r="AC366" s="1">
        <f>IF(COUNTIF($G$2:G366,G366)=1,ROW()-1,ROWS(Clean_Data[OrderID])+1)</f>
        <v>901</v>
      </c>
      <c r="AD366" s="1">
        <f>IF(COUNTIF($H$2:H366,H366)=1,ROW()-1,ROWS(Clean_Data[OrderID])+1)</f>
        <v>901</v>
      </c>
      <c r="AE366" s="1">
        <f>IF(COUNTIF($V$2:V366,V366)=1,V366,ROWS(Clean_Data[OrderID])+1)</f>
        <v>901</v>
      </c>
      <c r="AF366" s="1">
        <f>IF(COUNTIF($U$2:U366,U366)=1,U366,ROWS(Clean_Data[OrderID])+1)</f>
        <v>901</v>
      </c>
      <c r="AG366" s="1">
        <f>IF(COUNTIF($E$2:E366,E366)=1,ROW()-1,ROWS(Clean_Data[OrderID])+1)</f>
        <v>901</v>
      </c>
    </row>
    <row r="367" spans="1:33" ht="20" customHeight="1">
      <c r="A367" s="3" t="s">
        <v>702</v>
      </c>
      <c r="B367" s="2">
        <v>46278</v>
      </c>
      <c r="C367" s="3">
        <v>12</v>
      </c>
      <c r="D367" s="3" t="s">
        <v>703</v>
      </c>
      <c r="E367" s="3" t="s">
        <v>117</v>
      </c>
      <c r="F367" s="3" t="s">
        <v>98</v>
      </c>
      <c r="G367" s="3" t="s">
        <v>135</v>
      </c>
      <c r="H367" s="3" t="s">
        <v>162</v>
      </c>
      <c r="I367" s="3">
        <v>6</v>
      </c>
      <c r="J367" s="11">
        <v>180</v>
      </c>
      <c r="K367" s="4">
        <v>0.15</v>
      </c>
      <c r="L367" s="3" t="s">
        <v>95</v>
      </c>
      <c r="M367" s="3">
        <v>28</v>
      </c>
      <c r="N367" s="3">
        <v>8</v>
      </c>
      <c r="O367" s="3">
        <v>4</v>
      </c>
      <c r="P367" s="11">
        <f>Clean_Data[[#This Row],[Quantity]]*Clean_Data[[#This Row],[UnitPrice]]</f>
        <v>1080</v>
      </c>
      <c r="Q367" s="11">
        <f>ROUND(Clean_Data[[#This Row],[GrossSales]]*Clean_Data[[#This Row],[DiscountPct]],2)</f>
        <v>162</v>
      </c>
      <c r="R367" s="11">
        <f>IF(Clean_Data[[#This Row],[Status]]="Delivered",ROUND(Clean_Data[[#This Row],[GrossSales]]-Clean_Data[[#This Row],[DiscountAmount]],2),0)</f>
        <v>918</v>
      </c>
      <c r="S367" s="3" t="str">
        <f>IF(Clean_Data[[#This Row],[OrderHour]]&lt;6,"Night",IF(Clean_Data[[#This Row],[OrderHour]]&lt;12,"Morning",IF(Clean_Data[[#This Row],[OrderHour]]&lt;18,"Afternoon","Evening")))</f>
        <v>Afternoon</v>
      </c>
      <c r="T367" s="3" t="str">
        <f>TEXT(Clean_Data[[#This Row],[OrderDate]],"[$-409]ddd")</f>
        <v>Sun</v>
      </c>
      <c r="U367" s="3">
        <f>WEEKDAY(Clean_Data[[#This Row],[OrderDate]],2)</f>
        <v>7</v>
      </c>
      <c r="V367" s="3">
        <f>INT(Clean_Data[[#This Row],[OrderHour]]/6)+1</f>
        <v>3</v>
      </c>
      <c r="W367" s="3">
        <f>IF(Clean_Data[[#This Row],[Status]]="Delivered",1,0)</f>
        <v>1</v>
      </c>
      <c r="X367" s="3">
        <f>IF(Clean_Data[[#This Row],[Status]]="Delivered",IF(Clean_Data[[#This Row],[DeliveryMinutes]]&lt;=Dashboard!$X$5,1,0),0)</f>
        <v>1</v>
      </c>
      <c r="Y3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7" s="3">
        <f>IF(AND(Clean_Data[[#This Row],[Include]]=1,Clean_Data[[#This Row],[DeliveredFlag]]=1),1,0)</f>
        <v>1</v>
      </c>
      <c r="AA367" s="1">
        <f>IF(COUNTIF($D$2:D367,D367)=1,ROW()-1,ROWS(Clean_Data[OrderID])+1)</f>
        <v>366</v>
      </c>
      <c r="AB367" s="1">
        <f>IF(COUNTIF($F$2:F367,F367)=1,ROW()-1,ROWS(Clean_Data[OrderID])+1)</f>
        <v>901</v>
      </c>
      <c r="AC367" s="1">
        <f>IF(COUNTIF($G$2:G367,G367)=1,ROW()-1,ROWS(Clean_Data[OrderID])+1)</f>
        <v>901</v>
      </c>
      <c r="AD367" s="1">
        <f>IF(COUNTIF($H$2:H367,H367)=1,ROW()-1,ROWS(Clean_Data[OrderID])+1)</f>
        <v>901</v>
      </c>
      <c r="AE367" s="1">
        <f>IF(COUNTIF($V$2:V367,V367)=1,V367,ROWS(Clean_Data[OrderID])+1)</f>
        <v>901</v>
      </c>
      <c r="AF367" s="1">
        <f>IF(COUNTIF($U$2:U367,U367)=1,U367,ROWS(Clean_Data[OrderID])+1)</f>
        <v>901</v>
      </c>
      <c r="AG367" s="1">
        <f>IF(COUNTIF($E$2:E367,E367)=1,ROW()-1,ROWS(Clean_Data[OrderID])+1)</f>
        <v>901</v>
      </c>
    </row>
    <row r="368" spans="1:33" ht="20" customHeight="1">
      <c r="A368" s="3" t="s">
        <v>704</v>
      </c>
      <c r="B368" s="2">
        <v>46278</v>
      </c>
      <c r="C368" s="3">
        <v>12</v>
      </c>
      <c r="D368" s="3" t="s">
        <v>378</v>
      </c>
      <c r="E368" s="3" t="s">
        <v>117</v>
      </c>
      <c r="F368" s="3" t="s">
        <v>109</v>
      </c>
      <c r="G368" s="3" t="s">
        <v>135</v>
      </c>
      <c r="H368" s="3" t="s">
        <v>217</v>
      </c>
      <c r="I368" s="3">
        <v>5</v>
      </c>
      <c r="J368" s="11">
        <v>65</v>
      </c>
      <c r="K368" s="4">
        <v>0</v>
      </c>
      <c r="L368" s="3" t="s">
        <v>95</v>
      </c>
      <c r="M368" s="3">
        <v>14</v>
      </c>
      <c r="N368" s="3">
        <v>7</v>
      </c>
      <c r="O368" s="3">
        <v>4</v>
      </c>
      <c r="P368" s="11">
        <f>Clean_Data[[#This Row],[Quantity]]*Clean_Data[[#This Row],[UnitPrice]]</f>
        <v>325</v>
      </c>
      <c r="Q368" s="11">
        <f>ROUND(Clean_Data[[#This Row],[GrossSales]]*Clean_Data[[#This Row],[DiscountPct]],2)</f>
        <v>0</v>
      </c>
      <c r="R368" s="11">
        <f>IF(Clean_Data[[#This Row],[Status]]="Delivered",ROUND(Clean_Data[[#This Row],[GrossSales]]-Clean_Data[[#This Row],[DiscountAmount]],2),0)</f>
        <v>325</v>
      </c>
      <c r="S368" s="3" t="str">
        <f>IF(Clean_Data[[#This Row],[OrderHour]]&lt;6,"Night",IF(Clean_Data[[#This Row],[OrderHour]]&lt;12,"Morning",IF(Clean_Data[[#This Row],[OrderHour]]&lt;18,"Afternoon","Evening")))</f>
        <v>Afternoon</v>
      </c>
      <c r="T368" s="3" t="str">
        <f>TEXT(Clean_Data[[#This Row],[OrderDate]],"[$-409]ddd")</f>
        <v>Sun</v>
      </c>
      <c r="U368" s="3">
        <f>WEEKDAY(Clean_Data[[#This Row],[OrderDate]],2)</f>
        <v>7</v>
      </c>
      <c r="V368" s="3">
        <f>INT(Clean_Data[[#This Row],[OrderHour]]/6)+1</f>
        <v>3</v>
      </c>
      <c r="W368" s="3">
        <f>IF(Clean_Data[[#This Row],[Status]]="Delivered",1,0)</f>
        <v>1</v>
      </c>
      <c r="X368" s="3">
        <f>IF(Clean_Data[[#This Row],[Status]]="Delivered",IF(Clean_Data[[#This Row],[DeliveryMinutes]]&lt;=Dashboard!$X$5,1,0),0)</f>
        <v>1</v>
      </c>
      <c r="Y3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8" s="3">
        <f>IF(AND(Clean_Data[[#This Row],[Include]]=1,Clean_Data[[#This Row],[DeliveredFlag]]=1),1,0)</f>
        <v>1</v>
      </c>
      <c r="AA368" s="1">
        <f>IF(COUNTIF($D$2:D368,D368)=1,ROW()-1,ROWS(Clean_Data[OrderID])+1)</f>
        <v>901</v>
      </c>
      <c r="AB368" s="1">
        <f>IF(COUNTIF($F$2:F368,F368)=1,ROW()-1,ROWS(Clean_Data[OrderID])+1)</f>
        <v>901</v>
      </c>
      <c r="AC368" s="1">
        <f>IF(COUNTIF($G$2:G368,G368)=1,ROW()-1,ROWS(Clean_Data[OrderID])+1)</f>
        <v>901</v>
      </c>
      <c r="AD368" s="1">
        <f>IF(COUNTIF($H$2:H368,H368)=1,ROW()-1,ROWS(Clean_Data[OrderID])+1)</f>
        <v>901</v>
      </c>
      <c r="AE368" s="1">
        <f>IF(COUNTIF($V$2:V368,V368)=1,V368,ROWS(Clean_Data[OrderID])+1)</f>
        <v>901</v>
      </c>
      <c r="AF368" s="1">
        <f>IF(COUNTIF($U$2:U368,U368)=1,U368,ROWS(Clean_Data[OrderID])+1)</f>
        <v>901</v>
      </c>
      <c r="AG368" s="1">
        <f>IF(COUNTIF($E$2:E368,E368)=1,ROW()-1,ROWS(Clean_Data[OrderID])+1)</f>
        <v>901</v>
      </c>
    </row>
    <row r="369" spans="1:33" ht="20" customHeight="1">
      <c r="A369" s="3" t="s">
        <v>705</v>
      </c>
      <c r="B369" s="2">
        <v>46278</v>
      </c>
      <c r="C369" s="3">
        <v>6</v>
      </c>
      <c r="D369" s="3" t="s">
        <v>499</v>
      </c>
      <c r="E369" s="3" t="s">
        <v>91</v>
      </c>
      <c r="F369" s="3" t="s">
        <v>109</v>
      </c>
      <c r="G369" s="3" t="s">
        <v>122</v>
      </c>
      <c r="H369" s="3" t="s">
        <v>214</v>
      </c>
      <c r="I369" s="3">
        <v>4</v>
      </c>
      <c r="J369" s="11">
        <v>55</v>
      </c>
      <c r="K369" s="4">
        <v>0</v>
      </c>
      <c r="L369" s="3" t="s">
        <v>95</v>
      </c>
      <c r="M369" s="3">
        <v>25</v>
      </c>
      <c r="N369" s="3">
        <v>7</v>
      </c>
      <c r="O369" s="3">
        <v>4</v>
      </c>
      <c r="P369" s="11">
        <f>Clean_Data[[#This Row],[Quantity]]*Clean_Data[[#This Row],[UnitPrice]]</f>
        <v>220</v>
      </c>
      <c r="Q369" s="11">
        <f>ROUND(Clean_Data[[#This Row],[GrossSales]]*Clean_Data[[#This Row],[DiscountPct]],2)</f>
        <v>0</v>
      </c>
      <c r="R369" s="11">
        <f>IF(Clean_Data[[#This Row],[Status]]="Delivered",ROUND(Clean_Data[[#This Row],[GrossSales]]-Clean_Data[[#This Row],[DiscountAmount]],2),0)</f>
        <v>220</v>
      </c>
      <c r="S369" s="3" t="str">
        <f>IF(Clean_Data[[#This Row],[OrderHour]]&lt;6,"Night",IF(Clean_Data[[#This Row],[OrderHour]]&lt;12,"Morning",IF(Clean_Data[[#This Row],[OrderHour]]&lt;18,"Afternoon","Evening")))</f>
        <v>Morning</v>
      </c>
      <c r="T369" s="3" t="str">
        <f>TEXT(Clean_Data[[#This Row],[OrderDate]],"[$-409]ddd")</f>
        <v>Sun</v>
      </c>
      <c r="U369" s="3">
        <f>WEEKDAY(Clean_Data[[#This Row],[OrderDate]],2)</f>
        <v>7</v>
      </c>
      <c r="V369" s="3">
        <f>INT(Clean_Data[[#This Row],[OrderHour]]/6)+1</f>
        <v>2</v>
      </c>
      <c r="W369" s="3">
        <f>IF(Clean_Data[[#This Row],[Status]]="Delivered",1,0)</f>
        <v>1</v>
      </c>
      <c r="X369" s="3">
        <f>IF(Clean_Data[[#This Row],[Status]]="Delivered",IF(Clean_Data[[#This Row],[DeliveryMinutes]]&lt;=Dashboard!$X$5,1,0),0)</f>
        <v>1</v>
      </c>
      <c r="Y3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69" s="3">
        <f>IF(AND(Clean_Data[[#This Row],[Include]]=1,Clean_Data[[#This Row],[DeliveredFlag]]=1),1,0)</f>
        <v>1</v>
      </c>
      <c r="AA369" s="1">
        <f>IF(COUNTIF($D$2:D369,D369)=1,ROW()-1,ROWS(Clean_Data[OrderID])+1)</f>
        <v>901</v>
      </c>
      <c r="AB369" s="1">
        <f>IF(COUNTIF($F$2:F369,F369)=1,ROW()-1,ROWS(Clean_Data[OrderID])+1)</f>
        <v>901</v>
      </c>
      <c r="AC369" s="1">
        <f>IF(COUNTIF($G$2:G369,G369)=1,ROW()-1,ROWS(Clean_Data[OrderID])+1)</f>
        <v>901</v>
      </c>
      <c r="AD369" s="1">
        <f>IF(COUNTIF($H$2:H369,H369)=1,ROW()-1,ROWS(Clean_Data[OrderID])+1)</f>
        <v>901</v>
      </c>
      <c r="AE369" s="1">
        <f>IF(COUNTIF($V$2:V369,V369)=1,V369,ROWS(Clean_Data[OrderID])+1)</f>
        <v>901</v>
      </c>
      <c r="AF369" s="1">
        <f>IF(COUNTIF($U$2:U369,U369)=1,U369,ROWS(Clean_Data[OrderID])+1)</f>
        <v>901</v>
      </c>
      <c r="AG369" s="1">
        <f>IF(COUNTIF($E$2:E369,E369)=1,ROW()-1,ROWS(Clean_Data[OrderID])+1)</f>
        <v>901</v>
      </c>
    </row>
    <row r="370" spans="1:33" ht="20" customHeight="1">
      <c r="A370" s="3" t="s">
        <v>706</v>
      </c>
      <c r="B370" s="2">
        <v>46278</v>
      </c>
      <c r="C370" s="3">
        <v>11</v>
      </c>
      <c r="D370" s="3" t="s">
        <v>150</v>
      </c>
      <c r="E370" s="3" t="s">
        <v>91</v>
      </c>
      <c r="F370" s="3" t="s">
        <v>109</v>
      </c>
      <c r="G370" s="3" t="s">
        <v>135</v>
      </c>
      <c r="H370" s="3" t="s">
        <v>162</v>
      </c>
      <c r="I370" s="3">
        <v>3</v>
      </c>
      <c r="J370" s="11">
        <v>180</v>
      </c>
      <c r="K370" s="4">
        <v>0</v>
      </c>
      <c r="L370" s="3" t="s">
        <v>95</v>
      </c>
      <c r="M370" s="3">
        <v>16</v>
      </c>
      <c r="N370" s="3">
        <v>5</v>
      </c>
      <c r="O370" s="3">
        <v>3</v>
      </c>
      <c r="P370" s="11">
        <f>Clean_Data[[#This Row],[Quantity]]*Clean_Data[[#This Row],[UnitPrice]]</f>
        <v>540</v>
      </c>
      <c r="Q370" s="11">
        <f>ROUND(Clean_Data[[#This Row],[GrossSales]]*Clean_Data[[#This Row],[DiscountPct]],2)</f>
        <v>0</v>
      </c>
      <c r="R370" s="11">
        <f>IF(Clean_Data[[#This Row],[Status]]="Delivered",ROUND(Clean_Data[[#This Row],[GrossSales]]-Clean_Data[[#This Row],[DiscountAmount]],2),0)</f>
        <v>540</v>
      </c>
      <c r="S370" s="3" t="str">
        <f>IF(Clean_Data[[#This Row],[OrderHour]]&lt;6,"Night",IF(Clean_Data[[#This Row],[OrderHour]]&lt;12,"Morning",IF(Clean_Data[[#This Row],[OrderHour]]&lt;18,"Afternoon","Evening")))</f>
        <v>Morning</v>
      </c>
      <c r="T370" s="3" t="str">
        <f>TEXT(Clean_Data[[#This Row],[OrderDate]],"[$-409]ddd")</f>
        <v>Sun</v>
      </c>
      <c r="U370" s="3">
        <f>WEEKDAY(Clean_Data[[#This Row],[OrderDate]],2)</f>
        <v>7</v>
      </c>
      <c r="V370" s="3">
        <f>INT(Clean_Data[[#This Row],[OrderHour]]/6)+1</f>
        <v>2</v>
      </c>
      <c r="W370" s="3">
        <f>IF(Clean_Data[[#This Row],[Status]]="Delivered",1,0)</f>
        <v>1</v>
      </c>
      <c r="X370" s="3">
        <f>IF(Clean_Data[[#This Row],[Status]]="Delivered",IF(Clean_Data[[#This Row],[DeliveryMinutes]]&lt;=Dashboard!$X$5,1,0),0)</f>
        <v>1</v>
      </c>
      <c r="Y3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0" s="3">
        <f>IF(AND(Clean_Data[[#This Row],[Include]]=1,Clean_Data[[#This Row],[DeliveredFlag]]=1),1,0)</f>
        <v>1</v>
      </c>
      <c r="AA370" s="1">
        <f>IF(COUNTIF($D$2:D370,D370)=1,ROW()-1,ROWS(Clean_Data[OrderID])+1)</f>
        <v>901</v>
      </c>
      <c r="AB370" s="1">
        <f>IF(COUNTIF($F$2:F370,F370)=1,ROW()-1,ROWS(Clean_Data[OrderID])+1)</f>
        <v>901</v>
      </c>
      <c r="AC370" s="1">
        <f>IF(COUNTIF($G$2:G370,G370)=1,ROW()-1,ROWS(Clean_Data[OrderID])+1)</f>
        <v>901</v>
      </c>
      <c r="AD370" s="1">
        <f>IF(COUNTIF($H$2:H370,H370)=1,ROW()-1,ROWS(Clean_Data[OrderID])+1)</f>
        <v>901</v>
      </c>
      <c r="AE370" s="1">
        <f>IF(COUNTIF($V$2:V370,V370)=1,V370,ROWS(Clean_Data[OrderID])+1)</f>
        <v>901</v>
      </c>
      <c r="AF370" s="1">
        <f>IF(COUNTIF($U$2:U370,U370)=1,U370,ROWS(Clean_Data[OrderID])+1)</f>
        <v>901</v>
      </c>
      <c r="AG370" s="1">
        <f>IF(COUNTIF($E$2:E370,E370)=1,ROW()-1,ROWS(Clean_Data[OrderID])+1)</f>
        <v>901</v>
      </c>
    </row>
    <row r="371" spans="1:33" ht="20" customHeight="1">
      <c r="A371" s="3" t="s">
        <v>707</v>
      </c>
      <c r="B371" s="2">
        <v>46278</v>
      </c>
      <c r="C371" s="3">
        <v>12</v>
      </c>
      <c r="D371" s="3" t="s">
        <v>708</v>
      </c>
      <c r="E371" s="3" t="s">
        <v>117</v>
      </c>
      <c r="F371" s="3" t="s">
        <v>109</v>
      </c>
      <c r="G371" s="3" t="s">
        <v>122</v>
      </c>
      <c r="H371" s="3" t="s">
        <v>153</v>
      </c>
      <c r="I371" s="3">
        <v>1</v>
      </c>
      <c r="J371" s="11">
        <v>130</v>
      </c>
      <c r="K371" s="4">
        <v>0</v>
      </c>
      <c r="L371" s="3" t="s">
        <v>95</v>
      </c>
      <c r="M371" s="3">
        <v>20</v>
      </c>
      <c r="N371" s="3">
        <v>6</v>
      </c>
      <c r="O371" s="3">
        <v>5</v>
      </c>
      <c r="P371" s="11">
        <f>Clean_Data[[#This Row],[Quantity]]*Clean_Data[[#This Row],[UnitPrice]]</f>
        <v>130</v>
      </c>
      <c r="Q371" s="11">
        <f>ROUND(Clean_Data[[#This Row],[GrossSales]]*Clean_Data[[#This Row],[DiscountPct]],2)</f>
        <v>0</v>
      </c>
      <c r="R371" s="11">
        <f>IF(Clean_Data[[#This Row],[Status]]="Delivered",ROUND(Clean_Data[[#This Row],[GrossSales]]-Clean_Data[[#This Row],[DiscountAmount]],2),0)</f>
        <v>130</v>
      </c>
      <c r="S371" s="3" t="str">
        <f>IF(Clean_Data[[#This Row],[OrderHour]]&lt;6,"Night",IF(Clean_Data[[#This Row],[OrderHour]]&lt;12,"Morning",IF(Clean_Data[[#This Row],[OrderHour]]&lt;18,"Afternoon","Evening")))</f>
        <v>Afternoon</v>
      </c>
      <c r="T371" s="3" t="str">
        <f>TEXT(Clean_Data[[#This Row],[OrderDate]],"[$-409]ddd")</f>
        <v>Sun</v>
      </c>
      <c r="U371" s="3">
        <f>WEEKDAY(Clean_Data[[#This Row],[OrderDate]],2)</f>
        <v>7</v>
      </c>
      <c r="V371" s="3">
        <f>INT(Clean_Data[[#This Row],[OrderHour]]/6)+1</f>
        <v>3</v>
      </c>
      <c r="W371" s="3">
        <f>IF(Clean_Data[[#This Row],[Status]]="Delivered",1,0)</f>
        <v>1</v>
      </c>
      <c r="X371" s="3">
        <f>IF(Clean_Data[[#This Row],[Status]]="Delivered",IF(Clean_Data[[#This Row],[DeliveryMinutes]]&lt;=Dashboard!$X$5,1,0),0)</f>
        <v>1</v>
      </c>
      <c r="Y3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1" s="3">
        <f>IF(AND(Clean_Data[[#This Row],[Include]]=1,Clean_Data[[#This Row],[DeliveredFlag]]=1),1,0)</f>
        <v>1</v>
      </c>
      <c r="AA371" s="1">
        <f>IF(COUNTIF($D$2:D371,D371)=1,ROW()-1,ROWS(Clean_Data[OrderID])+1)</f>
        <v>370</v>
      </c>
      <c r="AB371" s="1">
        <f>IF(COUNTIF($F$2:F371,F371)=1,ROW()-1,ROWS(Clean_Data[OrderID])+1)</f>
        <v>901</v>
      </c>
      <c r="AC371" s="1">
        <f>IF(COUNTIF($G$2:G371,G371)=1,ROW()-1,ROWS(Clean_Data[OrderID])+1)</f>
        <v>901</v>
      </c>
      <c r="AD371" s="1">
        <f>IF(COUNTIF($H$2:H371,H371)=1,ROW()-1,ROWS(Clean_Data[OrderID])+1)</f>
        <v>901</v>
      </c>
      <c r="AE371" s="1">
        <f>IF(COUNTIF($V$2:V371,V371)=1,V371,ROWS(Clean_Data[OrderID])+1)</f>
        <v>901</v>
      </c>
      <c r="AF371" s="1">
        <f>IF(COUNTIF($U$2:U371,U371)=1,U371,ROWS(Clean_Data[OrderID])+1)</f>
        <v>901</v>
      </c>
      <c r="AG371" s="1">
        <f>IF(COUNTIF($E$2:E371,E371)=1,ROW()-1,ROWS(Clean_Data[OrderID])+1)</f>
        <v>901</v>
      </c>
    </row>
    <row r="372" spans="1:33" ht="20" customHeight="1">
      <c r="A372" s="3" t="s">
        <v>709</v>
      </c>
      <c r="B372" s="2">
        <v>46278</v>
      </c>
      <c r="C372" s="3">
        <v>21</v>
      </c>
      <c r="D372" s="3" t="s">
        <v>157</v>
      </c>
      <c r="E372" s="3" t="s">
        <v>91</v>
      </c>
      <c r="F372" s="3" t="s">
        <v>92</v>
      </c>
      <c r="G372" s="3" t="s">
        <v>99</v>
      </c>
      <c r="H372" s="3" t="s">
        <v>100</v>
      </c>
      <c r="I372" s="3">
        <v>4</v>
      </c>
      <c r="J372" s="11">
        <v>120</v>
      </c>
      <c r="K372" s="4">
        <v>0.05</v>
      </c>
      <c r="L372" s="3" t="s">
        <v>101</v>
      </c>
      <c r="M372" s="3"/>
      <c r="N372" s="3"/>
      <c r="O372" s="3"/>
      <c r="P372" s="11">
        <f>Clean_Data[[#This Row],[Quantity]]*Clean_Data[[#This Row],[UnitPrice]]</f>
        <v>480</v>
      </c>
      <c r="Q372" s="11">
        <f>ROUND(Clean_Data[[#This Row],[GrossSales]]*Clean_Data[[#This Row],[DiscountPct]],2)</f>
        <v>24</v>
      </c>
      <c r="R372" s="11">
        <f>IF(Clean_Data[[#This Row],[Status]]="Delivered",ROUND(Clean_Data[[#This Row],[GrossSales]]-Clean_Data[[#This Row],[DiscountAmount]],2),0)</f>
        <v>0</v>
      </c>
      <c r="S372" s="3" t="str">
        <f>IF(Clean_Data[[#This Row],[OrderHour]]&lt;6,"Night",IF(Clean_Data[[#This Row],[OrderHour]]&lt;12,"Morning",IF(Clean_Data[[#This Row],[OrderHour]]&lt;18,"Afternoon","Evening")))</f>
        <v>Evening</v>
      </c>
      <c r="T372" s="3" t="str">
        <f>TEXT(Clean_Data[[#This Row],[OrderDate]],"[$-409]ddd")</f>
        <v>Sun</v>
      </c>
      <c r="U372" s="3">
        <f>WEEKDAY(Clean_Data[[#This Row],[OrderDate]],2)</f>
        <v>7</v>
      </c>
      <c r="V372" s="3">
        <f>INT(Clean_Data[[#This Row],[OrderHour]]/6)+1</f>
        <v>4</v>
      </c>
      <c r="W372" s="3">
        <f>IF(Clean_Data[[#This Row],[Status]]="Delivered",1,0)</f>
        <v>0</v>
      </c>
      <c r="X372" s="3">
        <f>IF(Clean_Data[[#This Row],[Status]]="Delivered",IF(Clean_Data[[#This Row],[DeliveryMinutes]]&lt;=Dashboard!$X$5,1,0),0)</f>
        <v>0</v>
      </c>
      <c r="Y3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2" s="3">
        <f>IF(AND(Clean_Data[[#This Row],[Include]]=1,Clean_Data[[#This Row],[DeliveredFlag]]=1),1,0)</f>
        <v>0</v>
      </c>
      <c r="AA372" s="1">
        <f>IF(COUNTIF($D$2:D372,D372)=1,ROW()-1,ROWS(Clean_Data[OrderID])+1)</f>
        <v>901</v>
      </c>
      <c r="AB372" s="1">
        <f>IF(COUNTIF($F$2:F372,F372)=1,ROW()-1,ROWS(Clean_Data[OrderID])+1)</f>
        <v>901</v>
      </c>
      <c r="AC372" s="1">
        <f>IF(COUNTIF($G$2:G372,G372)=1,ROW()-1,ROWS(Clean_Data[OrderID])+1)</f>
        <v>901</v>
      </c>
      <c r="AD372" s="1">
        <f>IF(COUNTIF($H$2:H372,H372)=1,ROW()-1,ROWS(Clean_Data[OrderID])+1)</f>
        <v>901</v>
      </c>
      <c r="AE372" s="1">
        <f>IF(COUNTIF($V$2:V372,V372)=1,V372,ROWS(Clean_Data[OrderID])+1)</f>
        <v>901</v>
      </c>
      <c r="AF372" s="1">
        <f>IF(COUNTIF($U$2:U372,U372)=1,U372,ROWS(Clean_Data[OrderID])+1)</f>
        <v>901</v>
      </c>
      <c r="AG372" s="1">
        <f>IF(COUNTIF($E$2:E372,E372)=1,ROW()-1,ROWS(Clean_Data[OrderID])+1)</f>
        <v>901</v>
      </c>
    </row>
    <row r="373" spans="1:33" ht="20" customHeight="1">
      <c r="A373" s="3" t="s">
        <v>710</v>
      </c>
      <c r="B373" s="2">
        <v>46278</v>
      </c>
      <c r="C373" s="3">
        <v>6</v>
      </c>
      <c r="D373" s="3" t="s">
        <v>353</v>
      </c>
      <c r="E373" s="3" t="s">
        <v>91</v>
      </c>
      <c r="F373" s="3" t="s">
        <v>98</v>
      </c>
      <c r="G373" s="3" t="s">
        <v>174</v>
      </c>
      <c r="H373" s="3" t="s">
        <v>184</v>
      </c>
      <c r="I373" s="3">
        <v>1</v>
      </c>
      <c r="J373" s="11">
        <v>62</v>
      </c>
      <c r="K373" s="4">
        <v>0</v>
      </c>
      <c r="L373" s="3" t="s">
        <v>95</v>
      </c>
      <c r="M373" s="3">
        <v>16</v>
      </c>
      <c r="N373" s="3">
        <v>13</v>
      </c>
      <c r="O373" s="3">
        <v>5</v>
      </c>
      <c r="P373" s="11">
        <f>Clean_Data[[#This Row],[Quantity]]*Clean_Data[[#This Row],[UnitPrice]]</f>
        <v>62</v>
      </c>
      <c r="Q373" s="11">
        <f>ROUND(Clean_Data[[#This Row],[GrossSales]]*Clean_Data[[#This Row],[DiscountPct]],2)</f>
        <v>0</v>
      </c>
      <c r="R373" s="11">
        <f>IF(Clean_Data[[#This Row],[Status]]="Delivered",ROUND(Clean_Data[[#This Row],[GrossSales]]-Clean_Data[[#This Row],[DiscountAmount]],2),0)</f>
        <v>62</v>
      </c>
      <c r="S373" s="3" t="str">
        <f>IF(Clean_Data[[#This Row],[OrderHour]]&lt;6,"Night",IF(Clean_Data[[#This Row],[OrderHour]]&lt;12,"Morning",IF(Clean_Data[[#This Row],[OrderHour]]&lt;18,"Afternoon","Evening")))</f>
        <v>Morning</v>
      </c>
      <c r="T373" s="3" t="str">
        <f>TEXT(Clean_Data[[#This Row],[OrderDate]],"[$-409]ddd")</f>
        <v>Sun</v>
      </c>
      <c r="U373" s="3">
        <f>WEEKDAY(Clean_Data[[#This Row],[OrderDate]],2)</f>
        <v>7</v>
      </c>
      <c r="V373" s="3">
        <f>INT(Clean_Data[[#This Row],[OrderHour]]/6)+1</f>
        <v>2</v>
      </c>
      <c r="W373" s="3">
        <f>IF(Clean_Data[[#This Row],[Status]]="Delivered",1,0)</f>
        <v>1</v>
      </c>
      <c r="X373" s="3">
        <f>IF(Clean_Data[[#This Row],[Status]]="Delivered",IF(Clean_Data[[#This Row],[DeliveryMinutes]]&lt;=Dashboard!$X$5,1,0),0)</f>
        <v>1</v>
      </c>
      <c r="Y3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3" s="3">
        <f>IF(AND(Clean_Data[[#This Row],[Include]]=1,Clean_Data[[#This Row],[DeliveredFlag]]=1),1,0)</f>
        <v>1</v>
      </c>
      <c r="AA373" s="1">
        <f>IF(COUNTIF($D$2:D373,D373)=1,ROW()-1,ROWS(Clean_Data[OrderID])+1)</f>
        <v>901</v>
      </c>
      <c r="AB373" s="1">
        <f>IF(COUNTIF($F$2:F373,F373)=1,ROW()-1,ROWS(Clean_Data[OrderID])+1)</f>
        <v>901</v>
      </c>
      <c r="AC373" s="1">
        <f>IF(COUNTIF($G$2:G373,G373)=1,ROW()-1,ROWS(Clean_Data[OrderID])+1)</f>
        <v>901</v>
      </c>
      <c r="AD373" s="1">
        <f>IF(COUNTIF($H$2:H373,H373)=1,ROW()-1,ROWS(Clean_Data[OrderID])+1)</f>
        <v>901</v>
      </c>
      <c r="AE373" s="1">
        <f>IF(COUNTIF($V$2:V373,V373)=1,V373,ROWS(Clean_Data[OrderID])+1)</f>
        <v>901</v>
      </c>
      <c r="AF373" s="1">
        <f>IF(COUNTIF($U$2:U373,U373)=1,U373,ROWS(Clean_Data[OrderID])+1)</f>
        <v>901</v>
      </c>
      <c r="AG373" s="1">
        <f>IF(COUNTIF($E$2:E373,E373)=1,ROW()-1,ROWS(Clean_Data[OrderID])+1)</f>
        <v>901</v>
      </c>
    </row>
    <row r="374" spans="1:33" ht="20" customHeight="1">
      <c r="A374" s="3" t="s">
        <v>711</v>
      </c>
      <c r="B374" s="2">
        <v>46278</v>
      </c>
      <c r="C374" s="3">
        <v>19</v>
      </c>
      <c r="D374" s="3" t="s">
        <v>132</v>
      </c>
      <c r="E374" s="3" t="s">
        <v>91</v>
      </c>
      <c r="F374" s="3" t="s">
        <v>109</v>
      </c>
      <c r="G374" s="3" t="s">
        <v>99</v>
      </c>
      <c r="H374" s="3" t="s">
        <v>104</v>
      </c>
      <c r="I374" s="3">
        <v>1</v>
      </c>
      <c r="J374" s="11">
        <v>240</v>
      </c>
      <c r="K374" s="4">
        <v>0</v>
      </c>
      <c r="L374" s="3" t="s">
        <v>95</v>
      </c>
      <c r="M374" s="3">
        <v>15</v>
      </c>
      <c r="N374" s="3">
        <v>10</v>
      </c>
      <c r="O374" s="3">
        <v>4</v>
      </c>
      <c r="P374" s="11">
        <f>Clean_Data[[#This Row],[Quantity]]*Clean_Data[[#This Row],[UnitPrice]]</f>
        <v>240</v>
      </c>
      <c r="Q374" s="11">
        <f>ROUND(Clean_Data[[#This Row],[GrossSales]]*Clean_Data[[#This Row],[DiscountPct]],2)</f>
        <v>0</v>
      </c>
      <c r="R374" s="11">
        <f>IF(Clean_Data[[#This Row],[Status]]="Delivered",ROUND(Clean_Data[[#This Row],[GrossSales]]-Clean_Data[[#This Row],[DiscountAmount]],2),0)</f>
        <v>240</v>
      </c>
      <c r="S374" s="3" t="str">
        <f>IF(Clean_Data[[#This Row],[OrderHour]]&lt;6,"Night",IF(Clean_Data[[#This Row],[OrderHour]]&lt;12,"Morning",IF(Clean_Data[[#This Row],[OrderHour]]&lt;18,"Afternoon","Evening")))</f>
        <v>Evening</v>
      </c>
      <c r="T374" s="3" t="str">
        <f>TEXT(Clean_Data[[#This Row],[OrderDate]],"[$-409]ddd")</f>
        <v>Sun</v>
      </c>
      <c r="U374" s="3">
        <f>WEEKDAY(Clean_Data[[#This Row],[OrderDate]],2)</f>
        <v>7</v>
      </c>
      <c r="V374" s="3">
        <f>INT(Clean_Data[[#This Row],[OrderHour]]/6)+1</f>
        <v>4</v>
      </c>
      <c r="W374" s="3">
        <f>IF(Clean_Data[[#This Row],[Status]]="Delivered",1,0)</f>
        <v>1</v>
      </c>
      <c r="X374" s="3">
        <f>IF(Clean_Data[[#This Row],[Status]]="Delivered",IF(Clean_Data[[#This Row],[DeliveryMinutes]]&lt;=Dashboard!$X$5,1,0),0)</f>
        <v>1</v>
      </c>
      <c r="Y3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4" s="3">
        <f>IF(AND(Clean_Data[[#This Row],[Include]]=1,Clean_Data[[#This Row],[DeliveredFlag]]=1),1,0)</f>
        <v>1</v>
      </c>
      <c r="AA374" s="1">
        <f>IF(COUNTIF($D$2:D374,D374)=1,ROW()-1,ROWS(Clean_Data[OrderID])+1)</f>
        <v>901</v>
      </c>
      <c r="AB374" s="1">
        <f>IF(COUNTIF($F$2:F374,F374)=1,ROW()-1,ROWS(Clean_Data[OrderID])+1)</f>
        <v>901</v>
      </c>
      <c r="AC374" s="1">
        <f>IF(COUNTIF($G$2:G374,G374)=1,ROW()-1,ROWS(Clean_Data[OrderID])+1)</f>
        <v>901</v>
      </c>
      <c r="AD374" s="1">
        <f>IF(COUNTIF($H$2:H374,H374)=1,ROW()-1,ROWS(Clean_Data[OrderID])+1)</f>
        <v>901</v>
      </c>
      <c r="AE374" s="1">
        <f>IF(COUNTIF($V$2:V374,V374)=1,V374,ROWS(Clean_Data[OrderID])+1)</f>
        <v>901</v>
      </c>
      <c r="AF374" s="1">
        <f>IF(COUNTIF($U$2:U374,U374)=1,U374,ROWS(Clean_Data[OrderID])+1)</f>
        <v>901</v>
      </c>
      <c r="AG374" s="1">
        <f>IF(COUNTIF($E$2:E374,E374)=1,ROW()-1,ROWS(Clean_Data[OrderID])+1)</f>
        <v>901</v>
      </c>
    </row>
    <row r="375" spans="1:33" ht="20" customHeight="1">
      <c r="A375" s="3" t="s">
        <v>712</v>
      </c>
      <c r="B375" s="2">
        <v>46278</v>
      </c>
      <c r="C375" s="3">
        <v>17</v>
      </c>
      <c r="D375" s="3" t="s">
        <v>713</v>
      </c>
      <c r="E375" s="3" t="s">
        <v>91</v>
      </c>
      <c r="F375" s="3" t="s">
        <v>98</v>
      </c>
      <c r="G375" s="3" t="s">
        <v>99</v>
      </c>
      <c r="H375" s="3" t="s">
        <v>130</v>
      </c>
      <c r="I375" s="3">
        <v>2</v>
      </c>
      <c r="J375" s="11">
        <v>85</v>
      </c>
      <c r="K375" s="4">
        <v>0.15</v>
      </c>
      <c r="L375" s="3" t="s">
        <v>95</v>
      </c>
      <c r="M375" s="3">
        <v>30</v>
      </c>
      <c r="N375" s="3">
        <v>11</v>
      </c>
      <c r="O375" s="3">
        <v>3</v>
      </c>
      <c r="P375" s="11">
        <f>Clean_Data[[#This Row],[Quantity]]*Clean_Data[[#This Row],[UnitPrice]]</f>
        <v>170</v>
      </c>
      <c r="Q375" s="11">
        <f>ROUND(Clean_Data[[#This Row],[GrossSales]]*Clean_Data[[#This Row],[DiscountPct]],2)</f>
        <v>25.5</v>
      </c>
      <c r="R375" s="11">
        <f>IF(Clean_Data[[#This Row],[Status]]="Delivered",ROUND(Clean_Data[[#This Row],[GrossSales]]-Clean_Data[[#This Row],[DiscountAmount]],2),0)</f>
        <v>144.5</v>
      </c>
      <c r="S375" s="3" t="str">
        <f>IF(Clean_Data[[#This Row],[OrderHour]]&lt;6,"Night",IF(Clean_Data[[#This Row],[OrderHour]]&lt;12,"Morning",IF(Clean_Data[[#This Row],[OrderHour]]&lt;18,"Afternoon","Evening")))</f>
        <v>Afternoon</v>
      </c>
      <c r="T375" s="3" t="str">
        <f>TEXT(Clean_Data[[#This Row],[OrderDate]],"[$-409]ddd")</f>
        <v>Sun</v>
      </c>
      <c r="U375" s="3">
        <f>WEEKDAY(Clean_Data[[#This Row],[OrderDate]],2)</f>
        <v>7</v>
      </c>
      <c r="V375" s="3">
        <f>INT(Clean_Data[[#This Row],[OrderHour]]/6)+1</f>
        <v>3</v>
      </c>
      <c r="W375" s="3">
        <f>IF(Clean_Data[[#This Row],[Status]]="Delivered",1,0)</f>
        <v>1</v>
      </c>
      <c r="X375" s="3">
        <f>IF(Clean_Data[[#This Row],[Status]]="Delivered",IF(Clean_Data[[#This Row],[DeliveryMinutes]]&lt;=Dashboard!$X$5,1,0),0)</f>
        <v>1</v>
      </c>
      <c r="Y3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5" s="3">
        <f>IF(AND(Clean_Data[[#This Row],[Include]]=1,Clean_Data[[#This Row],[DeliveredFlag]]=1),1,0)</f>
        <v>1</v>
      </c>
      <c r="AA375" s="1">
        <f>IF(COUNTIF($D$2:D375,D375)=1,ROW()-1,ROWS(Clean_Data[OrderID])+1)</f>
        <v>374</v>
      </c>
      <c r="AB375" s="1">
        <f>IF(COUNTIF($F$2:F375,F375)=1,ROW()-1,ROWS(Clean_Data[OrderID])+1)</f>
        <v>901</v>
      </c>
      <c r="AC375" s="1">
        <f>IF(COUNTIF($G$2:G375,G375)=1,ROW()-1,ROWS(Clean_Data[OrderID])+1)</f>
        <v>901</v>
      </c>
      <c r="AD375" s="1">
        <f>IF(COUNTIF($H$2:H375,H375)=1,ROW()-1,ROWS(Clean_Data[OrderID])+1)</f>
        <v>901</v>
      </c>
      <c r="AE375" s="1">
        <f>IF(COUNTIF($V$2:V375,V375)=1,V375,ROWS(Clean_Data[OrderID])+1)</f>
        <v>901</v>
      </c>
      <c r="AF375" s="1">
        <f>IF(COUNTIF($U$2:U375,U375)=1,U375,ROWS(Clean_Data[OrderID])+1)</f>
        <v>901</v>
      </c>
      <c r="AG375" s="1">
        <f>IF(COUNTIF($E$2:E375,E375)=1,ROW()-1,ROWS(Clean_Data[OrderID])+1)</f>
        <v>901</v>
      </c>
    </row>
    <row r="376" spans="1:33" ht="20" customHeight="1">
      <c r="A376" s="3" t="s">
        <v>714</v>
      </c>
      <c r="B376" s="2">
        <v>46278</v>
      </c>
      <c r="C376" s="3">
        <v>7</v>
      </c>
      <c r="D376" s="3" t="s">
        <v>374</v>
      </c>
      <c r="E376" s="3" t="s">
        <v>91</v>
      </c>
      <c r="F376" s="3" t="s">
        <v>109</v>
      </c>
      <c r="G376" s="3" t="s">
        <v>93</v>
      </c>
      <c r="H376" s="3" t="s">
        <v>94</v>
      </c>
      <c r="I376" s="3">
        <v>6</v>
      </c>
      <c r="J376" s="11">
        <v>95</v>
      </c>
      <c r="K376" s="4">
        <v>0</v>
      </c>
      <c r="L376" s="3" t="s">
        <v>95</v>
      </c>
      <c r="M376" s="3">
        <v>20</v>
      </c>
      <c r="N376" s="3">
        <v>14</v>
      </c>
      <c r="O376" s="3">
        <v>4</v>
      </c>
      <c r="P376" s="11">
        <f>Clean_Data[[#This Row],[Quantity]]*Clean_Data[[#This Row],[UnitPrice]]</f>
        <v>570</v>
      </c>
      <c r="Q376" s="11">
        <f>ROUND(Clean_Data[[#This Row],[GrossSales]]*Clean_Data[[#This Row],[DiscountPct]],2)</f>
        <v>0</v>
      </c>
      <c r="R376" s="11">
        <f>IF(Clean_Data[[#This Row],[Status]]="Delivered",ROUND(Clean_Data[[#This Row],[GrossSales]]-Clean_Data[[#This Row],[DiscountAmount]],2),0)</f>
        <v>570</v>
      </c>
      <c r="S376" s="3" t="str">
        <f>IF(Clean_Data[[#This Row],[OrderHour]]&lt;6,"Night",IF(Clean_Data[[#This Row],[OrderHour]]&lt;12,"Morning",IF(Clean_Data[[#This Row],[OrderHour]]&lt;18,"Afternoon","Evening")))</f>
        <v>Morning</v>
      </c>
      <c r="T376" s="3" t="str">
        <f>TEXT(Clean_Data[[#This Row],[OrderDate]],"[$-409]ddd")</f>
        <v>Sun</v>
      </c>
      <c r="U376" s="3">
        <f>WEEKDAY(Clean_Data[[#This Row],[OrderDate]],2)</f>
        <v>7</v>
      </c>
      <c r="V376" s="3">
        <f>INT(Clean_Data[[#This Row],[OrderHour]]/6)+1</f>
        <v>2</v>
      </c>
      <c r="W376" s="3">
        <f>IF(Clean_Data[[#This Row],[Status]]="Delivered",1,0)</f>
        <v>1</v>
      </c>
      <c r="X376" s="3">
        <f>IF(Clean_Data[[#This Row],[Status]]="Delivered",IF(Clean_Data[[#This Row],[DeliveryMinutes]]&lt;=Dashboard!$X$5,1,0),0)</f>
        <v>1</v>
      </c>
      <c r="Y3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6" s="3">
        <f>IF(AND(Clean_Data[[#This Row],[Include]]=1,Clean_Data[[#This Row],[DeliveredFlag]]=1),1,0)</f>
        <v>1</v>
      </c>
      <c r="AA376" s="1">
        <f>IF(COUNTIF($D$2:D376,D376)=1,ROW()-1,ROWS(Clean_Data[OrderID])+1)</f>
        <v>901</v>
      </c>
      <c r="AB376" s="1">
        <f>IF(COUNTIF($F$2:F376,F376)=1,ROW()-1,ROWS(Clean_Data[OrderID])+1)</f>
        <v>901</v>
      </c>
      <c r="AC376" s="1">
        <f>IF(COUNTIF($G$2:G376,G376)=1,ROW()-1,ROWS(Clean_Data[OrderID])+1)</f>
        <v>901</v>
      </c>
      <c r="AD376" s="1">
        <f>IF(COUNTIF($H$2:H376,H376)=1,ROW()-1,ROWS(Clean_Data[OrderID])+1)</f>
        <v>901</v>
      </c>
      <c r="AE376" s="1">
        <f>IF(COUNTIF($V$2:V376,V376)=1,V376,ROWS(Clean_Data[OrderID])+1)</f>
        <v>901</v>
      </c>
      <c r="AF376" s="1">
        <f>IF(COUNTIF($U$2:U376,U376)=1,U376,ROWS(Clean_Data[OrderID])+1)</f>
        <v>901</v>
      </c>
      <c r="AG376" s="1">
        <f>IF(COUNTIF($E$2:E376,E376)=1,ROW()-1,ROWS(Clean_Data[OrderID])+1)</f>
        <v>901</v>
      </c>
    </row>
    <row r="377" spans="1:33" ht="20" customHeight="1">
      <c r="A377" s="3" t="s">
        <v>715</v>
      </c>
      <c r="B377" s="2">
        <v>46278</v>
      </c>
      <c r="C377" s="3">
        <v>12</v>
      </c>
      <c r="D377" s="3" t="s">
        <v>318</v>
      </c>
      <c r="E377" s="3" t="s">
        <v>117</v>
      </c>
      <c r="F377" s="3" t="s">
        <v>121</v>
      </c>
      <c r="G377" s="3" t="s">
        <v>135</v>
      </c>
      <c r="H377" s="3" t="s">
        <v>217</v>
      </c>
      <c r="I377" s="3">
        <v>5</v>
      </c>
      <c r="J377" s="11">
        <v>65</v>
      </c>
      <c r="K377" s="4">
        <v>0.15</v>
      </c>
      <c r="L377" s="3" t="s">
        <v>95</v>
      </c>
      <c r="M377" s="3">
        <v>17</v>
      </c>
      <c r="N377" s="3">
        <v>15</v>
      </c>
      <c r="O377" s="3">
        <v>5</v>
      </c>
      <c r="P377" s="11">
        <f>Clean_Data[[#This Row],[Quantity]]*Clean_Data[[#This Row],[UnitPrice]]</f>
        <v>325</v>
      </c>
      <c r="Q377" s="11">
        <f>ROUND(Clean_Data[[#This Row],[GrossSales]]*Clean_Data[[#This Row],[DiscountPct]],2)</f>
        <v>48.75</v>
      </c>
      <c r="R377" s="11">
        <f>IF(Clean_Data[[#This Row],[Status]]="Delivered",ROUND(Clean_Data[[#This Row],[GrossSales]]-Clean_Data[[#This Row],[DiscountAmount]],2),0)</f>
        <v>276.25</v>
      </c>
      <c r="S377" s="3" t="str">
        <f>IF(Clean_Data[[#This Row],[OrderHour]]&lt;6,"Night",IF(Clean_Data[[#This Row],[OrderHour]]&lt;12,"Morning",IF(Clean_Data[[#This Row],[OrderHour]]&lt;18,"Afternoon","Evening")))</f>
        <v>Afternoon</v>
      </c>
      <c r="T377" s="3" t="str">
        <f>TEXT(Clean_Data[[#This Row],[OrderDate]],"[$-409]ddd")</f>
        <v>Sun</v>
      </c>
      <c r="U377" s="3">
        <f>WEEKDAY(Clean_Data[[#This Row],[OrderDate]],2)</f>
        <v>7</v>
      </c>
      <c r="V377" s="3">
        <f>INT(Clean_Data[[#This Row],[OrderHour]]/6)+1</f>
        <v>3</v>
      </c>
      <c r="W377" s="3">
        <f>IF(Clean_Data[[#This Row],[Status]]="Delivered",1,0)</f>
        <v>1</v>
      </c>
      <c r="X377" s="3">
        <f>IF(Clean_Data[[#This Row],[Status]]="Delivered",IF(Clean_Data[[#This Row],[DeliveryMinutes]]&lt;=Dashboard!$X$5,1,0),0)</f>
        <v>1</v>
      </c>
      <c r="Y3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7" s="3">
        <f>IF(AND(Clean_Data[[#This Row],[Include]]=1,Clean_Data[[#This Row],[DeliveredFlag]]=1),1,0)</f>
        <v>1</v>
      </c>
      <c r="AA377" s="1">
        <f>IF(COUNTIF($D$2:D377,D377)=1,ROW()-1,ROWS(Clean_Data[OrderID])+1)</f>
        <v>901</v>
      </c>
      <c r="AB377" s="1">
        <f>IF(COUNTIF($F$2:F377,F377)=1,ROW()-1,ROWS(Clean_Data[OrderID])+1)</f>
        <v>901</v>
      </c>
      <c r="AC377" s="1">
        <f>IF(COUNTIF($G$2:G377,G377)=1,ROW()-1,ROWS(Clean_Data[OrderID])+1)</f>
        <v>901</v>
      </c>
      <c r="AD377" s="1">
        <f>IF(COUNTIF($H$2:H377,H377)=1,ROW()-1,ROWS(Clean_Data[OrderID])+1)</f>
        <v>901</v>
      </c>
      <c r="AE377" s="1">
        <f>IF(COUNTIF($V$2:V377,V377)=1,V377,ROWS(Clean_Data[OrderID])+1)</f>
        <v>901</v>
      </c>
      <c r="AF377" s="1">
        <f>IF(COUNTIF($U$2:U377,U377)=1,U377,ROWS(Clean_Data[OrderID])+1)</f>
        <v>901</v>
      </c>
      <c r="AG377" s="1">
        <f>IF(COUNTIF($E$2:E377,E377)=1,ROW()-1,ROWS(Clean_Data[OrderID])+1)</f>
        <v>901</v>
      </c>
    </row>
    <row r="378" spans="1:33" ht="20" customHeight="1">
      <c r="A378" s="3" t="s">
        <v>716</v>
      </c>
      <c r="B378" s="2">
        <v>46278</v>
      </c>
      <c r="C378" s="3">
        <v>19</v>
      </c>
      <c r="D378" s="3" t="s">
        <v>717</v>
      </c>
      <c r="E378" s="3" t="s">
        <v>117</v>
      </c>
      <c r="F378" s="3" t="s">
        <v>139</v>
      </c>
      <c r="G378" s="3" t="s">
        <v>110</v>
      </c>
      <c r="H378" s="3" t="s">
        <v>111</v>
      </c>
      <c r="I378" s="3">
        <v>4</v>
      </c>
      <c r="J378" s="11">
        <v>115</v>
      </c>
      <c r="K378" s="4">
        <v>0</v>
      </c>
      <c r="L378" s="3" t="s">
        <v>95</v>
      </c>
      <c r="M378" s="3">
        <v>21</v>
      </c>
      <c r="N378" s="3">
        <v>9</v>
      </c>
      <c r="O378" s="3">
        <v>4</v>
      </c>
      <c r="P378" s="11">
        <f>Clean_Data[[#This Row],[Quantity]]*Clean_Data[[#This Row],[UnitPrice]]</f>
        <v>460</v>
      </c>
      <c r="Q378" s="11">
        <f>ROUND(Clean_Data[[#This Row],[GrossSales]]*Clean_Data[[#This Row],[DiscountPct]],2)</f>
        <v>0</v>
      </c>
      <c r="R378" s="11">
        <f>IF(Clean_Data[[#This Row],[Status]]="Delivered",ROUND(Clean_Data[[#This Row],[GrossSales]]-Clean_Data[[#This Row],[DiscountAmount]],2),0)</f>
        <v>460</v>
      </c>
      <c r="S378" s="3" t="str">
        <f>IF(Clean_Data[[#This Row],[OrderHour]]&lt;6,"Night",IF(Clean_Data[[#This Row],[OrderHour]]&lt;12,"Morning",IF(Clean_Data[[#This Row],[OrderHour]]&lt;18,"Afternoon","Evening")))</f>
        <v>Evening</v>
      </c>
      <c r="T378" s="3" t="str">
        <f>TEXT(Clean_Data[[#This Row],[OrderDate]],"[$-409]ddd")</f>
        <v>Sun</v>
      </c>
      <c r="U378" s="3">
        <f>WEEKDAY(Clean_Data[[#This Row],[OrderDate]],2)</f>
        <v>7</v>
      </c>
      <c r="V378" s="3">
        <f>INT(Clean_Data[[#This Row],[OrderHour]]/6)+1</f>
        <v>4</v>
      </c>
      <c r="W378" s="3">
        <f>IF(Clean_Data[[#This Row],[Status]]="Delivered",1,0)</f>
        <v>1</v>
      </c>
      <c r="X378" s="3">
        <f>IF(Clean_Data[[#This Row],[Status]]="Delivered",IF(Clean_Data[[#This Row],[DeliveryMinutes]]&lt;=Dashboard!$X$5,1,0),0)</f>
        <v>1</v>
      </c>
      <c r="Y3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8" s="3">
        <f>IF(AND(Clean_Data[[#This Row],[Include]]=1,Clean_Data[[#This Row],[DeliveredFlag]]=1),1,0)</f>
        <v>1</v>
      </c>
      <c r="AA378" s="1">
        <f>IF(COUNTIF($D$2:D378,D378)=1,ROW()-1,ROWS(Clean_Data[OrderID])+1)</f>
        <v>377</v>
      </c>
      <c r="AB378" s="1">
        <f>IF(COUNTIF($F$2:F378,F378)=1,ROW()-1,ROWS(Clean_Data[OrderID])+1)</f>
        <v>901</v>
      </c>
      <c r="AC378" s="1">
        <f>IF(COUNTIF($G$2:G378,G378)=1,ROW()-1,ROWS(Clean_Data[OrderID])+1)</f>
        <v>901</v>
      </c>
      <c r="AD378" s="1">
        <f>IF(COUNTIF($H$2:H378,H378)=1,ROW()-1,ROWS(Clean_Data[OrderID])+1)</f>
        <v>901</v>
      </c>
      <c r="AE378" s="1">
        <f>IF(COUNTIF($V$2:V378,V378)=1,V378,ROWS(Clean_Data[OrderID])+1)</f>
        <v>901</v>
      </c>
      <c r="AF378" s="1">
        <f>IF(COUNTIF($U$2:U378,U378)=1,U378,ROWS(Clean_Data[OrderID])+1)</f>
        <v>901</v>
      </c>
      <c r="AG378" s="1">
        <f>IF(COUNTIF($E$2:E378,E378)=1,ROW()-1,ROWS(Clean_Data[OrderID])+1)</f>
        <v>901</v>
      </c>
    </row>
    <row r="379" spans="1:33" ht="20" customHeight="1">
      <c r="A379" s="3" t="s">
        <v>718</v>
      </c>
      <c r="B379" s="2">
        <v>46278</v>
      </c>
      <c r="C379" s="3">
        <v>13</v>
      </c>
      <c r="D379" s="3" t="s">
        <v>719</v>
      </c>
      <c r="E379" s="3" t="s">
        <v>91</v>
      </c>
      <c r="F379" s="3" t="s">
        <v>92</v>
      </c>
      <c r="G379" s="3" t="s">
        <v>93</v>
      </c>
      <c r="H379" s="3" t="s">
        <v>118</v>
      </c>
      <c r="I379" s="3">
        <v>3</v>
      </c>
      <c r="J379" s="11">
        <v>45</v>
      </c>
      <c r="K379" s="4">
        <v>0.1</v>
      </c>
      <c r="L379" s="3" t="s">
        <v>95</v>
      </c>
      <c r="M379" s="3">
        <v>19</v>
      </c>
      <c r="N379" s="3">
        <v>15</v>
      </c>
      <c r="O379" s="3">
        <v>4</v>
      </c>
      <c r="P379" s="11">
        <f>Clean_Data[[#This Row],[Quantity]]*Clean_Data[[#This Row],[UnitPrice]]</f>
        <v>135</v>
      </c>
      <c r="Q379" s="11">
        <f>ROUND(Clean_Data[[#This Row],[GrossSales]]*Clean_Data[[#This Row],[DiscountPct]],2)</f>
        <v>13.5</v>
      </c>
      <c r="R379" s="11">
        <f>IF(Clean_Data[[#This Row],[Status]]="Delivered",ROUND(Clean_Data[[#This Row],[GrossSales]]-Clean_Data[[#This Row],[DiscountAmount]],2),0)</f>
        <v>121.5</v>
      </c>
      <c r="S379" s="3" t="str">
        <f>IF(Clean_Data[[#This Row],[OrderHour]]&lt;6,"Night",IF(Clean_Data[[#This Row],[OrderHour]]&lt;12,"Morning",IF(Clean_Data[[#This Row],[OrderHour]]&lt;18,"Afternoon","Evening")))</f>
        <v>Afternoon</v>
      </c>
      <c r="T379" s="3" t="str">
        <f>TEXT(Clean_Data[[#This Row],[OrderDate]],"[$-409]ddd")</f>
        <v>Sun</v>
      </c>
      <c r="U379" s="3">
        <f>WEEKDAY(Clean_Data[[#This Row],[OrderDate]],2)</f>
        <v>7</v>
      </c>
      <c r="V379" s="3">
        <f>INT(Clean_Data[[#This Row],[OrderHour]]/6)+1</f>
        <v>3</v>
      </c>
      <c r="W379" s="3">
        <f>IF(Clean_Data[[#This Row],[Status]]="Delivered",1,0)</f>
        <v>1</v>
      </c>
      <c r="X379" s="3">
        <f>IF(Clean_Data[[#This Row],[Status]]="Delivered",IF(Clean_Data[[#This Row],[DeliveryMinutes]]&lt;=Dashboard!$X$5,1,0),0)</f>
        <v>1</v>
      </c>
      <c r="Y3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79" s="3">
        <f>IF(AND(Clean_Data[[#This Row],[Include]]=1,Clean_Data[[#This Row],[DeliveredFlag]]=1),1,0)</f>
        <v>1</v>
      </c>
      <c r="AA379" s="1">
        <f>IF(COUNTIF($D$2:D379,D379)=1,ROW()-1,ROWS(Clean_Data[OrderID])+1)</f>
        <v>378</v>
      </c>
      <c r="AB379" s="1">
        <f>IF(COUNTIF($F$2:F379,F379)=1,ROW()-1,ROWS(Clean_Data[OrderID])+1)</f>
        <v>901</v>
      </c>
      <c r="AC379" s="1">
        <f>IF(COUNTIF($G$2:G379,G379)=1,ROW()-1,ROWS(Clean_Data[OrderID])+1)</f>
        <v>901</v>
      </c>
      <c r="AD379" s="1">
        <f>IF(COUNTIF($H$2:H379,H379)=1,ROW()-1,ROWS(Clean_Data[OrderID])+1)</f>
        <v>901</v>
      </c>
      <c r="AE379" s="1">
        <f>IF(COUNTIF($V$2:V379,V379)=1,V379,ROWS(Clean_Data[OrderID])+1)</f>
        <v>901</v>
      </c>
      <c r="AF379" s="1">
        <f>IF(COUNTIF($U$2:U379,U379)=1,U379,ROWS(Clean_Data[OrderID])+1)</f>
        <v>901</v>
      </c>
      <c r="AG379" s="1">
        <f>IF(COUNTIF($E$2:E379,E379)=1,ROW()-1,ROWS(Clean_Data[OrderID])+1)</f>
        <v>901</v>
      </c>
    </row>
    <row r="380" spans="1:33" ht="20" customHeight="1">
      <c r="A380" s="3" t="s">
        <v>720</v>
      </c>
      <c r="B380" s="2">
        <v>46278</v>
      </c>
      <c r="C380" s="3">
        <v>8</v>
      </c>
      <c r="D380" s="3" t="s">
        <v>721</v>
      </c>
      <c r="E380" s="3" t="s">
        <v>91</v>
      </c>
      <c r="F380" s="3" t="s">
        <v>109</v>
      </c>
      <c r="G380" s="3" t="s">
        <v>122</v>
      </c>
      <c r="H380" s="3" t="s">
        <v>153</v>
      </c>
      <c r="I380" s="3">
        <v>3</v>
      </c>
      <c r="J380" s="11">
        <v>130</v>
      </c>
      <c r="K380" s="4">
        <v>0</v>
      </c>
      <c r="L380" s="3" t="s">
        <v>95</v>
      </c>
      <c r="M380" s="3">
        <v>15</v>
      </c>
      <c r="N380" s="3">
        <v>11</v>
      </c>
      <c r="O380" s="3">
        <v>3</v>
      </c>
      <c r="P380" s="11">
        <f>Clean_Data[[#This Row],[Quantity]]*Clean_Data[[#This Row],[UnitPrice]]</f>
        <v>390</v>
      </c>
      <c r="Q380" s="11">
        <f>ROUND(Clean_Data[[#This Row],[GrossSales]]*Clean_Data[[#This Row],[DiscountPct]],2)</f>
        <v>0</v>
      </c>
      <c r="R380" s="11">
        <f>IF(Clean_Data[[#This Row],[Status]]="Delivered",ROUND(Clean_Data[[#This Row],[GrossSales]]-Clean_Data[[#This Row],[DiscountAmount]],2),0)</f>
        <v>390</v>
      </c>
      <c r="S380" s="3" t="str">
        <f>IF(Clean_Data[[#This Row],[OrderHour]]&lt;6,"Night",IF(Clean_Data[[#This Row],[OrderHour]]&lt;12,"Morning",IF(Clean_Data[[#This Row],[OrderHour]]&lt;18,"Afternoon","Evening")))</f>
        <v>Morning</v>
      </c>
      <c r="T380" s="3" t="str">
        <f>TEXT(Clean_Data[[#This Row],[OrderDate]],"[$-409]ddd")</f>
        <v>Sun</v>
      </c>
      <c r="U380" s="3">
        <f>WEEKDAY(Clean_Data[[#This Row],[OrderDate]],2)</f>
        <v>7</v>
      </c>
      <c r="V380" s="3">
        <f>INT(Clean_Data[[#This Row],[OrderHour]]/6)+1</f>
        <v>2</v>
      </c>
      <c r="W380" s="3">
        <f>IF(Clean_Data[[#This Row],[Status]]="Delivered",1,0)</f>
        <v>1</v>
      </c>
      <c r="X380" s="3">
        <f>IF(Clean_Data[[#This Row],[Status]]="Delivered",IF(Clean_Data[[#This Row],[DeliveryMinutes]]&lt;=Dashboard!$X$5,1,0),0)</f>
        <v>1</v>
      </c>
      <c r="Y3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0" s="3">
        <f>IF(AND(Clean_Data[[#This Row],[Include]]=1,Clean_Data[[#This Row],[DeliveredFlag]]=1),1,0)</f>
        <v>1</v>
      </c>
      <c r="AA380" s="1">
        <f>IF(COUNTIF($D$2:D380,D380)=1,ROW()-1,ROWS(Clean_Data[OrderID])+1)</f>
        <v>379</v>
      </c>
      <c r="AB380" s="1">
        <f>IF(COUNTIF($F$2:F380,F380)=1,ROW()-1,ROWS(Clean_Data[OrderID])+1)</f>
        <v>901</v>
      </c>
      <c r="AC380" s="1">
        <f>IF(COUNTIF($G$2:G380,G380)=1,ROW()-1,ROWS(Clean_Data[OrderID])+1)</f>
        <v>901</v>
      </c>
      <c r="AD380" s="1">
        <f>IF(COUNTIF($H$2:H380,H380)=1,ROW()-1,ROWS(Clean_Data[OrderID])+1)</f>
        <v>901</v>
      </c>
      <c r="AE380" s="1">
        <f>IF(COUNTIF($V$2:V380,V380)=1,V380,ROWS(Clean_Data[OrderID])+1)</f>
        <v>901</v>
      </c>
      <c r="AF380" s="1">
        <f>IF(COUNTIF($U$2:U380,U380)=1,U380,ROWS(Clean_Data[OrderID])+1)</f>
        <v>901</v>
      </c>
      <c r="AG380" s="1">
        <f>IF(COUNTIF($E$2:E380,E380)=1,ROW()-1,ROWS(Clean_Data[OrderID])+1)</f>
        <v>901</v>
      </c>
    </row>
    <row r="381" spans="1:33" ht="20" customHeight="1">
      <c r="A381" s="3" t="s">
        <v>722</v>
      </c>
      <c r="B381" s="2">
        <v>46278</v>
      </c>
      <c r="C381" s="3">
        <v>17</v>
      </c>
      <c r="D381" s="3" t="s">
        <v>589</v>
      </c>
      <c r="E381" s="3" t="s">
        <v>91</v>
      </c>
      <c r="F381" s="3" t="s">
        <v>121</v>
      </c>
      <c r="G381" s="3" t="s">
        <v>110</v>
      </c>
      <c r="H381" s="3" t="s">
        <v>111</v>
      </c>
      <c r="I381" s="3">
        <v>3</v>
      </c>
      <c r="J381" s="11">
        <v>115</v>
      </c>
      <c r="K381" s="4">
        <v>0.15</v>
      </c>
      <c r="L381" s="3" t="s">
        <v>95</v>
      </c>
      <c r="M381" s="3">
        <v>16</v>
      </c>
      <c r="N381" s="3">
        <v>7</v>
      </c>
      <c r="O381" s="3">
        <v>5</v>
      </c>
      <c r="P381" s="11">
        <f>Clean_Data[[#This Row],[Quantity]]*Clean_Data[[#This Row],[UnitPrice]]</f>
        <v>345</v>
      </c>
      <c r="Q381" s="11">
        <f>ROUND(Clean_Data[[#This Row],[GrossSales]]*Clean_Data[[#This Row],[DiscountPct]],2)</f>
        <v>51.75</v>
      </c>
      <c r="R381" s="11">
        <f>IF(Clean_Data[[#This Row],[Status]]="Delivered",ROUND(Clean_Data[[#This Row],[GrossSales]]-Clean_Data[[#This Row],[DiscountAmount]],2),0)</f>
        <v>293.25</v>
      </c>
      <c r="S381" s="3" t="str">
        <f>IF(Clean_Data[[#This Row],[OrderHour]]&lt;6,"Night",IF(Clean_Data[[#This Row],[OrderHour]]&lt;12,"Morning",IF(Clean_Data[[#This Row],[OrderHour]]&lt;18,"Afternoon","Evening")))</f>
        <v>Afternoon</v>
      </c>
      <c r="T381" s="3" t="str">
        <f>TEXT(Clean_Data[[#This Row],[OrderDate]],"[$-409]ddd")</f>
        <v>Sun</v>
      </c>
      <c r="U381" s="3">
        <f>WEEKDAY(Clean_Data[[#This Row],[OrderDate]],2)</f>
        <v>7</v>
      </c>
      <c r="V381" s="3">
        <f>INT(Clean_Data[[#This Row],[OrderHour]]/6)+1</f>
        <v>3</v>
      </c>
      <c r="W381" s="3">
        <f>IF(Clean_Data[[#This Row],[Status]]="Delivered",1,0)</f>
        <v>1</v>
      </c>
      <c r="X381" s="3">
        <f>IF(Clean_Data[[#This Row],[Status]]="Delivered",IF(Clean_Data[[#This Row],[DeliveryMinutes]]&lt;=Dashboard!$X$5,1,0),0)</f>
        <v>1</v>
      </c>
      <c r="Y3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1" s="3">
        <f>IF(AND(Clean_Data[[#This Row],[Include]]=1,Clean_Data[[#This Row],[DeliveredFlag]]=1),1,0)</f>
        <v>1</v>
      </c>
      <c r="AA381" s="1">
        <f>IF(COUNTIF($D$2:D381,D381)=1,ROW()-1,ROWS(Clean_Data[OrderID])+1)</f>
        <v>901</v>
      </c>
      <c r="AB381" s="1">
        <f>IF(COUNTIF($F$2:F381,F381)=1,ROW()-1,ROWS(Clean_Data[OrderID])+1)</f>
        <v>901</v>
      </c>
      <c r="AC381" s="1">
        <f>IF(COUNTIF($G$2:G381,G381)=1,ROW()-1,ROWS(Clean_Data[OrderID])+1)</f>
        <v>901</v>
      </c>
      <c r="AD381" s="1">
        <f>IF(COUNTIF($H$2:H381,H381)=1,ROW()-1,ROWS(Clean_Data[OrderID])+1)</f>
        <v>901</v>
      </c>
      <c r="AE381" s="1">
        <f>IF(COUNTIF($V$2:V381,V381)=1,V381,ROWS(Clean_Data[OrderID])+1)</f>
        <v>901</v>
      </c>
      <c r="AF381" s="1">
        <f>IF(COUNTIF($U$2:U381,U381)=1,U381,ROWS(Clean_Data[OrderID])+1)</f>
        <v>901</v>
      </c>
      <c r="AG381" s="1">
        <f>IF(COUNTIF($E$2:E381,E381)=1,ROW()-1,ROWS(Clean_Data[OrderID])+1)</f>
        <v>901</v>
      </c>
    </row>
    <row r="382" spans="1:33" ht="20" customHeight="1">
      <c r="A382" s="3" t="s">
        <v>723</v>
      </c>
      <c r="B382" s="2">
        <v>46278</v>
      </c>
      <c r="C382" s="3">
        <v>22</v>
      </c>
      <c r="D382" s="3" t="s">
        <v>247</v>
      </c>
      <c r="E382" s="3" t="s">
        <v>117</v>
      </c>
      <c r="F382" s="3" t="s">
        <v>92</v>
      </c>
      <c r="G382" s="3" t="s">
        <v>110</v>
      </c>
      <c r="H382" s="3" t="s">
        <v>111</v>
      </c>
      <c r="I382" s="3">
        <v>1</v>
      </c>
      <c r="J382" s="11">
        <v>115</v>
      </c>
      <c r="K382" s="4">
        <v>0.05</v>
      </c>
      <c r="L382" s="3" t="s">
        <v>95</v>
      </c>
      <c r="M382" s="3">
        <v>22</v>
      </c>
      <c r="N382" s="3">
        <v>7</v>
      </c>
      <c r="O382" s="3">
        <v>4</v>
      </c>
      <c r="P382" s="11">
        <f>Clean_Data[[#This Row],[Quantity]]*Clean_Data[[#This Row],[UnitPrice]]</f>
        <v>115</v>
      </c>
      <c r="Q382" s="11">
        <f>ROUND(Clean_Data[[#This Row],[GrossSales]]*Clean_Data[[#This Row],[DiscountPct]],2)</f>
        <v>5.75</v>
      </c>
      <c r="R382" s="11">
        <f>IF(Clean_Data[[#This Row],[Status]]="Delivered",ROUND(Clean_Data[[#This Row],[GrossSales]]-Clean_Data[[#This Row],[DiscountAmount]],2),0)</f>
        <v>109.25</v>
      </c>
      <c r="S382" s="3" t="str">
        <f>IF(Clean_Data[[#This Row],[OrderHour]]&lt;6,"Night",IF(Clean_Data[[#This Row],[OrderHour]]&lt;12,"Morning",IF(Clean_Data[[#This Row],[OrderHour]]&lt;18,"Afternoon","Evening")))</f>
        <v>Evening</v>
      </c>
      <c r="T382" s="3" t="str">
        <f>TEXT(Clean_Data[[#This Row],[OrderDate]],"[$-409]ddd")</f>
        <v>Sun</v>
      </c>
      <c r="U382" s="3">
        <f>WEEKDAY(Clean_Data[[#This Row],[OrderDate]],2)</f>
        <v>7</v>
      </c>
      <c r="V382" s="3">
        <f>INT(Clean_Data[[#This Row],[OrderHour]]/6)+1</f>
        <v>4</v>
      </c>
      <c r="W382" s="3">
        <f>IF(Clean_Data[[#This Row],[Status]]="Delivered",1,0)</f>
        <v>1</v>
      </c>
      <c r="X382" s="3">
        <f>IF(Clean_Data[[#This Row],[Status]]="Delivered",IF(Clean_Data[[#This Row],[DeliveryMinutes]]&lt;=Dashboard!$X$5,1,0),0)</f>
        <v>1</v>
      </c>
      <c r="Y3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2" s="3">
        <f>IF(AND(Clean_Data[[#This Row],[Include]]=1,Clean_Data[[#This Row],[DeliveredFlag]]=1),1,0)</f>
        <v>1</v>
      </c>
      <c r="AA382" s="1">
        <f>IF(COUNTIF($D$2:D382,D382)=1,ROW()-1,ROWS(Clean_Data[OrderID])+1)</f>
        <v>901</v>
      </c>
      <c r="AB382" s="1">
        <f>IF(COUNTIF($F$2:F382,F382)=1,ROW()-1,ROWS(Clean_Data[OrderID])+1)</f>
        <v>901</v>
      </c>
      <c r="AC382" s="1">
        <f>IF(COUNTIF($G$2:G382,G382)=1,ROW()-1,ROWS(Clean_Data[OrderID])+1)</f>
        <v>901</v>
      </c>
      <c r="AD382" s="1">
        <f>IF(COUNTIF($H$2:H382,H382)=1,ROW()-1,ROWS(Clean_Data[OrderID])+1)</f>
        <v>901</v>
      </c>
      <c r="AE382" s="1">
        <f>IF(COUNTIF($V$2:V382,V382)=1,V382,ROWS(Clean_Data[OrderID])+1)</f>
        <v>901</v>
      </c>
      <c r="AF382" s="1">
        <f>IF(COUNTIF($U$2:U382,U382)=1,U382,ROWS(Clean_Data[OrderID])+1)</f>
        <v>901</v>
      </c>
      <c r="AG382" s="1">
        <f>IF(COUNTIF($E$2:E382,E382)=1,ROW()-1,ROWS(Clean_Data[OrderID])+1)</f>
        <v>901</v>
      </c>
    </row>
    <row r="383" spans="1:33" ht="20" customHeight="1">
      <c r="A383" s="3" t="s">
        <v>724</v>
      </c>
      <c r="B383" s="2">
        <v>46278</v>
      </c>
      <c r="C383" s="3">
        <v>8</v>
      </c>
      <c r="D383" s="3" t="s">
        <v>120</v>
      </c>
      <c r="E383" s="3" t="s">
        <v>91</v>
      </c>
      <c r="F383" s="3" t="s">
        <v>109</v>
      </c>
      <c r="G383" s="3" t="s">
        <v>135</v>
      </c>
      <c r="H383" s="3" t="s">
        <v>162</v>
      </c>
      <c r="I383" s="3">
        <v>4</v>
      </c>
      <c r="J383" s="11">
        <v>180</v>
      </c>
      <c r="K383" s="4">
        <v>0.1</v>
      </c>
      <c r="L383" s="3" t="s">
        <v>95</v>
      </c>
      <c r="M383" s="3">
        <v>31</v>
      </c>
      <c r="N383" s="3">
        <v>9</v>
      </c>
      <c r="O383" s="3">
        <v>5</v>
      </c>
      <c r="P383" s="11">
        <f>Clean_Data[[#This Row],[Quantity]]*Clean_Data[[#This Row],[UnitPrice]]</f>
        <v>720</v>
      </c>
      <c r="Q383" s="11">
        <f>ROUND(Clean_Data[[#This Row],[GrossSales]]*Clean_Data[[#This Row],[DiscountPct]],2)</f>
        <v>72</v>
      </c>
      <c r="R383" s="11">
        <f>IF(Clean_Data[[#This Row],[Status]]="Delivered",ROUND(Clean_Data[[#This Row],[GrossSales]]-Clean_Data[[#This Row],[DiscountAmount]],2),0)</f>
        <v>648</v>
      </c>
      <c r="S383" s="3" t="str">
        <f>IF(Clean_Data[[#This Row],[OrderHour]]&lt;6,"Night",IF(Clean_Data[[#This Row],[OrderHour]]&lt;12,"Morning",IF(Clean_Data[[#This Row],[OrderHour]]&lt;18,"Afternoon","Evening")))</f>
        <v>Morning</v>
      </c>
      <c r="T383" s="3" t="str">
        <f>TEXT(Clean_Data[[#This Row],[OrderDate]],"[$-409]ddd")</f>
        <v>Sun</v>
      </c>
      <c r="U383" s="3">
        <f>WEEKDAY(Clean_Data[[#This Row],[OrderDate]],2)</f>
        <v>7</v>
      </c>
      <c r="V383" s="3">
        <f>INT(Clean_Data[[#This Row],[OrderHour]]/6)+1</f>
        <v>2</v>
      </c>
      <c r="W383" s="3">
        <f>IF(Clean_Data[[#This Row],[Status]]="Delivered",1,0)</f>
        <v>1</v>
      </c>
      <c r="X383" s="3">
        <f>IF(Clean_Data[[#This Row],[Status]]="Delivered",IF(Clean_Data[[#This Row],[DeliveryMinutes]]&lt;=Dashboard!$X$5,1,0),0)</f>
        <v>0</v>
      </c>
      <c r="Y3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3" s="3">
        <f>IF(AND(Clean_Data[[#This Row],[Include]]=1,Clean_Data[[#This Row],[DeliveredFlag]]=1),1,0)</f>
        <v>1</v>
      </c>
      <c r="AA383" s="1">
        <f>IF(COUNTIF($D$2:D383,D383)=1,ROW()-1,ROWS(Clean_Data[OrderID])+1)</f>
        <v>901</v>
      </c>
      <c r="AB383" s="1">
        <f>IF(COUNTIF($F$2:F383,F383)=1,ROW()-1,ROWS(Clean_Data[OrderID])+1)</f>
        <v>901</v>
      </c>
      <c r="AC383" s="1">
        <f>IF(COUNTIF($G$2:G383,G383)=1,ROW()-1,ROWS(Clean_Data[OrderID])+1)</f>
        <v>901</v>
      </c>
      <c r="AD383" s="1">
        <f>IF(COUNTIF($H$2:H383,H383)=1,ROW()-1,ROWS(Clean_Data[OrderID])+1)</f>
        <v>901</v>
      </c>
      <c r="AE383" s="1">
        <f>IF(COUNTIF($V$2:V383,V383)=1,V383,ROWS(Clean_Data[OrderID])+1)</f>
        <v>901</v>
      </c>
      <c r="AF383" s="1">
        <f>IF(COUNTIF($U$2:U383,U383)=1,U383,ROWS(Clean_Data[OrderID])+1)</f>
        <v>901</v>
      </c>
      <c r="AG383" s="1">
        <f>IF(COUNTIF($E$2:E383,E383)=1,ROW()-1,ROWS(Clean_Data[OrderID])+1)</f>
        <v>901</v>
      </c>
    </row>
    <row r="384" spans="1:33" ht="20" customHeight="1">
      <c r="A384" s="3" t="s">
        <v>725</v>
      </c>
      <c r="B384" s="2">
        <v>46278</v>
      </c>
      <c r="C384" s="3">
        <v>11</v>
      </c>
      <c r="D384" s="3" t="s">
        <v>361</v>
      </c>
      <c r="E384" s="3" t="s">
        <v>91</v>
      </c>
      <c r="F384" s="3" t="s">
        <v>109</v>
      </c>
      <c r="G384" s="3" t="s">
        <v>122</v>
      </c>
      <c r="H384" s="3" t="s">
        <v>153</v>
      </c>
      <c r="I384" s="3">
        <v>4</v>
      </c>
      <c r="J384" s="11">
        <v>130</v>
      </c>
      <c r="K384" s="4">
        <v>0.1</v>
      </c>
      <c r="L384" s="3" t="s">
        <v>95</v>
      </c>
      <c r="M384" s="3">
        <v>23</v>
      </c>
      <c r="N384" s="3">
        <v>9</v>
      </c>
      <c r="O384" s="3">
        <v>4</v>
      </c>
      <c r="P384" s="11">
        <f>Clean_Data[[#This Row],[Quantity]]*Clean_Data[[#This Row],[UnitPrice]]</f>
        <v>520</v>
      </c>
      <c r="Q384" s="11">
        <f>ROUND(Clean_Data[[#This Row],[GrossSales]]*Clean_Data[[#This Row],[DiscountPct]],2)</f>
        <v>52</v>
      </c>
      <c r="R384" s="11">
        <f>IF(Clean_Data[[#This Row],[Status]]="Delivered",ROUND(Clean_Data[[#This Row],[GrossSales]]-Clean_Data[[#This Row],[DiscountAmount]],2),0)</f>
        <v>468</v>
      </c>
      <c r="S384" s="3" t="str">
        <f>IF(Clean_Data[[#This Row],[OrderHour]]&lt;6,"Night",IF(Clean_Data[[#This Row],[OrderHour]]&lt;12,"Morning",IF(Clean_Data[[#This Row],[OrderHour]]&lt;18,"Afternoon","Evening")))</f>
        <v>Morning</v>
      </c>
      <c r="T384" s="3" t="str">
        <f>TEXT(Clean_Data[[#This Row],[OrderDate]],"[$-409]ddd")</f>
        <v>Sun</v>
      </c>
      <c r="U384" s="3">
        <f>WEEKDAY(Clean_Data[[#This Row],[OrderDate]],2)</f>
        <v>7</v>
      </c>
      <c r="V384" s="3">
        <f>INT(Clean_Data[[#This Row],[OrderHour]]/6)+1</f>
        <v>2</v>
      </c>
      <c r="W384" s="3">
        <f>IF(Clean_Data[[#This Row],[Status]]="Delivered",1,0)</f>
        <v>1</v>
      </c>
      <c r="X384" s="3">
        <f>IF(Clean_Data[[#This Row],[Status]]="Delivered",IF(Clean_Data[[#This Row],[DeliveryMinutes]]&lt;=Dashboard!$X$5,1,0),0)</f>
        <v>1</v>
      </c>
      <c r="Y3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4" s="3">
        <f>IF(AND(Clean_Data[[#This Row],[Include]]=1,Clean_Data[[#This Row],[DeliveredFlag]]=1),1,0)</f>
        <v>1</v>
      </c>
      <c r="AA384" s="1">
        <f>IF(COUNTIF($D$2:D384,D384)=1,ROW()-1,ROWS(Clean_Data[OrderID])+1)</f>
        <v>901</v>
      </c>
      <c r="AB384" s="1">
        <f>IF(COUNTIF($F$2:F384,F384)=1,ROW()-1,ROWS(Clean_Data[OrderID])+1)</f>
        <v>901</v>
      </c>
      <c r="AC384" s="1">
        <f>IF(COUNTIF($G$2:G384,G384)=1,ROW()-1,ROWS(Clean_Data[OrderID])+1)</f>
        <v>901</v>
      </c>
      <c r="AD384" s="1">
        <f>IF(COUNTIF($H$2:H384,H384)=1,ROW()-1,ROWS(Clean_Data[OrderID])+1)</f>
        <v>901</v>
      </c>
      <c r="AE384" s="1">
        <f>IF(COUNTIF($V$2:V384,V384)=1,V384,ROWS(Clean_Data[OrderID])+1)</f>
        <v>901</v>
      </c>
      <c r="AF384" s="1">
        <f>IF(COUNTIF($U$2:U384,U384)=1,U384,ROWS(Clean_Data[OrderID])+1)</f>
        <v>901</v>
      </c>
      <c r="AG384" s="1">
        <f>IF(COUNTIF($E$2:E384,E384)=1,ROW()-1,ROWS(Clean_Data[OrderID])+1)</f>
        <v>901</v>
      </c>
    </row>
    <row r="385" spans="1:33" ht="20" customHeight="1">
      <c r="A385" s="3" t="s">
        <v>726</v>
      </c>
      <c r="B385" s="2">
        <v>46278</v>
      </c>
      <c r="C385" s="3">
        <v>23</v>
      </c>
      <c r="D385" s="3" t="s">
        <v>374</v>
      </c>
      <c r="E385" s="3" t="s">
        <v>91</v>
      </c>
      <c r="F385" s="3" t="s">
        <v>121</v>
      </c>
      <c r="G385" s="3" t="s">
        <v>122</v>
      </c>
      <c r="H385" s="3" t="s">
        <v>153</v>
      </c>
      <c r="I385" s="3">
        <v>5</v>
      </c>
      <c r="J385" s="11">
        <v>130</v>
      </c>
      <c r="K385" s="4">
        <v>0</v>
      </c>
      <c r="L385" s="3" t="s">
        <v>95</v>
      </c>
      <c r="M385" s="3">
        <v>21</v>
      </c>
      <c r="N385" s="3">
        <v>5</v>
      </c>
      <c r="O385" s="3">
        <v>3</v>
      </c>
      <c r="P385" s="11">
        <f>Clean_Data[[#This Row],[Quantity]]*Clean_Data[[#This Row],[UnitPrice]]</f>
        <v>650</v>
      </c>
      <c r="Q385" s="11">
        <f>ROUND(Clean_Data[[#This Row],[GrossSales]]*Clean_Data[[#This Row],[DiscountPct]],2)</f>
        <v>0</v>
      </c>
      <c r="R385" s="11">
        <f>IF(Clean_Data[[#This Row],[Status]]="Delivered",ROUND(Clean_Data[[#This Row],[GrossSales]]-Clean_Data[[#This Row],[DiscountAmount]],2),0)</f>
        <v>650</v>
      </c>
      <c r="S385" s="3" t="str">
        <f>IF(Clean_Data[[#This Row],[OrderHour]]&lt;6,"Night",IF(Clean_Data[[#This Row],[OrderHour]]&lt;12,"Morning",IF(Clean_Data[[#This Row],[OrderHour]]&lt;18,"Afternoon","Evening")))</f>
        <v>Evening</v>
      </c>
      <c r="T385" s="3" t="str">
        <f>TEXT(Clean_Data[[#This Row],[OrderDate]],"[$-409]ddd")</f>
        <v>Sun</v>
      </c>
      <c r="U385" s="3">
        <f>WEEKDAY(Clean_Data[[#This Row],[OrderDate]],2)</f>
        <v>7</v>
      </c>
      <c r="V385" s="3">
        <f>INT(Clean_Data[[#This Row],[OrderHour]]/6)+1</f>
        <v>4</v>
      </c>
      <c r="W385" s="3">
        <f>IF(Clean_Data[[#This Row],[Status]]="Delivered",1,0)</f>
        <v>1</v>
      </c>
      <c r="X385" s="3">
        <f>IF(Clean_Data[[#This Row],[Status]]="Delivered",IF(Clean_Data[[#This Row],[DeliveryMinutes]]&lt;=Dashboard!$X$5,1,0),0)</f>
        <v>1</v>
      </c>
      <c r="Y3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5" s="3">
        <f>IF(AND(Clean_Data[[#This Row],[Include]]=1,Clean_Data[[#This Row],[DeliveredFlag]]=1),1,0)</f>
        <v>1</v>
      </c>
      <c r="AA385" s="1">
        <f>IF(COUNTIF($D$2:D385,D385)=1,ROW()-1,ROWS(Clean_Data[OrderID])+1)</f>
        <v>901</v>
      </c>
      <c r="AB385" s="1">
        <f>IF(COUNTIF($F$2:F385,F385)=1,ROW()-1,ROWS(Clean_Data[OrderID])+1)</f>
        <v>901</v>
      </c>
      <c r="AC385" s="1">
        <f>IF(COUNTIF($G$2:G385,G385)=1,ROW()-1,ROWS(Clean_Data[OrderID])+1)</f>
        <v>901</v>
      </c>
      <c r="AD385" s="1">
        <f>IF(COUNTIF($H$2:H385,H385)=1,ROW()-1,ROWS(Clean_Data[OrderID])+1)</f>
        <v>901</v>
      </c>
      <c r="AE385" s="1">
        <f>IF(COUNTIF($V$2:V385,V385)=1,V385,ROWS(Clean_Data[OrderID])+1)</f>
        <v>901</v>
      </c>
      <c r="AF385" s="1">
        <f>IF(COUNTIF($U$2:U385,U385)=1,U385,ROWS(Clean_Data[OrderID])+1)</f>
        <v>901</v>
      </c>
      <c r="AG385" s="1">
        <f>IF(COUNTIF($E$2:E385,E385)=1,ROW()-1,ROWS(Clean_Data[OrderID])+1)</f>
        <v>901</v>
      </c>
    </row>
    <row r="386" spans="1:33" ht="20" customHeight="1">
      <c r="A386" s="3" t="s">
        <v>727</v>
      </c>
      <c r="B386" s="2">
        <v>46278</v>
      </c>
      <c r="C386" s="3">
        <v>6</v>
      </c>
      <c r="D386" s="3" t="s">
        <v>608</v>
      </c>
      <c r="E386" s="3" t="s">
        <v>91</v>
      </c>
      <c r="F386" s="3" t="s">
        <v>121</v>
      </c>
      <c r="G386" s="3" t="s">
        <v>93</v>
      </c>
      <c r="H386" s="3" t="s">
        <v>118</v>
      </c>
      <c r="I386" s="3">
        <v>2</v>
      </c>
      <c r="J386" s="11">
        <v>45</v>
      </c>
      <c r="K386" s="4">
        <v>0</v>
      </c>
      <c r="L386" s="3" t="s">
        <v>95</v>
      </c>
      <c r="M386" s="3">
        <v>31</v>
      </c>
      <c r="N386" s="3">
        <v>6</v>
      </c>
      <c r="O386" s="3">
        <v>4</v>
      </c>
      <c r="P386" s="11">
        <f>Clean_Data[[#This Row],[Quantity]]*Clean_Data[[#This Row],[UnitPrice]]</f>
        <v>90</v>
      </c>
      <c r="Q386" s="11">
        <f>ROUND(Clean_Data[[#This Row],[GrossSales]]*Clean_Data[[#This Row],[DiscountPct]],2)</f>
        <v>0</v>
      </c>
      <c r="R386" s="11">
        <f>IF(Clean_Data[[#This Row],[Status]]="Delivered",ROUND(Clean_Data[[#This Row],[GrossSales]]-Clean_Data[[#This Row],[DiscountAmount]],2),0)</f>
        <v>90</v>
      </c>
      <c r="S386" s="3" t="str">
        <f>IF(Clean_Data[[#This Row],[OrderHour]]&lt;6,"Night",IF(Clean_Data[[#This Row],[OrderHour]]&lt;12,"Morning",IF(Clean_Data[[#This Row],[OrderHour]]&lt;18,"Afternoon","Evening")))</f>
        <v>Morning</v>
      </c>
      <c r="T386" s="3" t="str">
        <f>TEXT(Clean_Data[[#This Row],[OrderDate]],"[$-409]ddd")</f>
        <v>Sun</v>
      </c>
      <c r="U386" s="3">
        <f>WEEKDAY(Clean_Data[[#This Row],[OrderDate]],2)</f>
        <v>7</v>
      </c>
      <c r="V386" s="3">
        <f>INT(Clean_Data[[#This Row],[OrderHour]]/6)+1</f>
        <v>2</v>
      </c>
      <c r="W386" s="3">
        <f>IF(Clean_Data[[#This Row],[Status]]="Delivered",1,0)</f>
        <v>1</v>
      </c>
      <c r="X386" s="3">
        <f>IF(Clean_Data[[#This Row],[Status]]="Delivered",IF(Clean_Data[[#This Row],[DeliveryMinutes]]&lt;=Dashboard!$X$5,1,0),0)</f>
        <v>0</v>
      </c>
      <c r="Y3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6" s="3">
        <f>IF(AND(Clean_Data[[#This Row],[Include]]=1,Clean_Data[[#This Row],[DeliveredFlag]]=1),1,0)</f>
        <v>1</v>
      </c>
      <c r="AA386" s="1">
        <f>IF(COUNTIF($D$2:D386,D386)=1,ROW()-1,ROWS(Clean_Data[OrderID])+1)</f>
        <v>901</v>
      </c>
      <c r="AB386" s="1">
        <f>IF(COUNTIF($F$2:F386,F386)=1,ROW()-1,ROWS(Clean_Data[OrderID])+1)</f>
        <v>901</v>
      </c>
      <c r="AC386" s="1">
        <f>IF(COUNTIF($G$2:G386,G386)=1,ROW()-1,ROWS(Clean_Data[OrderID])+1)</f>
        <v>901</v>
      </c>
      <c r="AD386" s="1">
        <f>IF(COUNTIF($H$2:H386,H386)=1,ROW()-1,ROWS(Clean_Data[OrderID])+1)</f>
        <v>901</v>
      </c>
      <c r="AE386" s="1">
        <f>IF(COUNTIF($V$2:V386,V386)=1,V386,ROWS(Clean_Data[OrderID])+1)</f>
        <v>901</v>
      </c>
      <c r="AF386" s="1">
        <f>IF(COUNTIF($U$2:U386,U386)=1,U386,ROWS(Clean_Data[OrderID])+1)</f>
        <v>901</v>
      </c>
      <c r="AG386" s="1">
        <f>IF(COUNTIF($E$2:E386,E386)=1,ROW()-1,ROWS(Clean_Data[OrderID])+1)</f>
        <v>901</v>
      </c>
    </row>
    <row r="387" spans="1:33" ht="20" customHeight="1">
      <c r="A387" s="3" t="s">
        <v>728</v>
      </c>
      <c r="B387" s="2">
        <v>46278</v>
      </c>
      <c r="C387" s="3">
        <v>18</v>
      </c>
      <c r="D387" s="3" t="s">
        <v>729</v>
      </c>
      <c r="E387" s="3" t="s">
        <v>117</v>
      </c>
      <c r="F387" s="3" t="s">
        <v>98</v>
      </c>
      <c r="G387" s="3" t="s">
        <v>93</v>
      </c>
      <c r="H387" s="3" t="s">
        <v>94</v>
      </c>
      <c r="I387" s="3">
        <v>3</v>
      </c>
      <c r="J387" s="11">
        <v>95</v>
      </c>
      <c r="K387" s="4">
        <v>0</v>
      </c>
      <c r="L387" s="3" t="s">
        <v>95</v>
      </c>
      <c r="M387" s="3">
        <v>15</v>
      </c>
      <c r="N387" s="3">
        <v>14</v>
      </c>
      <c r="O387" s="3">
        <v>4</v>
      </c>
      <c r="P387" s="11">
        <f>Clean_Data[[#This Row],[Quantity]]*Clean_Data[[#This Row],[UnitPrice]]</f>
        <v>285</v>
      </c>
      <c r="Q387" s="11">
        <f>ROUND(Clean_Data[[#This Row],[GrossSales]]*Clean_Data[[#This Row],[DiscountPct]],2)</f>
        <v>0</v>
      </c>
      <c r="R387" s="11">
        <f>IF(Clean_Data[[#This Row],[Status]]="Delivered",ROUND(Clean_Data[[#This Row],[GrossSales]]-Clean_Data[[#This Row],[DiscountAmount]],2),0)</f>
        <v>285</v>
      </c>
      <c r="S387" s="3" t="str">
        <f>IF(Clean_Data[[#This Row],[OrderHour]]&lt;6,"Night",IF(Clean_Data[[#This Row],[OrderHour]]&lt;12,"Morning",IF(Clean_Data[[#This Row],[OrderHour]]&lt;18,"Afternoon","Evening")))</f>
        <v>Evening</v>
      </c>
      <c r="T387" s="3" t="str">
        <f>TEXT(Clean_Data[[#This Row],[OrderDate]],"[$-409]ddd")</f>
        <v>Sun</v>
      </c>
      <c r="U387" s="3">
        <f>WEEKDAY(Clean_Data[[#This Row],[OrderDate]],2)</f>
        <v>7</v>
      </c>
      <c r="V387" s="3">
        <f>INT(Clean_Data[[#This Row],[OrderHour]]/6)+1</f>
        <v>4</v>
      </c>
      <c r="W387" s="3">
        <f>IF(Clean_Data[[#This Row],[Status]]="Delivered",1,0)</f>
        <v>1</v>
      </c>
      <c r="X387" s="3">
        <f>IF(Clean_Data[[#This Row],[Status]]="Delivered",IF(Clean_Data[[#This Row],[DeliveryMinutes]]&lt;=Dashboard!$X$5,1,0),0)</f>
        <v>1</v>
      </c>
      <c r="Y3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7" s="3">
        <f>IF(AND(Clean_Data[[#This Row],[Include]]=1,Clean_Data[[#This Row],[DeliveredFlag]]=1),1,0)</f>
        <v>1</v>
      </c>
      <c r="AA387" s="1">
        <f>IF(COUNTIF($D$2:D387,D387)=1,ROW()-1,ROWS(Clean_Data[OrderID])+1)</f>
        <v>386</v>
      </c>
      <c r="AB387" s="1">
        <f>IF(COUNTIF($F$2:F387,F387)=1,ROW()-1,ROWS(Clean_Data[OrderID])+1)</f>
        <v>901</v>
      </c>
      <c r="AC387" s="1">
        <f>IF(COUNTIF($G$2:G387,G387)=1,ROW()-1,ROWS(Clean_Data[OrderID])+1)</f>
        <v>901</v>
      </c>
      <c r="AD387" s="1">
        <f>IF(COUNTIF($H$2:H387,H387)=1,ROW()-1,ROWS(Clean_Data[OrderID])+1)</f>
        <v>901</v>
      </c>
      <c r="AE387" s="1">
        <f>IF(COUNTIF($V$2:V387,V387)=1,V387,ROWS(Clean_Data[OrderID])+1)</f>
        <v>901</v>
      </c>
      <c r="AF387" s="1">
        <f>IF(COUNTIF($U$2:U387,U387)=1,U387,ROWS(Clean_Data[OrderID])+1)</f>
        <v>901</v>
      </c>
      <c r="AG387" s="1">
        <f>IF(COUNTIF($E$2:E387,E387)=1,ROW()-1,ROWS(Clean_Data[OrderID])+1)</f>
        <v>901</v>
      </c>
    </row>
    <row r="388" spans="1:33" ht="20" customHeight="1">
      <c r="A388" s="3" t="s">
        <v>730</v>
      </c>
      <c r="B388" s="2">
        <v>46278</v>
      </c>
      <c r="C388" s="3">
        <v>12</v>
      </c>
      <c r="D388" s="3" t="s">
        <v>208</v>
      </c>
      <c r="E388" s="3" t="s">
        <v>117</v>
      </c>
      <c r="F388" s="3" t="s">
        <v>98</v>
      </c>
      <c r="G388" s="3" t="s">
        <v>99</v>
      </c>
      <c r="H388" s="3" t="s">
        <v>100</v>
      </c>
      <c r="I388" s="3">
        <v>6</v>
      </c>
      <c r="J388" s="11">
        <v>120</v>
      </c>
      <c r="K388" s="4">
        <v>0</v>
      </c>
      <c r="L388" s="3" t="s">
        <v>95</v>
      </c>
      <c r="M388" s="3">
        <v>27</v>
      </c>
      <c r="N388" s="3">
        <v>6</v>
      </c>
      <c r="O388" s="3">
        <v>4</v>
      </c>
      <c r="P388" s="11">
        <f>Clean_Data[[#This Row],[Quantity]]*Clean_Data[[#This Row],[UnitPrice]]</f>
        <v>720</v>
      </c>
      <c r="Q388" s="11">
        <f>ROUND(Clean_Data[[#This Row],[GrossSales]]*Clean_Data[[#This Row],[DiscountPct]],2)</f>
        <v>0</v>
      </c>
      <c r="R388" s="11">
        <f>IF(Clean_Data[[#This Row],[Status]]="Delivered",ROUND(Clean_Data[[#This Row],[GrossSales]]-Clean_Data[[#This Row],[DiscountAmount]],2),0)</f>
        <v>720</v>
      </c>
      <c r="S388" s="3" t="str">
        <f>IF(Clean_Data[[#This Row],[OrderHour]]&lt;6,"Night",IF(Clean_Data[[#This Row],[OrderHour]]&lt;12,"Morning",IF(Clean_Data[[#This Row],[OrderHour]]&lt;18,"Afternoon","Evening")))</f>
        <v>Afternoon</v>
      </c>
      <c r="T388" s="3" t="str">
        <f>TEXT(Clean_Data[[#This Row],[OrderDate]],"[$-409]ddd")</f>
        <v>Sun</v>
      </c>
      <c r="U388" s="3">
        <f>WEEKDAY(Clean_Data[[#This Row],[OrderDate]],2)</f>
        <v>7</v>
      </c>
      <c r="V388" s="3">
        <f>INT(Clean_Data[[#This Row],[OrderHour]]/6)+1</f>
        <v>3</v>
      </c>
      <c r="W388" s="3">
        <f>IF(Clean_Data[[#This Row],[Status]]="Delivered",1,0)</f>
        <v>1</v>
      </c>
      <c r="X388" s="3">
        <f>IF(Clean_Data[[#This Row],[Status]]="Delivered",IF(Clean_Data[[#This Row],[DeliveryMinutes]]&lt;=Dashboard!$X$5,1,0),0)</f>
        <v>1</v>
      </c>
      <c r="Y3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8" s="3">
        <f>IF(AND(Clean_Data[[#This Row],[Include]]=1,Clean_Data[[#This Row],[DeliveredFlag]]=1),1,0)</f>
        <v>1</v>
      </c>
      <c r="AA388" s="1">
        <f>IF(COUNTIF($D$2:D388,D388)=1,ROW()-1,ROWS(Clean_Data[OrderID])+1)</f>
        <v>901</v>
      </c>
      <c r="AB388" s="1">
        <f>IF(COUNTIF($F$2:F388,F388)=1,ROW()-1,ROWS(Clean_Data[OrderID])+1)</f>
        <v>901</v>
      </c>
      <c r="AC388" s="1">
        <f>IF(COUNTIF($G$2:G388,G388)=1,ROW()-1,ROWS(Clean_Data[OrderID])+1)</f>
        <v>901</v>
      </c>
      <c r="AD388" s="1">
        <f>IF(COUNTIF($H$2:H388,H388)=1,ROW()-1,ROWS(Clean_Data[OrderID])+1)</f>
        <v>901</v>
      </c>
      <c r="AE388" s="1">
        <f>IF(COUNTIF($V$2:V388,V388)=1,V388,ROWS(Clean_Data[OrderID])+1)</f>
        <v>901</v>
      </c>
      <c r="AF388" s="1">
        <f>IF(COUNTIF($U$2:U388,U388)=1,U388,ROWS(Clean_Data[OrderID])+1)</f>
        <v>901</v>
      </c>
      <c r="AG388" s="1">
        <f>IF(COUNTIF($E$2:E388,E388)=1,ROW()-1,ROWS(Clean_Data[OrderID])+1)</f>
        <v>901</v>
      </c>
    </row>
    <row r="389" spans="1:33" ht="20" customHeight="1">
      <c r="A389" s="3" t="s">
        <v>731</v>
      </c>
      <c r="B389" s="2">
        <v>46278</v>
      </c>
      <c r="C389" s="3">
        <v>11</v>
      </c>
      <c r="D389" s="3" t="s">
        <v>677</v>
      </c>
      <c r="E389" s="3" t="s">
        <v>117</v>
      </c>
      <c r="F389" s="3" t="s">
        <v>92</v>
      </c>
      <c r="G389" s="3" t="s">
        <v>99</v>
      </c>
      <c r="H389" s="3" t="s">
        <v>104</v>
      </c>
      <c r="I389" s="3">
        <v>1</v>
      </c>
      <c r="J389" s="11">
        <v>240</v>
      </c>
      <c r="K389" s="4">
        <v>0.05</v>
      </c>
      <c r="L389" s="3" t="s">
        <v>95</v>
      </c>
      <c r="M389" s="3">
        <v>13</v>
      </c>
      <c r="N389" s="3">
        <v>8</v>
      </c>
      <c r="O389" s="3">
        <v>5</v>
      </c>
      <c r="P389" s="11">
        <f>Clean_Data[[#This Row],[Quantity]]*Clean_Data[[#This Row],[UnitPrice]]</f>
        <v>240</v>
      </c>
      <c r="Q389" s="11">
        <f>ROUND(Clean_Data[[#This Row],[GrossSales]]*Clean_Data[[#This Row],[DiscountPct]],2)</f>
        <v>12</v>
      </c>
      <c r="R389" s="11">
        <f>IF(Clean_Data[[#This Row],[Status]]="Delivered",ROUND(Clean_Data[[#This Row],[GrossSales]]-Clean_Data[[#This Row],[DiscountAmount]],2),0)</f>
        <v>228</v>
      </c>
      <c r="S389" s="3" t="str">
        <f>IF(Clean_Data[[#This Row],[OrderHour]]&lt;6,"Night",IF(Clean_Data[[#This Row],[OrderHour]]&lt;12,"Morning",IF(Clean_Data[[#This Row],[OrderHour]]&lt;18,"Afternoon","Evening")))</f>
        <v>Morning</v>
      </c>
      <c r="T389" s="3" t="str">
        <f>TEXT(Clean_Data[[#This Row],[OrderDate]],"[$-409]ddd")</f>
        <v>Sun</v>
      </c>
      <c r="U389" s="3">
        <f>WEEKDAY(Clean_Data[[#This Row],[OrderDate]],2)</f>
        <v>7</v>
      </c>
      <c r="V389" s="3">
        <f>INT(Clean_Data[[#This Row],[OrderHour]]/6)+1</f>
        <v>2</v>
      </c>
      <c r="W389" s="3">
        <f>IF(Clean_Data[[#This Row],[Status]]="Delivered",1,0)</f>
        <v>1</v>
      </c>
      <c r="X389" s="3">
        <f>IF(Clean_Data[[#This Row],[Status]]="Delivered",IF(Clean_Data[[#This Row],[DeliveryMinutes]]&lt;=Dashboard!$X$5,1,0),0)</f>
        <v>1</v>
      </c>
      <c r="Y3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89" s="3">
        <f>IF(AND(Clean_Data[[#This Row],[Include]]=1,Clean_Data[[#This Row],[DeliveredFlag]]=1),1,0)</f>
        <v>1</v>
      </c>
      <c r="AA389" s="1">
        <f>IF(COUNTIF($D$2:D389,D389)=1,ROW()-1,ROWS(Clean_Data[OrderID])+1)</f>
        <v>901</v>
      </c>
      <c r="AB389" s="1">
        <f>IF(COUNTIF($F$2:F389,F389)=1,ROW()-1,ROWS(Clean_Data[OrderID])+1)</f>
        <v>901</v>
      </c>
      <c r="AC389" s="1">
        <f>IF(COUNTIF($G$2:G389,G389)=1,ROW()-1,ROWS(Clean_Data[OrderID])+1)</f>
        <v>901</v>
      </c>
      <c r="AD389" s="1">
        <f>IF(COUNTIF($H$2:H389,H389)=1,ROW()-1,ROWS(Clean_Data[OrderID])+1)</f>
        <v>901</v>
      </c>
      <c r="AE389" s="1">
        <f>IF(COUNTIF($V$2:V389,V389)=1,V389,ROWS(Clean_Data[OrderID])+1)</f>
        <v>901</v>
      </c>
      <c r="AF389" s="1">
        <f>IF(COUNTIF($U$2:U389,U389)=1,U389,ROWS(Clean_Data[OrderID])+1)</f>
        <v>901</v>
      </c>
      <c r="AG389" s="1">
        <f>IF(COUNTIF($E$2:E389,E389)=1,ROW()-1,ROWS(Clean_Data[OrderID])+1)</f>
        <v>901</v>
      </c>
    </row>
    <row r="390" spans="1:33" ht="20" customHeight="1">
      <c r="A390" s="3" t="s">
        <v>732</v>
      </c>
      <c r="B390" s="2">
        <v>46278</v>
      </c>
      <c r="C390" s="3">
        <v>12</v>
      </c>
      <c r="D390" s="3" t="s">
        <v>242</v>
      </c>
      <c r="E390" s="3" t="s">
        <v>91</v>
      </c>
      <c r="F390" s="3" t="s">
        <v>139</v>
      </c>
      <c r="G390" s="3" t="s">
        <v>174</v>
      </c>
      <c r="H390" s="3" t="s">
        <v>274</v>
      </c>
      <c r="I390" s="3">
        <v>3</v>
      </c>
      <c r="J390" s="11">
        <v>90</v>
      </c>
      <c r="K390" s="4">
        <v>0.15</v>
      </c>
      <c r="L390" s="3" t="s">
        <v>95</v>
      </c>
      <c r="M390" s="3">
        <v>16</v>
      </c>
      <c r="N390" s="3">
        <v>14</v>
      </c>
      <c r="O390" s="3">
        <v>5</v>
      </c>
      <c r="P390" s="11">
        <f>Clean_Data[[#This Row],[Quantity]]*Clean_Data[[#This Row],[UnitPrice]]</f>
        <v>270</v>
      </c>
      <c r="Q390" s="11">
        <f>ROUND(Clean_Data[[#This Row],[GrossSales]]*Clean_Data[[#This Row],[DiscountPct]],2)</f>
        <v>40.5</v>
      </c>
      <c r="R390" s="11">
        <f>IF(Clean_Data[[#This Row],[Status]]="Delivered",ROUND(Clean_Data[[#This Row],[GrossSales]]-Clean_Data[[#This Row],[DiscountAmount]],2),0)</f>
        <v>229.5</v>
      </c>
      <c r="S390" s="3" t="str">
        <f>IF(Clean_Data[[#This Row],[OrderHour]]&lt;6,"Night",IF(Clean_Data[[#This Row],[OrderHour]]&lt;12,"Morning",IF(Clean_Data[[#This Row],[OrderHour]]&lt;18,"Afternoon","Evening")))</f>
        <v>Afternoon</v>
      </c>
      <c r="T390" s="3" t="str">
        <f>TEXT(Clean_Data[[#This Row],[OrderDate]],"[$-409]ddd")</f>
        <v>Sun</v>
      </c>
      <c r="U390" s="3">
        <f>WEEKDAY(Clean_Data[[#This Row],[OrderDate]],2)</f>
        <v>7</v>
      </c>
      <c r="V390" s="3">
        <f>INT(Clean_Data[[#This Row],[OrderHour]]/6)+1</f>
        <v>3</v>
      </c>
      <c r="W390" s="3">
        <f>IF(Clean_Data[[#This Row],[Status]]="Delivered",1,0)</f>
        <v>1</v>
      </c>
      <c r="X390" s="3">
        <f>IF(Clean_Data[[#This Row],[Status]]="Delivered",IF(Clean_Data[[#This Row],[DeliveryMinutes]]&lt;=Dashboard!$X$5,1,0),0)</f>
        <v>1</v>
      </c>
      <c r="Y3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0" s="3">
        <f>IF(AND(Clean_Data[[#This Row],[Include]]=1,Clean_Data[[#This Row],[DeliveredFlag]]=1),1,0)</f>
        <v>1</v>
      </c>
      <c r="AA390" s="1">
        <f>IF(COUNTIF($D$2:D390,D390)=1,ROW()-1,ROWS(Clean_Data[OrderID])+1)</f>
        <v>901</v>
      </c>
      <c r="AB390" s="1">
        <f>IF(COUNTIF($F$2:F390,F390)=1,ROW()-1,ROWS(Clean_Data[OrderID])+1)</f>
        <v>901</v>
      </c>
      <c r="AC390" s="1">
        <f>IF(COUNTIF($G$2:G390,G390)=1,ROW()-1,ROWS(Clean_Data[OrderID])+1)</f>
        <v>901</v>
      </c>
      <c r="AD390" s="1">
        <f>IF(COUNTIF($H$2:H390,H390)=1,ROW()-1,ROWS(Clean_Data[OrderID])+1)</f>
        <v>901</v>
      </c>
      <c r="AE390" s="1">
        <f>IF(COUNTIF($V$2:V390,V390)=1,V390,ROWS(Clean_Data[OrderID])+1)</f>
        <v>901</v>
      </c>
      <c r="AF390" s="1">
        <f>IF(COUNTIF($U$2:U390,U390)=1,U390,ROWS(Clean_Data[OrderID])+1)</f>
        <v>901</v>
      </c>
      <c r="AG390" s="1">
        <f>IF(COUNTIF($E$2:E390,E390)=1,ROW()-1,ROWS(Clean_Data[OrderID])+1)</f>
        <v>901</v>
      </c>
    </row>
    <row r="391" spans="1:33" ht="20" customHeight="1">
      <c r="A391" s="3" t="s">
        <v>733</v>
      </c>
      <c r="B391" s="2">
        <v>46278</v>
      </c>
      <c r="C391" s="3">
        <v>6</v>
      </c>
      <c r="D391" s="3" t="s">
        <v>624</v>
      </c>
      <c r="E391" s="3" t="s">
        <v>91</v>
      </c>
      <c r="F391" s="3" t="s">
        <v>98</v>
      </c>
      <c r="G391" s="3" t="s">
        <v>174</v>
      </c>
      <c r="H391" s="3" t="s">
        <v>274</v>
      </c>
      <c r="I391" s="3">
        <v>2</v>
      </c>
      <c r="J391" s="11">
        <v>90</v>
      </c>
      <c r="K391" s="4">
        <v>0</v>
      </c>
      <c r="L391" s="3" t="s">
        <v>95</v>
      </c>
      <c r="M391" s="3">
        <v>24</v>
      </c>
      <c r="N391" s="3">
        <v>10</v>
      </c>
      <c r="O391" s="3">
        <v>4</v>
      </c>
      <c r="P391" s="11">
        <f>Clean_Data[[#This Row],[Quantity]]*Clean_Data[[#This Row],[UnitPrice]]</f>
        <v>180</v>
      </c>
      <c r="Q391" s="11">
        <f>ROUND(Clean_Data[[#This Row],[GrossSales]]*Clean_Data[[#This Row],[DiscountPct]],2)</f>
        <v>0</v>
      </c>
      <c r="R391" s="11">
        <f>IF(Clean_Data[[#This Row],[Status]]="Delivered",ROUND(Clean_Data[[#This Row],[GrossSales]]-Clean_Data[[#This Row],[DiscountAmount]],2),0)</f>
        <v>180</v>
      </c>
      <c r="S391" s="3" t="str">
        <f>IF(Clean_Data[[#This Row],[OrderHour]]&lt;6,"Night",IF(Clean_Data[[#This Row],[OrderHour]]&lt;12,"Morning",IF(Clean_Data[[#This Row],[OrderHour]]&lt;18,"Afternoon","Evening")))</f>
        <v>Morning</v>
      </c>
      <c r="T391" s="3" t="str">
        <f>TEXT(Clean_Data[[#This Row],[OrderDate]],"[$-409]ddd")</f>
        <v>Sun</v>
      </c>
      <c r="U391" s="3">
        <f>WEEKDAY(Clean_Data[[#This Row],[OrderDate]],2)</f>
        <v>7</v>
      </c>
      <c r="V391" s="3">
        <f>INT(Clean_Data[[#This Row],[OrderHour]]/6)+1</f>
        <v>2</v>
      </c>
      <c r="W391" s="3">
        <f>IF(Clean_Data[[#This Row],[Status]]="Delivered",1,0)</f>
        <v>1</v>
      </c>
      <c r="X391" s="3">
        <f>IF(Clean_Data[[#This Row],[Status]]="Delivered",IF(Clean_Data[[#This Row],[DeliveryMinutes]]&lt;=Dashboard!$X$5,1,0),0)</f>
        <v>1</v>
      </c>
      <c r="Y3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1" s="3">
        <f>IF(AND(Clean_Data[[#This Row],[Include]]=1,Clean_Data[[#This Row],[DeliveredFlag]]=1),1,0)</f>
        <v>1</v>
      </c>
      <c r="AA391" s="1">
        <f>IF(COUNTIF($D$2:D391,D391)=1,ROW()-1,ROWS(Clean_Data[OrderID])+1)</f>
        <v>901</v>
      </c>
      <c r="AB391" s="1">
        <f>IF(COUNTIF($F$2:F391,F391)=1,ROW()-1,ROWS(Clean_Data[OrderID])+1)</f>
        <v>901</v>
      </c>
      <c r="AC391" s="1">
        <f>IF(COUNTIF($G$2:G391,G391)=1,ROW()-1,ROWS(Clean_Data[OrderID])+1)</f>
        <v>901</v>
      </c>
      <c r="AD391" s="1">
        <f>IF(COUNTIF($H$2:H391,H391)=1,ROW()-1,ROWS(Clean_Data[OrderID])+1)</f>
        <v>901</v>
      </c>
      <c r="AE391" s="1">
        <f>IF(COUNTIF($V$2:V391,V391)=1,V391,ROWS(Clean_Data[OrderID])+1)</f>
        <v>901</v>
      </c>
      <c r="AF391" s="1">
        <f>IF(COUNTIF($U$2:U391,U391)=1,U391,ROWS(Clean_Data[OrderID])+1)</f>
        <v>901</v>
      </c>
      <c r="AG391" s="1">
        <f>IF(COUNTIF($E$2:E391,E391)=1,ROW()-1,ROWS(Clean_Data[OrderID])+1)</f>
        <v>901</v>
      </c>
    </row>
    <row r="392" spans="1:33" ht="20" customHeight="1">
      <c r="A392" s="3" t="s">
        <v>734</v>
      </c>
      <c r="B392" s="2">
        <v>46279</v>
      </c>
      <c r="C392" s="3">
        <v>10</v>
      </c>
      <c r="D392" s="3" t="s">
        <v>462</v>
      </c>
      <c r="E392" s="3" t="s">
        <v>91</v>
      </c>
      <c r="F392" s="3" t="s">
        <v>121</v>
      </c>
      <c r="G392" s="3" t="s">
        <v>93</v>
      </c>
      <c r="H392" s="3" t="s">
        <v>118</v>
      </c>
      <c r="I392" s="3">
        <v>3</v>
      </c>
      <c r="J392" s="11">
        <v>45</v>
      </c>
      <c r="K392" s="4">
        <v>0.1</v>
      </c>
      <c r="L392" s="3" t="s">
        <v>95</v>
      </c>
      <c r="M392" s="3">
        <v>26</v>
      </c>
      <c r="N392" s="3">
        <v>6</v>
      </c>
      <c r="O392" s="3">
        <v>4</v>
      </c>
      <c r="P392" s="11">
        <f>Clean_Data[[#This Row],[Quantity]]*Clean_Data[[#This Row],[UnitPrice]]</f>
        <v>135</v>
      </c>
      <c r="Q392" s="11">
        <f>ROUND(Clean_Data[[#This Row],[GrossSales]]*Clean_Data[[#This Row],[DiscountPct]],2)</f>
        <v>13.5</v>
      </c>
      <c r="R392" s="11">
        <f>IF(Clean_Data[[#This Row],[Status]]="Delivered",ROUND(Clean_Data[[#This Row],[GrossSales]]-Clean_Data[[#This Row],[DiscountAmount]],2),0)</f>
        <v>121.5</v>
      </c>
      <c r="S392" s="3" t="str">
        <f>IF(Clean_Data[[#This Row],[OrderHour]]&lt;6,"Night",IF(Clean_Data[[#This Row],[OrderHour]]&lt;12,"Morning",IF(Clean_Data[[#This Row],[OrderHour]]&lt;18,"Afternoon","Evening")))</f>
        <v>Morning</v>
      </c>
      <c r="T392" s="3" t="str">
        <f>TEXT(Clean_Data[[#This Row],[OrderDate]],"[$-409]ddd")</f>
        <v>Mon</v>
      </c>
      <c r="U392" s="3">
        <f>WEEKDAY(Clean_Data[[#This Row],[OrderDate]],2)</f>
        <v>1</v>
      </c>
      <c r="V392" s="3">
        <f>INT(Clean_Data[[#This Row],[OrderHour]]/6)+1</f>
        <v>2</v>
      </c>
      <c r="W392" s="3">
        <f>IF(Clean_Data[[#This Row],[Status]]="Delivered",1,0)</f>
        <v>1</v>
      </c>
      <c r="X392" s="3">
        <f>IF(Clean_Data[[#This Row],[Status]]="Delivered",IF(Clean_Data[[#This Row],[DeliveryMinutes]]&lt;=Dashboard!$X$5,1,0),0)</f>
        <v>1</v>
      </c>
      <c r="Y3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2" s="3">
        <f>IF(AND(Clean_Data[[#This Row],[Include]]=1,Clean_Data[[#This Row],[DeliveredFlag]]=1),1,0)</f>
        <v>1</v>
      </c>
      <c r="AA392" s="1">
        <f>IF(COUNTIF($D$2:D392,D392)=1,ROW()-1,ROWS(Clean_Data[OrderID])+1)</f>
        <v>901</v>
      </c>
      <c r="AB392" s="1">
        <f>IF(COUNTIF($F$2:F392,F392)=1,ROW()-1,ROWS(Clean_Data[OrderID])+1)</f>
        <v>901</v>
      </c>
      <c r="AC392" s="1">
        <f>IF(COUNTIF($G$2:G392,G392)=1,ROW()-1,ROWS(Clean_Data[OrderID])+1)</f>
        <v>901</v>
      </c>
      <c r="AD392" s="1">
        <f>IF(COUNTIF($H$2:H392,H392)=1,ROW()-1,ROWS(Clean_Data[OrderID])+1)</f>
        <v>901</v>
      </c>
      <c r="AE392" s="1">
        <f>IF(COUNTIF($V$2:V392,V392)=1,V392,ROWS(Clean_Data[OrderID])+1)</f>
        <v>901</v>
      </c>
      <c r="AF392" s="1">
        <f>IF(COUNTIF($U$2:U392,U392)=1,U392,ROWS(Clean_Data[OrderID])+1)</f>
        <v>901</v>
      </c>
      <c r="AG392" s="1">
        <f>IF(COUNTIF($E$2:E392,E392)=1,ROW()-1,ROWS(Clean_Data[OrderID])+1)</f>
        <v>901</v>
      </c>
    </row>
    <row r="393" spans="1:33" ht="20" customHeight="1">
      <c r="A393" s="3" t="s">
        <v>735</v>
      </c>
      <c r="B393" s="2">
        <v>46279</v>
      </c>
      <c r="C393" s="3">
        <v>18</v>
      </c>
      <c r="D393" s="3" t="s">
        <v>736</v>
      </c>
      <c r="E393" s="3" t="s">
        <v>117</v>
      </c>
      <c r="F393" s="3" t="s">
        <v>98</v>
      </c>
      <c r="G393" s="3" t="s">
        <v>135</v>
      </c>
      <c r="H393" s="3" t="s">
        <v>217</v>
      </c>
      <c r="I393" s="3">
        <v>6</v>
      </c>
      <c r="J393" s="11">
        <v>65</v>
      </c>
      <c r="K393" s="4">
        <v>0</v>
      </c>
      <c r="L393" s="3" t="s">
        <v>95</v>
      </c>
      <c r="M393" s="3">
        <v>31</v>
      </c>
      <c r="N393" s="3">
        <v>12</v>
      </c>
      <c r="O393" s="3">
        <v>5</v>
      </c>
      <c r="P393" s="11">
        <f>Clean_Data[[#This Row],[Quantity]]*Clean_Data[[#This Row],[UnitPrice]]</f>
        <v>390</v>
      </c>
      <c r="Q393" s="11">
        <f>ROUND(Clean_Data[[#This Row],[GrossSales]]*Clean_Data[[#This Row],[DiscountPct]],2)</f>
        <v>0</v>
      </c>
      <c r="R393" s="11">
        <f>IF(Clean_Data[[#This Row],[Status]]="Delivered",ROUND(Clean_Data[[#This Row],[GrossSales]]-Clean_Data[[#This Row],[DiscountAmount]],2),0)</f>
        <v>390</v>
      </c>
      <c r="S393" s="3" t="str">
        <f>IF(Clean_Data[[#This Row],[OrderHour]]&lt;6,"Night",IF(Clean_Data[[#This Row],[OrderHour]]&lt;12,"Morning",IF(Clean_Data[[#This Row],[OrderHour]]&lt;18,"Afternoon","Evening")))</f>
        <v>Evening</v>
      </c>
      <c r="T393" s="3" t="str">
        <f>TEXT(Clean_Data[[#This Row],[OrderDate]],"[$-409]ddd")</f>
        <v>Mon</v>
      </c>
      <c r="U393" s="3">
        <f>WEEKDAY(Clean_Data[[#This Row],[OrderDate]],2)</f>
        <v>1</v>
      </c>
      <c r="V393" s="3">
        <f>INT(Clean_Data[[#This Row],[OrderHour]]/6)+1</f>
        <v>4</v>
      </c>
      <c r="W393" s="3">
        <f>IF(Clean_Data[[#This Row],[Status]]="Delivered",1,0)</f>
        <v>1</v>
      </c>
      <c r="X393" s="3">
        <f>IF(Clean_Data[[#This Row],[Status]]="Delivered",IF(Clean_Data[[#This Row],[DeliveryMinutes]]&lt;=Dashboard!$X$5,1,0),0)</f>
        <v>0</v>
      </c>
      <c r="Y3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3" s="3">
        <f>IF(AND(Clean_Data[[#This Row],[Include]]=1,Clean_Data[[#This Row],[DeliveredFlag]]=1),1,0)</f>
        <v>1</v>
      </c>
      <c r="AA393" s="1">
        <f>IF(COUNTIF($D$2:D393,D393)=1,ROW()-1,ROWS(Clean_Data[OrderID])+1)</f>
        <v>392</v>
      </c>
      <c r="AB393" s="1">
        <f>IF(COUNTIF($F$2:F393,F393)=1,ROW()-1,ROWS(Clean_Data[OrderID])+1)</f>
        <v>901</v>
      </c>
      <c r="AC393" s="1">
        <f>IF(COUNTIF($G$2:G393,G393)=1,ROW()-1,ROWS(Clean_Data[OrderID])+1)</f>
        <v>901</v>
      </c>
      <c r="AD393" s="1">
        <f>IF(COUNTIF($H$2:H393,H393)=1,ROW()-1,ROWS(Clean_Data[OrderID])+1)</f>
        <v>901</v>
      </c>
      <c r="AE393" s="1">
        <f>IF(COUNTIF($V$2:V393,V393)=1,V393,ROWS(Clean_Data[OrderID])+1)</f>
        <v>901</v>
      </c>
      <c r="AF393" s="1">
        <f>IF(COUNTIF($U$2:U393,U393)=1,U393,ROWS(Clean_Data[OrderID])+1)</f>
        <v>901</v>
      </c>
      <c r="AG393" s="1">
        <f>IF(COUNTIF($E$2:E393,E393)=1,ROW()-1,ROWS(Clean_Data[OrderID])+1)</f>
        <v>901</v>
      </c>
    </row>
    <row r="394" spans="1:33" ht="20" customHeight="1">
      <c r="A394" s="3" t="s">
        <v>737</v>
      </c>
      <c r="B394" s="2">
        <v>46279</v>
      </c>
      <c r="C394" s="3">
        <v>16</v>
      </c>
      <c r="D394" s="3" t="s">
        <v>721</v>
      </c>
      <c r="E394" s="3" t="s">
        <v>91</v>
      </c>
      <c r="F394" s="3" t="s">
        <v>121</v>
      </c>
      <c r="G394" s="3" t="s">
        <v>99</v>
      </c>
      <c r="H394" s="3" t="s">
        <v>100</v>
      </c>
      <c r="I394" s="3">
        <v>1</v>
      </c>
      <c r="J394" s="11">
        <v>120</v>
      </c>
      <c r="K394" s="4">
        <v>0.15</v>
      </c>
      <c r="L394" s="3" t="s">
        <v>95</v>
      </c>
      <c r="M394" s="3">
        <v>30</v>
      </c>
      <c r="N394" s="3">
        <v>14</v>
      </c>
      <c r="O394" s="3">
        <v>4</v>
      </c>
      <c r="P394" s="11">
        <f>Clean_Data[[#This Row],[Quantity]]*Clean_Data[[#This Row],[UnitPrice]]</f>
        <v>120</v>
      </c>
      <c r="Q394" s="11">
        <f>ROUND(Clean_Data[[#This Row],[GrossSales]]*Clean_Data[[#This Row],[DiscountPct]],2)</f>
        <v>18</v>
      </c>
      <c r="R394" s="11">
        <f>IF(Clean_Data[[#This Row],[Status]]="Delivered",ROUND(Clean_Data[[#This Row],[GrossSales]]-Clean_Data[[#This Row],[DiscountAmount]],2),0)</f>
        <v>102</v>
      </c>
      <c r="S394" s="3" t="str">
        <f>IF(Clean_Data[[#This Row],[OrderHour]]&lt;6,"Night",IF(Clean_Data[[#This Row],[OrderHour]]&lt;12,"Morning",IF(Clean_Data[[#This Row],[OrderHour]]&lt;18,"Afternoon","Evening")))</f>
        <v>Afternoon</v>
      </c>
      <c r="T394" s="3" t="str">
        <f>TEXT(Clean_Data[[#This Row],[OrderDate]],"[$-409]ddd")</f>
        <v>Mon</v>
      </c>
      <c r="U394" s="3">
        <f>WEEKDAY(Clean_Data[[#This Row],[OrderDate]],2)</f>
        <v>1</v>
      </c>
      <c r="V394" s="3">
        <f>INT(Clean_Data[[#This Row],[OrderHour]]/6)+1</f>
        <v>3</v>
      </c>
      <c r="W394" s="3">
        <f>IF(Clean_Data[[#This Row],[Status]]="Delivered",1,0)</f>
        <v>1</v>
      </c>
      <c r="X394" s="3">
        <f>IF(Clean_Data[[#This Row],[Status]]="Delivered",IF(Clean_Data[[#This Row],[DeliveryMinutes]]&lt;=Dashboard!$X$5,1,0),0)</f>
        <v>1</v>
      </c>
      <c r="Y3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4" s="3">
        <f>IF(AND(Clean_Data[[#This Row],[Include]]=1,Clean_Data[[#This Row],[DeliveredFlag]]=1),1,0)</f>
        <v>1</v>
      </c>
      <c r="AA394" s="1">
        <f>IF(COUNTIF($D$2:D394,D394)=1,ROW()-1,ROWS(Clean_Data[OrderID])+1)</f>
        <v>901</v>
      </c>
      <c r="AB394" s="1">
        <f>IF(COUNTIF($F$2:F394,F394)=1,ROW()-1,ROWS(Clean_Data[OrderID])+1)</f>
        <v>901</v>
      </c>
      <c r="AC394" s="1">
        <f>IF(COUNTIF($G$2:G394,G394)=1,ROW()-1,ROWS(Clean_Data[OrderID])+1)</f>
        <v>901</v>
      </c>
      <c r="AD394" s="1">
        <f>IF(COUNTIF($H$2:H394,H394)=1,ROW()-1,ROWS(Clean_Data[OrderID])+1)</f>
        <v>901</v>
      </c>
      <c r="AE394" s="1">
        <f>IF(COUNTIF($V$2:V394,V394)=1,V394,ROWS(Clean_Data[OrderID])+1)</f>
        <v>901</v>
      </c>
      <c r="AF394" s="1">
        <f>IF(COUNTIF($U$2:U394,U394)=1,U394,ROWS(Clean_Data[OrderID])+1)</f>
        <v>901</v>
      </c>
      <c r="AG394" s="1">
        <f>IF(COUNTIF($E$2:E394,E394)=1,ROW()-1,ROWS(Clean_Data[OrderID])+1)</f>
        <v>901</v>
      </c>
    </row>
    <row r="395" spans="1:33" ht="20" customHeight="1">
      <c r="A395" s="3" t="s">
        <v>738</v>
      </c>
      <c r="B395" s="2">
        <v>46279</v>
      </c>
      <c r="C395" s="3">
        <v>13</v>
      </c>
      <c r="D395" s="3" t="s">
        <v>739</v>
      </c>
      <c r="E395" s="3" t="s">
        <v>117</v>
      </c>
      <c r="F395" s="3" t="s">
        <v>98</v>
      </c>
      <c r="G395" s="3" t="s">
        <v>122</v>
      </c>
      <c r="H395" s="3" t="s">
        <v>123</v>
      </c>
      <c r="I395" s="3">
        <v>3</v>
      </c>
      <c r="J395" s="11">
        <v>45</v>
      </c>
      <c r="K395" s="4">
        <v>0</v>
      </c>
      <c r="L395" s="3" t="s">
        <v>95</v>
      </c>
      <c r="M395" s="3">
        <v>15</v>
      </c>
      <c r="N395" s="3">
        <v>12</v>
      </c>
      <c r="O395" s="3">
        <v>3</v>
      </c>
      <c r="P395" s="11">
        <f>Clean_Data[[#This Row],[Quantity]]*Clean_Data[[#This Row],[UnitPrice]]</f>
        <v>135</v>
      </c>
      <c r="Q395" s="11">
        <f>ROUND(Clean_Data[[#This Row],[GrossSales]]*Clean_Data[[#This Row],[DiscountPct]],2)</f>
        <v>0</v>
      </c>
      <c r="R395" s="11">
        <f>IF(Clean_Data[[#This Row],[Status]]="Delivered",ROUND(Clean_Data[[#This Row],[GrossSales]]-Clean_Data[[#This Row],[DiscountAmount]],2),0)</f>
        <v>135</v>
      </c>
      <c r="S395" s="3" t="str">
        <f>IF(Clean_Data[[#This Row],[OrderHour]]&lt;6,"Night",IF(Clean_Data[[#This Row],[OrderHour]]&lt;12,"Morning",IF(Clean_Data[[#This Row],[OrderHour]]&lt;18,"Afternoon","Evening")))</f>
        <v>Afternoon</v>
      </c>
      <c r="T395" s="3" t="str">
        <f>TEXT(Clean_Data[[#This Row],[OrderDate]],"[$-409]ddd")</f>
        <v>Mon</v>
      </c>
      <c r="U395" s="3">
        <f>WEEKDAY(Clean_Data[[#This Row],[OrderDate]],2)</f>
        <v>1</v>
      </c>
      <c r="V395" s="3">
        <f>INT(Clean_Data[[#This Row],[OrderHour]]/6)+1</f>
        <v>3</v>
      </c>
      <c r="W395" s="3">
        <f>IF(Clean_Data[[#This Row],[Status]]="Delivered",1,0)</f>
        <v>1</v>
      </c>
      <c r="X395" s="3">
        <f>IF(Clean_Data[[#This Row],[Status]]="Delivered",IF(Clean_Data[[#This Row],[DeliveryMinutes]]&lt;=Dashboard!$X$5,1,0),0)</f>
        <v>1</v>
      </c>
      <c r="Y3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5" s="3">
        <f>IF(AND(Clean_Data[[#This Row],[Include]]=1,Clean_Data[[#This Row],[DeliveredFlag]]=1),1,0)</f>
        <v>1</v>
      </c>
      <c r="AA395" s="1">
        <f>IF(COUNTIF($D$2:D395,D395)=1,ROW()-1,ROWS(Clean_Data[OrderID])+1)</f>
        <v>394</v>
      </c>
      <c r="AB395" s="1">
        <f>IF(COUNTIF($F$2:F395,F395)=1,ROW()-1,ROWS(Clean_Data[OrderID])+1)</f>
        <v>901</v>
      </c>
      <c r="AC395" s="1">
        <f>IF(COUNTIF($G$2:G395,G395)=1,ROW()-1,ROWS(Clean_Data[OrderID])+1)</f>
        <v>901</v>
      </c>
      <c r="AD395" s="1">
        <f>IF(COUNTIF($H$2:H395,H395)=1,ROW()-1,ROWS(Clean_Data[OrderID])+1)</f>
        <v>901</v>
      </c>
      <c r="AE395" s="1">
        <f>IF(COUNTIF($V$2:V395,V395)=1,V395,ROWS(Clean_Data[OrderID])+1)</f>
        <v>901</v>
      </c>
      <c r="AF395" s="1">
        <f>IF(COUNTIF($U$2:U395,U395)=1,U395,ROWS(Clean_Data[OrderID])+1)</f>
        <v>901</v>
      </c>
      <c r="AG395" s="1">
        <f>IF(COUNTIF($E$2:E395,E395)=1,ROW()-1,ROWS(Clean_Data[OrderID])+1)</f>
        <v>901</v>
      </c>
    </row>
    <row r="396" spans="1:33" ht="20" customHeight="1">
      <c r="A396" s="3" t="s">
        <v>740</v>
      </c>
      <c r="B396" s="2">
        <v>46279</v>
      </c>
      <c r="C396" s="3">
        <v>14</v>
      </c>
      <c r="D396" s="3" t="s">
        <v>721</v>
      </c>
      <c r="E396" s="3" t="s">
        <v>91</v>
      </c>
      <c r="F396" s="3" t="s">
        <v>121</v>
      </c>
      <c r="G396" s="3" t="s">
        <v>122</v>
      </c>
      <c r="H396" s="3" t="s">
        <v>123</v>
      </c>
      <c r="I396" s="3">
        <v>3</v>
      </c>
      <c r="J396" s="11">
        <v>45</v>
      </c>
      <c r="K396" s="4">
        <v>0.1</v>
      </c>
      <c r="L396" s="3" t="s">
        <v>95</v>
      </c>
      <c r="M396" s="3">
        <v>14</v>
      </c>
      <c r="N396" s="3">
        <v>15</v>
      </c>
      <c r="O396" s="3">
        <v>5</v>
      </c>
      <c r="P396" s="11">
        <f>Clean_Data[[#This Row],[Quantity]]*Clean_Data[[#This Row],[UnitPrice]]</f>
        <v>135</v>
      </c>
      <c r="Q396" s="11">
        <f>ROUND(Clean_Data[[#This Row],[GrossSales]]*Clean_Data[[#This Row],[DiscountPct]],2)</f>
        <v>13.5</v>
      </c>
      <c r="R396" s="11">
        <f>IF(Clean_Data[[#This Row],[Status]]="Delivered",ROUND(Clean_Data[[#This Row],[GrossSales]]-Clean_Data[[#This Row],[DiscountAmount]],2),0)</f>
        <v>121.5</v>
      </c>
      <c r="S396" s="3" t="str">
        <f>IF(Clean_Data[[#This Row],[OrderHour]]&lt;6,"Night",IF(Clean_Data[[#This Row],[OrderHour]]&lt;12,"Morning",IF(Clean_Data[[#This Row],[OrderHour]]&lt;18,"Afternoon","Evening")))</f>
        <v>Afternoon</v>
      </c>
      <c r="T396" s="3" t="str">
        <f>TEXT(Clean_Data[[#This Row],[OrderDate]],"[$-409]ddd")</f>
        <v>Mon</v>
      </c>
      <c r="U396" s="3">
        <f>WEEKDAY(Clean_Data[[#This Row],[OrderDate]],2)</f>
        <v>1</v>
      </c>
      <c r="V396" s="3">
        <f>INT(Clean_Data[[#This Row],[OrderHour]]/6)+1</f>
        <v>3</v>
      </c>
      <c r="W396" s="3">
        <f>IF(Clean_Data[[#This Row],[Status]]="Delivered",1,0)</f>
        <v>1</v>
      </c>
      <c r="X396" s="3">
        <f>IF(Clean_Data[[#This Row],[Status]]="Delivered",IF(Clean_Data[[#This Row],[DeliveryMinutes]]&lt;=Dashboard!$X$5,1,0),0)</f>
        <v>1</v>
      </c>
      <c r="Y3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6" s="3">
        <f>IF(AND(Clean_Data[[#This Row],[Include]]=1,Clean_Data[[#This Row],[DeliveredFlag]]=1),1,0)</f>
        <v>1</v>
      </c>
      <c r="AA396" s="1">
        <f>IF(COUNTIF($D$2:D396,D396)=1,ROW()-1,ROWS(Clean_Data[OrderID])+1)</f>
        <v>901</v>
      </c>
      <c r="AB396" s="1">
        <f>IF(COUNTIF($F$2:F396,F396)=1,ROW()-1,ROWS(Clean_Data[OrderID])+1)</f>
        <v>901</v>
      </c>
      <c r="AC396" s="1">
        <f>IF(COUNTIF($G$2:G396,G396)=1,ROW()-1,ROWS(Clean_Data[OrderID])+1)</f>
        <v>901</v>
      </c>
      <c r="AD396" s="1">
        <f>IF(COUNTIF($H$2:H396,H396)=1,ROW()-1,ROWS(Clean_Data[OrderID])+1)</f>
        <v>901</v>
      </c>
      <c r="AE396" s="1">
        <f>IF(COUNTIF($V$2:V396,V396)=1,V396,ROWS(Clean_Data[OrderID])+1)</f>
        <v>901</v>
      </c>
      <c r="AF396" s="1">
        <f>IF(COUNTIF($U$2:U396,U396)=1,U396,ROWS(Clean_Data[OrderID])+1)</f>
        <v>901</v>
      </c>
      <c r="AG396" s="1">
        <f>IF(COUNTIF($E$2:E396,E396)=1,ROW()-1,ROWS(Clean_Data[OrderID])+1)</f>
        <v>901</v>
      </c>
    </row>
    <row r="397" spans="1:33" ht="20" customHeight="1">
      <c r="A397" s="3" t="s">
        <v>741</v>
      </c>
      <c r="B397" s="2">
        <v>46279</v>
      </c>
      <c r="C397" s="3">
        <v>19</v>
      </c>
      <c r="D397" s="3" t="s">
        <v>742</v>
      </c>
      <c r="E397" s="3" t="s">
        <v>91</v>
      </c>
      <c r="F397" s="3" t="s">
        <v>98</v>
      </c>
      <c r="G397" s="3" t="s">
        <v>135</v>
      </c>
      <c r="H397" s="3" t="s">
        <v>217</v>
      </c>
      <c r="I397" s="3">
        <v>2</v>
      </c>
      <c r="J397" s="11">
        <v>65</v>
      </c>
      <c r="K397" s="4">
        <v>0.15</v>
      </c>
      <c r="L397" s="3" t="s">
        <v>95</v>
      </c>
      <c r="M397" s="3">
        <v>29</v>
      </c>
      <c r="N397" s="3">
        <v>7</v>
      </c>
      <c r="O397" s="3">
        <v>4</v>
      </c>
      <c r="P397" s="11">
        <f>Clean_Data[[#This Row],[Quantity]]*Clean_Data[[#This Row],[UnitPrice]]</f>
        <v>130</v>
      </c>
      <c r="Q397" s="11">
        <f>ROUND(Clean_Data[[#This Row],[GrossSales]]*Clean_Data[[#This Row],[DiscountPct]],2)</f>
        <v>19.5</v>
      </c>
      <c r="R397" s="11">
        <f>IF(Clean_Data[[#This Row],[Status]]="Delivered",ROUND(Clean_Data[[#This Row],[GrossSales]]-Clean_Data[[#This Row],[DiscountAmount]],2),0)</f>
        <v>110.5</v>
      </c>
      <c r="S397" s="3" t="str">
        <f>IF(Clean_Data[[#This Row],[OrderHour]]&lt;6,"Night",IF(Clean_Data[[#This Row],[OrderHour]]&lt;12,"Morning",IF(Clean_Data[[#This Row],[OrderHour]]&lt;18,"Afternoon","Evening")))</f>
        <v>Evening</v>
      </c>
      <c r="T397" s="3" t="str">
        <f>TEXT(Clean_Data[[#This Row],[OrderDate]],"[$-409]ddd")</f>
        <v>Mon</v>
      </c>
      <c r="U397" s="3">
        <f>WEEKDAY(Clean_Data[[#This Row],[OrderDate]],2)</f>
        <v>1</v>
      </c>
      <c r="V397" s="3">
        <f>INT(Clean_Data[[#This Row],[OrderHour]]/6)+1</f>
        <v>4</v>
      </c>
      <c r="W397" s="3">
        <f>IF(Clean_Data[[#This Row],[Status]]="Delivered",1,0)</f>
        <v>1</v>
      </c>
      <c r="X397" s="3">
        <f>IF(Clean_Data[[#This Row],[Status]]="Delivered",IF(Clean_Data[[#This Row],[DeliveryMinutes]]&lt;=Dashboard!$X$5,1,0),0)</f>
        <v>1</v>
      </c>
      <c r="Y3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7" s="3">
        <f>IF(AND(Clean_Data[[#This Row],[Include]]=1,Clean_Data[[#This Row],[DeliveredFlag]]=1),1,0)</f>
        <v>1</v>
      </c>
      <c r="AA397" s="1">
        <f>IF(COUNTIF($D$2:D397,D397)=1,ROW()-1,ROWS(Clean_Data[OrderID])+1)</f>
        <v>396</v>
      </c>
      <c r="AB397" s="1">
        <f>IF(COUNTIF($F$2:F397,F397)=1,ROW()-1,ROWS(Clean_Data[OrderID])+1)</f>
        <v>901</v>
      </c>
      <c r="AC397" s="1">
        <f>IF(COUNTIF($G$2:G397,G397)=1,ROW()-1,ROWS(Clean_Data[OrderID])+1)</f>
        <v>901</v>
      </c>
      <c r="AD397" s="1">
        <f>IF(COUNTIF($H$2:H397,H397)=1,ROW()-1,ROWS(Clean_Data[OrderID])+1)</f>
        <v>901</v>
      </c>
      <c r="AE397" s="1">
        <f>IF(COUNTIF($V$2:V397,V397)=1,V397,ROWS(Clean_Data[OrderID])+1)</f>
        <v>901</v>
      </c>
      <c r="AF397" s="1">
        <f>IF(COUNTIF($U$2:U397,U397)=1,U397,ROWS(Clean_Data[OrderID])+1)</f>
        <v>901</v>
      </c>
      <c r="AG397" s="1">
        <f>IF(COUNTIF($E$2:E397,E397)=1,ROW()-1,ROWS(Clean_Data[OrderID])+1)</f>
        <v>901</v>
      </c>
    </row>
    <row r="398" spans="1:33" ht="20" customHeight="1">
      <c r="A398" s="3" t="s">
        <v>743</v>
      </c>
      <c r="B398" s="2">
        <v>46279</v>
      </c>
      <c r="C398" s="3">
        <v>12</v>
      </c>
      <c r="D398" s="3" t="s">
        <v>399</v>
      </c>
      <c r="E398" s="3" t="s">
        <v>91</v>
      </c>
      <c r="F398" s="3" t="s">
        <v>139</v>
      </c>
      <c r="G398" s="3" t="s">
        <v>93</v>
      </c>
      <c r="H398" s="3" t="s">
        <v>94</v>
      </c>
      <c r="I398" s="3">
        <v>5</v>
      </c>
      <c r="J398" s="11">
        <v>95</v>
      </c>
      <c r="K398" s="4">
        <v>0.05</v>
      </c>
      <c r="L398" s="3" t="s">
        <v>95</v>
      </c>
      <c r="M398" s="3">
        <v>32</v>
      </c>
      <c r="N398" s="3">
        <v>13</v>
      </c>
      <c r="O398" s="3">
        <v>5</v>
      </c>
      <c r="P398" s="11">
        <f>Clean_Data[[#This Row],[Quantity]]*Clean_Data[[#This Row],[UnitPrice]]</f>
        <v>475</v>
      </c>
      <c r="Q398" s="11">
        <f>ROUND(Clean_Data[[#This Row],[GrossSales]]*Clean_Data[[#This Row],[DiscountPct]],2)</f>
        <v>23.75</v>
      </c>
      <c r="R398" s="11">
        <f>IF(Clean_Data[[#This Row],[Status]]="Delivered",ROUND(Clean_Data[[#This Row],[GrossSales]]-Clean_Data[[#This Row],[DiscountAmount]],2),0)</f>
        <v>451.25</v>
      </c>
      <c r="S398" s="3" t="str">
        <f>IF(Clean_Data[[#This Row],[OrderHour]]&lt;6,"Night",IF(Clean_Data[[#This Row],[OrderHour]]&lt;12,"Morning",IF(Clean_Data[[#This Row],[OrderHour]]&lt;18,"Afternoon","Evening")))</f>
        <v>Afternoon</v>
      </c>
      <c r="T398" s="3" t="str">
        <f>TEXT(Clean_Data[[#This Row],[OrderDate]],"[$-409]ddd")</f>
        <v>Mon</v>
      </c>
      <c r="U398" s="3">
        <f>WEEKDAY(Clean_Data[[#This Row],[OrderDate]],2)</f>
        <v>1</v>
      </c>
      <c r="V398" s="3">
        <f>INT(Clean_Data[[#This Row],[OrderHour]]/6)+1</f>
        <v>3</v>
      </c>
      <c r="W398" s="3">
        <f>IF(Clean_Data[[#This Row],[Status]]="Delivered",1,0)</f>
        <v>1</v>
      </c>
      <c r="X398" s="3">
        <f>IF(Clean_Data[[#This Row],[Status]]="Delivered",IF(Clean_Data[[#This Row],[DeliveryMinutes]]&lt;=Dashboard!$X$5,1,0),0)</f>
        <v>0</v>
      </c>
      <c r="Y3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8" s="3">
        <f>IF(AND(Clean_Data[[#This Row],[Include]]=1,Clean_Data[[#This Row],[DeliveredFlag]]=1),1,0)</f>
        <v>1</v>
      </c>
      <c r="AA398" s="1">
        <f>IF(COUNTIF($D$2:D398,D398)=1,ROW()-1,ROWS(Clean_Data[OrderID])+1)</f>
        <v>901</v>
      </c>
      <c r="AB398" s="1">
        <f>IF(COUNTIF($F$2:F398,F398)=1,ROW()-1,ROWS(Clean_Data[OrderID])+1)</f>
        <v>901</v>
      </c>
      <c r="AC398" s="1">
        <f>IF(COUNTIF($G$2:G398,G398)=1,ROW()-1,ROWS(Clean_Data[OrderID])+1)</f>
        <v>901</v>
      </c>
      <c r="AD398" s="1">
        <f>IF(COUNTIF($H$2:H398,H398)=1,ROW()-1,ROWS(Clean_Data[OrderID])+1)</f>
        <v>901</v>
      </c>
      <c r="AE398" s="1">
        <f>IF(COUNTIF($V$2:V398,V398)=1,V398,ROWS(Clean_Data[OrderID])+1)</f>
        <v>901</v>
      </c>
      <c r="AF398" s="1">
        <f>IF(COUNTIF($U$2:U398,U398)=1,U398,ROWS(Clean_Data[OrderID])+1)</f>
        <v>901</v>
      </c>
      <c r="AG398" s="1">
        <f>IF(COUNTIF($E$2:E398,E398)=1,ROW()-1,ROWS(Clean_Data[OrderID])+1)</f>
        <v>901</v>
      </c>
    </row>
    <row r="399" spans="1:33" ht="20" customHeight="1">
      <c r="A399" s="3" t="s">
        <v>744</v>
      </c>
      <c r="B399" s="2">
        <v>46279</v>
      </c>
      <c r="C399" s="3">
        <v>22</v>
      </c>
      <c r="D399" s="3" t="s">
        <v>745</v>
      </c>
      <c r="E399" s="3" t="s">
        <v>117</v>
      </c>
      <c r="F399" s="3" t="s">
        <v>92</v>
      </c>
      <c r="G399" s="3" t="s">
        <v>122</v>
      </c>
      <c r="H399" s="3" t="s">
        <v>123</v>
      </c>
      <c r="I399" s="3">
        <v>5</v>
      </c>
      <c r="J399" s="11">
        <v>45</v>
      </c>
      <c r="K399" s="4">
        <v>0.1</v>
      </c>
      <c r="L399" s="3" t="s">
        <v>95</v>
      </c>
      <c r="M399" s="3">
        <v>25</v>
      </c>
      <c r="N399" s="3">
        <v>5</v>
      </c>
      <c r="O399" s="3">
        <v>3</v>
      </c>
      <c r="P399" s="11">
        <f>Clean_Data[[#This Row],[Quantity]]*Clean_Data[[#This Row],[UnitPrice]]</f>
        <v>225</v>
      </c>
      <c r="Q399" s="11">
        <f>ROUND(Clean_Data[[#This Row],[GrossSales]]*Clean_Data[[#This Row],[DiscountPct]],2)</f>
        <v>22.5</v>
      </c>
      <c r="R399" s="11">
        <f>IF(Clean_Data[[#This Row],[Status]]="Delivered",ROUND(Clean_Data[[#This Row],[GrossSales]]-Clean_Data[[#This Row],[DiscountAmount]],2),0)</f>
        <v>202.5</v>
      </c>
      <c r="S399" s="3" t="str">
        <f>IF(Clean_Data[[#This Row],[OrderHour]]&lt;6,"Night",IF(Clean_Data[[#This Row],[OrderHour]]&lt;12,"Morning",IF(Clean_Data[[#This Row],[OrderHour]]&lt;18,"Afternoon","Evening")))</f>
        <v>Evening</v>
      </c>
      <c r="T399" s="3" t="str">
        <f>TEXT(Clean_Data[[#This Row],[OrderDate]],"[$-409]ddd")</f>
        <v>Mon</v>
      </c>
      <c r="U399" s="3">
        <f>WEEKDAY(Clean_Data[[#This Row],[OrderDate]],2)</f>
        <v>1</v>
      </c>
      <c r="V399" s="3">
        <f>INT(Clean_Data[[#This Row],[OrderHour]]/6)+1</f>
        <v>4</v>
      </c>
      <c r="W399" s="3">
        <f>IF(Clean_Data[[#This Row],[Status]]="Delivered",1,0)</f>
        <v>1</v>
      </c>
      <c r="X399" s="3">
        <f>IF(Clean_Data[[#This Row],[Status]]="Delivered",IF(Clean_Data[[#This Row],[DeliveryMinutes]]&lt;=Dashboard!$X$5,1,0),0)</f>
        <v>1</v>
      </c>
      <c r="Y3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399" s="3">
        <f>IF(AND(Clean_Data[[#This Row],[Include]]=1,Clean_Data[[#This Row],[DeliveredFlag]]=1),1,0)</f>
        <v>1</v>
      </c>
      <c r="AA399" s="1">
        <f>IF(COUNTIF($D$2:D399,D399)=1,ROW()-1,ROWS(Clean_Data[OrderID])+1)</f>
        <v>398</v>
      </c>
      <c r="AB399" s="1">
        <f>IF(COUNTIF($F$2:F399,F399)=1,ROW()-1,ROWS(Clean_Data[OrderID])+1)</f>
        <v>901</v>
      </c>
      <c r="AC399" s="1">
        <f>IF(COUNTIF($G$2:G399,G399)=1,ROW()-1,ROWS(Clean_Data[OrderID])+1)</f>
        <v>901</v>
      </c>
      <c r="AD399" s="1">
        <f>IF(COUNTIF($H$2:H399,H399)=1,ROW()-1,ROWS(Clean_Data[OrderID])+1)</f>
        <v>901</v>
      </c>
      <c r="AE399" s="1">
        <f>IF(COUNTIF($V$2:V399,V399)=1,V399,ROWS(Clean_Data[OrderID])+1)</f>
        <v>901</v>
      </c>
      <c r="AF399" s="1">
        <f>IF(COUNTIF($U$2:U399,U399)=1,U399,ROWS(Clean_Data[OrderID])+1)</f>
        <v>901</v>
      </c>
      <c r="AG399" s="1">
        <f>IF(COUNTIF($E$2:E399,E399)=1,ROW()-1,ROWS(Clean_Data[OrderID])+1)</f>
        <v>901</v>
      </c>
    </row>
    <row r="400" spans="1:33" ht="20" customHeight="1">
      <c r="A400" s="3" t="s">
        <v>746</v>
      </c>
      <c r="B400" s="2">
        <v>46279</v>
      </c>
      <c r="C400" s="3">
        <v>20</v>
      </c>
      <c r="D400" s="3" t="s">
        <v>489</v>
      </c>
      <c r="E400" s="3" t="s">
        <v>117</v>
      </c>
      <c r="F400" s="3" t="s">
        <v>109</v>
      </c>
      <c r="G400" s="3" t="s">
        <v>99</v>
      </c>
      <c r="H400" s="3" t="s">
        <v>104</v>
      </c>
      <c r="I400" s="3">
        <v>5</v>
      </c>
      <c r="J400" s="11">
        <v>240</v>
      </c>
      <c r="K400" s="4">
        <v>0</v>
      </c>
      <c r="L400" s="3" t="s">
        <v>95</v>
      </c>
      <c r="M400" s="3">
        <v>23</v>
      </c>
      <c r="N400" s="3">
        <v>14</v>
      </c>
      <c r="O400" s="3">
        <v>4</v>
      </c>
      <c r="P400" s="11">
        <f>Clean_Data[[#This Row],[Quantity]]*Clean_Data[[#This Row],[UnitPrice]]</f>
        <v>1200</v>
      </c>
      <c r="Q400" s="11">
        <f>ROUND(Clean_Data[[#This Row],[GrossSales]]*Clean_Data[[#This Row],[DiscountPct]],2)</f>
        <v>0</v>
      </c>
      <c r="R400" s="11">
        <f>IF(Clean_Data[[#This Row],[Status]]="Delivered",ROUND(Clean_Data[[#This Row],[GrossSales]]-Clean_Data[[#This Row],[DiscountAmount]],2),0)</f>
        <v>1200</v>
      </c>
      <c r="S400" s="3" t="str">
        <f>IF(Clean_Data[[#This Row],[OrderHour]]&lt;6,"Night",IF(Clean_Data[[#This Row],[OrderHour]]&lt;12,"Morning",IF(Clean_Data[[#This Row],[OrderHour]]&lt;18,"Afternoon","Evening")))</f>
        <v>Evening</v>
      </c>
      <c r="T400" s="3" t="str">
        <f>TEXT(Clean_Data[[#This Row],[OrderDate]],"[$-409]ddd")</f>
        <v>Mon</v>
      </c>
      <c r="U400" s="3">
        <f>WEEKDAY(Clean_Data[[#This Row],[OrderDate]],2)</f>
        <v>1</v>
      </c>
      <c r="V400" s="3">
        <f>INT(Clean_Data[[#This Row],[OrderHour]]/6)+1</f>
        <v>4</v>
      </c>
      <c r="W400" s="3">
        <f>IF(Clean_Data[[#This Row],[Status]]="Delivered",1,0)</f>
        <v>1</v>
      </c>
      <c r="X400" s="3">
        <f>IF(Clean_Data[[#This Row],[Status]]="Delivered",IF(Clean_Data[[#This Row],[DeliveryMinutes]]&lt;=Dashboard!$X$5,1,0),0)</f>
        <v>1</v>
      </c>
      <c r="Y4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0" s="3">
        <f>IF(AND(Clean_Data[[#This Row],[Include]]=1,Clean_Data[[#This Row],[DeliveredFlag]]=1),1,0)</f>
        <v>1</v>
      </c>
      <c r="AA400" s="1">
        <f>IF(COUNTIF($D$2:D400,D400)=1,ROW()-1,ROWS(Clean_Data[OrderID])+1)</f>
        <v>901</v>
      </c>
      <c r="AB400" s="1">
        <f>IF(COUNTIF($F$2:F400,F400)=1,ROW()-1,ROWS(Clean_Data[OrderID])+1)</f>
        <v>901</v>
      </c>
      <c r="AC400" s="1">
        <f>IF(COUNTIF($G$2:G400,G400)=1,ROW()-1,ROWS(Clean_Data[OrderID])+1)</f>
        <v>901</v>
      </c>
      <c r="AD400" s="1">
        <f>IF(COUNTIF($H$2:H400,H400)=1,ROW()-1,ROWS(Clean_Data[OrderID])+1)</f>
        <v>901</v>
      </c>
      <c r="AE400" s="1">
        <f>IF(COUNTIF($V$2:V400,V400)=1,V400,ROWS(Clean_Data[OrderID])+1)</f>
        <v>901</v>
      </c>
      <c r="AF400" s="1">
        <f>IF(COUNTIF($U$2:U400,U400)=1,U400,ROWS(Clean_Data[OrderID])+1)</f>
        <v>901</v>
      </c>
      <c r="AG400" s="1">
        <f>IF(COUNTIF($E$2:E400,E400)=1,ROW()-1,ROWS(Clean_Data[OrderID])+1)</f>
        <v>901</v>
      </c>
    </row>
    <row r="401" spans="1:33" ht="20" customHeight="1">
      <c r="A401" s="3" t="s">
        <v>747</v>
      </c>
      <c r="B401" s="2">
        <v>46279</v>
      </c>
      <c r="C401" s="3">
        <v>15</v>
      </c>
      <c r="D401" s="3" t="s">
        <v>297</v>
      </c>
      <c r="E401" s="3" t="s">
        <v>91</v>
      </c>
      <c r="F401" s="3" t="s">
        <v>92</v>
      </c>
      <c r="G401" s="3" t="s">
        <v>110</v>
      </c>
      <c r="H401" s="3" t="s">
        <v>111</v>
      </c>
      <c r="I401" s="3">
        <v>5</v>
      </c>
      <c r="J401" s="11">
        <v>115</v>
      </c>
      <c r="K401" s="4">
        <v>0.15</v>
      </c>
      <c r="L401" s="3" t="s">
        <v>95</v>
      </c>
      <c r="M401" s="3">
        <v>22</v>
      </c>
      <c r="N401" s="3">
        <v>11</v>
      </c>
      <c r="O401" s="3">
        <v>5</v>
      </c>
      <c r="P401" s="11">
        <f>Clean_Data[[#This Row],[Quantity]]*Clean_Data[[#This Row],[UnitPrice]]</f>
        <v>575</v>
      </c>
      <c r="Q401" s="11">
        <f>ROUND(Clean_Data[[#This Row],[GrossSales]]*Clean_Data[[#This Row],[DiscountPct]],2)</f>
        <v>86.25</v>
      </c>
      <c r="R401" s="11">
        <f>IF(Clean_Data[[#This Row],[Status]]="Delivered",ROUND(Clean_Data[[#This Row],[GrossSales]]-Clean_Data[[#This Row],[DiscountAmount]],2),0)</f>
        <v>488.75</v>
      </c>
      <c r="S401" s="3" t="str">
        <f>IF(Clean_Data[[#This Row],[OrderHour]]&lt;6,"Night",IF(Clean_Data[[#This Row],[OrderHour]]&lt;12,"Morning",IF(Clean_Data[[#This Row],[OrderHour]]&lt;18,"Afternoon","Evening")))</f>
        <v>Afternoon</v>
      </c>
      <c r="T401" s="3" t="str">
        <f>TEXT(Clean_Data[[#This Row],[OrderDate]],"[$-409]ddd")</f>
        <v>Mon</v>
      </c>
      <c r="U401" s="3">
        <f>WEEKDAY(Clean_Data[[#This Row],[OrderDate]],2)</f>
        <v>1</v>
      </c>
      <c r="V401" s="3">
        <f>INT(Clean_Data[[#This Row],[OrderHour]]/6)+1</f>
        <v>3</v>
      </c>
      <c r="W401" s="3">
        <f>IF(Clean_Data[[#This Row],[Status]]="Delivered",1,0)</f>
        <v>1</v>
      </c>
      <c r="X401" s="3">
        <f>IF(Clean_Data[[#This Row],[Status]]="Delivered",IF(Clean_Data[[#This Row],[DeliveryMinutes]]&lt;=Dashboard!$X$5,1,0),0)</f>
        <v>1</v>
      </c>
      <c r="Y4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1" s="3">
        <f>IF(AND(Clean_Data[[#This Row],[Include]]=1,Clean_Data[[#This Row],[DeliveredFlag]]=1),1,0)</f>
        <v>1</v>
      </c>
      <c r="AA401" s="1">
        <f>IF(COUNTIF($D$2:D401,D401)=1,ROW()-1,ROWS(Clean_Data[OrderID])+1)</f>
        <v>901</v>
      </c>
      <c r="AB401" s="1">
        <f>IF(COUNTIF($F$2:F401,F401)=1,ROW()-1,ROWS(Clean_Data[OrderID])+1)</f>
        <v>901</v>
      </c>
      <c r="AC401" s="1">
        <f>IF(COUNTIF($G$2:G401,G401)=1,ROW()-1,ROWS(Clean_Data[OrderID])+1)</f>
        <v>901</v>
      </c>
      <c r="AD401" s="1">
        <f>IF(COUNTIF($H$2:H401,H401)=1,ROW()-1,ROWS(Clean_Data[OrderID])+1)</f>
        <v>901</v>
      </c>
      <c r="AE401" s="1">
        <f>IF(COUNTIF($V$2:V401,V401)=1,V401,ROWS(Clean_Data[OrderID])+1)</f>
        <v>901</v>
      </c>
      <c r="AF401" s="1">
        <f>IF(COUNTIF($U$2:U401,U401)=1,U401,ROWS(Clean_Data[OrderID])+1)</f>
        <v>901</v>
      </c>
      <c r="AG401" s="1">
        <f>IF(COUNTIF($E$2:E401,E401)=1,ROW()-1,ROWS(Clean_Data[OrderID])+1)</f>
        <v>901</v>
      </c>
    </row>
    <row r="402" spans="1:33" ht="20" customHeight="1">
      <c r="A402" s="3" t="s">
        <v>748</v>
      </c>
      <c r="B402" s="2">
        <v>46279</v>
      </c>
      <c r="C402" s="3">
        <v>20</v>
      </c>
      <c r="D402" s="3" t="s">
        <v>749</v>
      </c>
      <c r="E402" s="3" t="s">
        <v>91</v>
      </c>
      <c r="F402" s="3" t="s">
        <v>139</v>
      </c>
      <c r="G402" s="3" t="s">
        <v>174</v>
      </c>
      <c r="H402" s="3" t="s">
        <v>274</v>
      </c>
      <c r="I402" s="3">
        <v>2</v>
      </c>
      <c r="J402" s="11">
        <v>90</v>
      </c>
      <c r="K402" s="4">
        <v>0.1</v>
      </c>
      <c r="L402" s="3" t="s">
        <v>95</v>
      </c>
      <c r="M402" s="3">
        <v>13</v>
      </c>
      <c r="N402" s="3">
        <v>14</v>
      </c>
      <c r="O402" s="3">
        <v>5</v>
      </c>
      <c r="P402" s="11">
        <f>Clean_Data[[#This Row],[Quantity]]*Clean_Data[[#This Row],[UnitPrice]]</f>
        <v>180</v>
      </c>
      <c r="Q402" s="11">
        <f>ROUND(Clean_Data[[#This Row],[GrossSales]]*Clean_Data[[#This Row],[DiscountPct]],2)</f>
        <v>18</v>
      </c>
      <c r="R402" s="11">
        <f>IF(Clean_Data[[#This Row],[Status]]="Delivered",ROUND(Clean_Data[[#This Row],[GrossSales]]-Clean_Data[[#This Row],[DiscountAmount]],2),0)</f>
        <v>162</v>
      </c>
      <c r="S402" s="3" t="str">
        <f>IF(Clean_Data[[#This Row],[OrderHour]]&lt;6,"Night",IF(Clean_Data[[#This Row],[OrderHour]]&lt;12,"Morning",IF(Clean_Data[[#This Row],[OrderHour]]&lt;18,"Afternoon","Evening")))</f>
        <v>Evening</v>
      </c>
      <c r="T402" s="3" t="str">
        <f>TEXT(Clean_Data[[#This Row],[OrderDate]],"[$-409]ddd")</f>
        <v>Mon</v>
      </c>
      <c r="U402" s="3">
        <f>WEEKDAY(Clean_Data[[#This Row],[OrderDate]],2)</f>
        <v>1</v>
      </c>
      <c r="V402" s="3">
        <f>INT(Clean_Data[[#This Row],[OrderHour]]/6)+1</f>
        <v>4</v>
      </c>
      <c r="W402" s="3">
        <f>IF(Clean_Data[[#This Row],[Status]]="Delivered",1,0)</f>
        <v>1</v>
      </c>
      <c r="X402" s="3">
        <f>IF(Clean_Data[[#This Row],[Status]]="Delivered",IF(Clean_Data[[#This Row],[DeliveryMinutes]]&lt;=Dashboard!$X$5,1,0),0)</f>
        <v>1</v>
      </c>
      <c r="Y4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2" s="3">
        <f>IF(AND(Clean_Data[[#This Row],[Include]]=1,Clean_Data[[#This Row],[DeliveredFlag]]=1),1,0)</f>
        <v>1</v>
      </c>
      <c r="AA402" s="1">
        <f>IF(COUNTIF($D$2:D402,D402)=1,ROW()-1,ROWS(Clean_Data[OrderID])+1)</f>
        <v>401</v>
      </c>
      <c r="AB402" s="1">
        <f>IF(COUNTIF($F$2:F402,F402)=1,ROW()-1,ROWS(Clean_Data[OrderID])+1)</f>
        <v>901</v>
      </c>
      <c r="AC402" s="1">
        <f>IF(COUNTIF($G$2:G402,G402)=1,ROW()-1,ROWS(Clean_Data[OrderID])+1)</f>
        <v>901</v>
      </c>
      <c r="AD402" s="1">
        <f>IF(COUNTIF($H$2:H402,H402)=1,ROW()-1,ROWS(Clean_Data[OrderID])+1)</f>
        <v>901</v>
      </c>
      <c r="AE402" s="1">
        <f>IF(COUNTIF($V$2:V402,V402)=1,V402,ROWS(Clean_Data[OrderID])+1)</f>
        <v>901</v>
      </c>
      <c r="AF402" s="1">
        <f>IF(COUNTIF($U$2:U402,U402)=1,U402,ROWS(Clean_Data[OrderID])+1)</f>
        <v>901</v>
      </c>
      <c r="AG402" s="1">
        <f>IF(COUNTIF($E$2:E402,E402)=1,ROW()-1,ROWS(Clean_Data[OrderID])+1)</f>
        <v>901</v>
      </c>
    </row>
    <row r="403" spans="1:33" ht="20" customHeight="1">
      <c r="A403" s="3" t="s">
        <v>750</v>
      </c>
      <c r="B403" s="2">
        <v>46279</v>
      </c>
      <c r="C403" s="3">
        <v>19</v>
      </c>
      <c r="D403" s="3" t="s">
        <v>602</v>
      </c>
      <c r="E403" s="3" t="s">
        <v>117</v>
      </c>
      <c r="F403" s="3" t="s">
        <v>98</v>
      </c>
      <c r="G403" s="3" t="s">
        <v>174</v>
      </c>
      <c r="H403" s="3" t="s">
        <v>184</v>
      </c>
      <c r="I403" s="3">
        <v>2</v>
      </c>
      <c r="J403" s="11">
        <v>62</v>
      </c>
      <c r="K403" s="4">
        <v>0</v>
      </c>
      <c r="L403" s="3" t="s">
        <v>95</v>
      </c>
      <c r="M403" s="3">
        <v>28</v>
      </c>
      <c r="N403" s="3">
        <v>6</v>
      </c>
      <c r="O403" s="3">
        <v>3</v>
      </c>
      <c r="P403" s="11">
        <f>Clean_Data[[#This Row],[Quantity]]*Clean_Data[[#This Row],[UnitPrice]]</f>
        <v>124</v>
      </c>
      <c r="Q403" s="11">
        <f>ROUND(Clean_Data[[#This Row],[GrossSales]]*Clean_Data[[#This Row],[DiscountPct]],2)</f>
        <v>0</v>
      </c>
      <c r="R403" s="11">
        <f>IF(Clean_Data[[#This Row],[Status]]="Delivered",ROUND(Clean_Data[[#This Row],[GrossSales]]-Clean_Data[[#This Row],[DiscountAmount]],2),0)</f>
        <v>124</v>
      </c>
      <c r="S403" s="3" t="str">
        <f>IF(Clean_Data[[#This Row],[OrderHour]]&lt;6,"Night",IF(Clean_Data[[#This Row],[OrderHour]]&lt;12,"Morning",IF(Clean_Data[[#This Row],[OrderHour]]&lt;18,"Afternoon","Evening")))</f>
        <v>Evening</v>
      </c>
      <c r="T403" s="3" t="str">
        <f>TEXT(Clean_Data[[#This Row],[OrderDate]],"[$-409]ddd")</f>
        <v>Mon</v>
      </c>
      <c r="U403" s="3">
        <f>WEEKDAY(Clean_Data[[#This Row],[OrderDate]],2)</f>
        <v>1</v>
      </c>
      <c r="V403" s="3">
        <f>INT(Clean_Data[[#This Row],[OrderHour]]/6)+1</f>
        <v>4</v>
      </c>
      <c r="W403" s="3">
        <f>IF(Clean_Data[[#This Row],[Status]]="Delivered",1,0)</f>
        <v>1</v>
      </c>
      <c r="X403" s="3">
        <f>IF(Clean_Data[[#This Row],[Status]]="Delivered",IF(Clean_Data[[#This Row],[DeliveryMinutes]]&lt;=Dashboard!$X$5,1,0),0)</f>
        <v>1</v>
      </c>
      <c r="Y4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3" s="3">
        <f>IF(AND(Clean_Data[[#This Row],[Include]]=1,Clean_Data[[#This Row],[DeliveredFlag]]=1),1,0)</f>
        <v>1</v>
      </c>
      <c r="AA403" s="1">
        <f>IF(COUNTIF($D$2:D403,D403)=1,ROW()-1,ROWS(Clean_Data[OrderID])+1)</f>
        <v>901</v>
      </c>
      <c r="AB403" s="1">
        <f>IF(COUNTIF($F$2:F403,F403)=1,ROW()-1,ROWS(Clean_Data[OrderID])+1)</f>
        <v>901</v>
      </c>
      <c r="AC403" s="1">
        <f>IF(COUNTIF($G$2:G403,G403)=1,ROW()-1,ROWS(Clean_Data[OrderID])+1)</f>
        <v>901</v>
      </c>
      <c r="AD403" s="1">
        <f>IF(COUNTIF($H$2:H403,H403)=1,ROW()-1,ROWS(Clean_Data[OrderID])+1)</f>
        <v>901</v>
      </c>
      <c r="AE403" s="1">
        <f>IF(COUNTIF($V$2:V403,V403)=1,V403,ROWS(Clean_Data[OrderID])+1)</f>
        <v>901</v>
      </c>
      <c r="AF403" s="1">
        <f>IF(COUNTIF($U$2:U403,U403)=1,U403,ROWS(Clean_Data[OrderID])+1)</f>
        <v>901</v>
      </c>
      <c r="AG403" s="1">
        <f>IF(COUNTIF($E$2:E403,E403)=1,ROW()-1,ROWS(Clean_Data[OrderID])+1)</f>
        <v>901</v>
      </c>
    </row>
    <row r="404" spans="1:33" ht="20" customHeight="1">
      <c r="A404" s="3" t="s">
        <v>751</v>
      </c>
      <c r="B404" s="2">
        <v>46279</v>
      </c>
      <c r="C404" s="3">
        <v>20</v>
      </c>
      <c r="D404" s="3" t="s">
        <v>752</v>
      </c>
      <c r="E404" s="3" t="s">
        <v>91</v>
      </c>
      <c r="F404" s="3" t="s">
        <v>98</v>
      </c>
      <c r="G404" s="3" t="s">
        <v>122</v>
      </c>
      <c r="H404" s="3" t="s">
        <v>123</v>
      </c>
      <c r="I404" s="3">
        <v>6</v>
      </c>
      <c r="J404" s="11">
        <v>45</v>
      </c>
      <c r="K404" s="4">
        <v>0.05</v>
      </c>
      <c r="L404" s="3" t="s">
        <v>95</v>
      </c>
      <c r="M404" s="3">
        <v>16</v>
      </c>
      <c r="N404" s="3">
        <v>4</v>
      </c>
      <c r="O404" s="3">
        <v>4</v>
      </c>
      <c r="P404" s="11">
        <f>Clean_Data[[#This Row],[Quantity]]*Clean_Data[[#This Row],[UnitPrice]]</f>
        <v>270</v>
      </c>
      <c r="Q404" s="11">
        <f>ROUND(Clean_Data[[#This Row],[GrossSales]]*Clean_Data[[#This Row],[DiscountPct]],2)</f>
        <v>13.5</v>
      </c>
      <c r="R404" s="11">
        <f>IF(Clean_Data[[#This Row],[Status]]="Delivered",ROUND(Clean_Data[[#This Row],[GrossSales]]-Clean_Data[[#This Row],[DiscountAmount]],2),0)</f>
        <v>256.5</v>
      </c>
      <c r="S404" s="3" t="str">
        <f>IF(Clean_Data[[#This Row],[OrderHour]]&lt;6,"Night",IF(Clean_Data[[#This Row],[OrderHour]]&lt;12,"Morning",IF(Clean_Data[[#This Row],[OrderHour]]&lt;18,"Afternoon","Evening")))</f>
        <v>Evening</v>
      </c>
      <c r="T404" s="3" t="str">
        <f>TEXT(Clean_Data[[#This Row],[OrderDate]],"[$-409]ddd")</f>
        <v>Mon</v>
      </c>
      <c r="U404" s="3">
        <f>WEEKDAY(Clean_Data[[#This Row],[OrderDate]],2)</f>
        <v>1</v>
      </c>
      <c r="V404" s="3">
        <f>INT(Clean_Data[[#This Row],[OrderHour]]/6)+1</f>
        <v>4</v>
      </c>
      <c r="W404" s="3">
        <f>IF(Clean_Data[[#This Row],[Status]]="Delivered",1,0)</f>
        <v>1</v>
      </c>
      <c r="X404" s="3">
        <f>IF(Clean_Data[[#This Row],[Status]]="Delivered",IF(Clean_Data[[#This Row],[DeliveryMinutes]]&lt;=Dashboard!$X$5,1,0),0)</f>
        <v>1</v>
      </c>
      <c r="Y4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4" s="3">
        <f>IF(AND(Clean_Data[[#This Row],[Include]]=1,Clean_Data[[#This Row],[DeliveredFlag]]=1),1,0)</f>
        <v>1</v>
      </c>
      <c r="AA404" s="1">
        <f>IF(COUNTIF($D$2:D404,D404)=1,ROW()-1,ROWS(Clean_Data[OrderID])+1)</f>
        <v>403</v>
      </c>
      <c r="AB404" s="1">
        <f>IF(COUNTIF($F$2:F404,F404)=1,ROW()-1,ROWS(Clean_Data[OrderID])+1)</f>
        <v>901</v>
      </c>
      <c r="AC404" s="1">
        <f>IF(COUNTIF($G$2:G404,G404)=1,ROW()-1,ROWS(Clean_Data[OrderID])+1)</f>
        <v>901</v>
      </c>
      <c r="AD404" s="1">
        <f>IF(COUNTIF($H$2:H404,H404)=1,ROW()-1,ROWS(Clean_Data[OrderID])+1)</f>
        <v>901</v>
      </c>
      <c r="AE404" s="1">
        <f>IF(COUNTIF($V$2:V404,V404)=1,V404,ROWS(Clean_Data[OrderID])+1)</f>
        <v>901</v>
      </c>
      <c r="AF404" s="1">
        <f>IF(COUNTIF($U$2:U404,U404)=1,U404,ROWS(Clean_Data[OrderID])+1)</f>
        <v>901</v>
      </c>
      <c r="AG404" s="1">
        <f>IF(COUNTIF($E$2:E404,E404)=1,ROW()-1,ROWS(Clean_Data[OrderID])+1)</f>
        <v>901</v>
      </c>
    </row>
    <row r="405" spans="1:33" ht="20" customHeight="1">
      <c r="A405" s="3" t="s">
        <v>753</v>
      </c>
      <c r="B405" s="2">
        <v>46279</v>
      </c>
      <c r="C405" s="3">
        <v>22</v>
      </c>
      <c r="D405" s="3" t="s">
        <v>754</v>
      </c>
      <c r="E405" s="3" t="s">
        <v>91</v>
      </c>
      <c r="F405" s="3" t="s">
        <v>98</v>
      </c>
      <c r="G405" s="3" t="s">
        <v>122</v>
      </c>
      <c r="H405" s="3" t="s">
        <v>214</v>
      </c>
      <c r="I405" s="3">
        <v>3</v>
      </c>
      <c r="J405" s="11">
        <v>55</v>
      </c>
      <c r="K405" s="4">
        <v>0</v>
      </c>
      <c r="L405" s="3" t="s">
        <v>95</v>
      </c>
      <c r="M405" s="3">
        <v>37</v>
      </c>
      <c r="N405" s="3">
        <v>11</v>
      </c>
      <c r="O405" s="3">
        <v>5</v>
      </c>
      <c r="P405" s="11">
        <f>Clean_Data[[#This Row],[Quantity]]*Clean_Data[[#This Row],[UnitPrice]]</f>
        <v>165</v>
      </c>
      <c r="Q405" s="11">
        <f>ROUND(Clean_Data[[#This Row],[GrossSales]]*Clean_Data[[#This Row],[DiscountPct]],2)</f>
        <v>0</v>
      </c>
      <c r="R405" s="11">
        <f>IF(Clean_Data[[#This Row],[Status]]="Delivered",ROUND(Clean_Data[[#This Row],[GrossSales]]-Clean_Data[[#This Row],[DiscountAmount]],2),0)</f>
        <v>165</v>
      </c>
      <c r="S405" s="3" t="str">
        <f>IF(Clean_Data[[#This Row],[OrderHour]]&lt;6,"Night",IF(Clean_Data[[#This Row],[OrderHour]]&lt;12,"Morning",IF(Clean_Data[[#This Row],[OrderHour]]&lt;18,"Afternoon","Evening")))</f>
        <v>Evening</v>
      </c>
      <c r="T405" s="3" t="str">
        <f>TEXT(Clean_Data[[#This Row],[OrderDate]],"[$-409]ddd")</f>
        <v>Mon</v>
      </c>
      <c r="U405" s="3">
        <f>WEEKDAY(Clean_Data[[#This Row],[OrderDate]],2)</f>
        <v>1</v>
      </c>
      <c r="V405" s="3">
        <f>INT(Clean_Data[[#This Row],[OrderHour]]/6)+1</f>
        <v>4</v>
      </c>
      <c r="W405" s="3">
        <f>IF(Clean_Data[[#This Row],[Status]]="Delivered",1,0)</f>
        <v>1</v>
      </c>
      <c r="X405" s="3">
        <f>IF(Clean_Data[[#This Row],[Status]]="Delivered",IF(Clean_Data[[#This Row],[DeliveryMinutes]]&lt;=Dashboard!$X$5,1,0),0)</f>
        <v>0</v>
      </c>
      <c r="Y4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5" s="3">
        <f>IF(AND(Clean_Data[[#This Row],[Include]]=1,Clean_Data[[#This Row],[DeliveredFlag]]=1),1,0)</f>
        <v>1</v>
      </c>
      <c r="AA405" s="1">
        <f>IF(COUNTIF($D$2:D405,D405)=1,ROW()-1,ROWS(Clean_Data[OrderID])+1)</f>
        <v>404</v>
      </c>
      <c r="AB405" s="1">
        <f>IF(COUNTIF($F$2:F405,F405)=1,ROW()-1,ROWS(Clean_Data[OrderID])+1)</f>
        <v>901</v>
      </c>
      <c r="AC405" s="1">
        <f>IF(COUNTIF($G$2:G405,G405)=1,ROW()-1,ROWS(Clean_Data[OrderID])+1)</f>
        <v>901</v>
      </c>
      <c r="AD405" s="1">
        <f>IF(COUNTIF($H$2:H405,H405)=1,ROW()-1,ROWS(Clean_Data[OrderID])+1)</f>
        <v>901</v>
      </c>
      <c r="AE405" s="1">
        <f>IF(COUNTIF($V$2:V405,V405)=1,V405,ROWS(Clean_Data[OrderID])+1)</f>
        <v>901</v>
      </c>
      <c r="AF405" s="1">
        <f>IF(COUNTIF($U$2:U405,U405)=1,U405,ROWS(Clean_Data[OrderID])+1)</f>
        <v>901</v>
      </c>
      <c r="AG405" s="1">
        <f>IF(COUNTIF($E$2:E405,E405)=1,ROW()-1,ROWS(Clean_Data[OrderID])+1)</f>
        <v>901</v>
      </c>
    </row>
    <row r="406" spans="1:33" ht="20" customHeight="1">
      <c r="A406" s="3" t="s">
        <v>755</v>
      </c>
      <c r="B406" s="2">
        <v>46279</v>
      </c>
      <c r="C406" s="3">
        <v>14</v>
      </c>
      <c r="D406" s="3" t="s">
        <v>736</v>
      </c>
      <c r="E406" s="3" t="s">
        <v>117</v>
      </c>
      <c r="F406" s="3" t="s">
        <v>139</v>
      </c>
      <c r="G406" s="3" t="s">
        <v>122</v>
      </c>
      <c r="H406" s="3" t="s">
        <v>153</v>
      </c>
      <c r="I406" s="3">
        <v>6</v>
      </c>
      <c r="J406" s="11">
        <v>130</v>
      </c>
      <c r="K406" s="4">
        <v>0.15</v>
      </c>
      <c r="L406" s="3" t="s">
        <v>95</v>
      </c>
      <c r="M406" s="3">
        <v>30</v>
      </c>
      <c r="N406" s="3">
        <v>7</v>
      </c>
      <c r="O406" s="3">
        <v>4</v>
      </c>
      <c r="P406" s="11">
        <f>Clean_Data[[#This Row],[Quantity]]*Clean_Data[[#This Row],[UnitPrice]]</f>
        <v>780</v>
      </c>
      <c r="Q406" s="11">
        <f>ROUND(Clean_Data[[#This Row],[GrossSales]]*Clean_Data[[#This Row],[DiscountPct]],2)</f>
        <v>117</v>
      </c>
      <c r="R406" s="11">
        <f>IF(Clean_Data[[#This Row],[Status]]="Delivered",ROUND(Clean_Data[[#This Row],[GrossSales]]-Clean_Data[[#This Row],[DiscountAmount]],2),0)</f>
        <v>663</v>
      </c>
      <c r="S406" s="3" t="str">
        <f>IF(Clean_Data[[#This Row],[OrderHour]]&lt;6,"Night",IF(Clean_Data[[#This Row],[OrderHour]]&lt;12,"Morning",IF(Clean_Data[[#This Row],[OrderHour]]&lt;18,"Afternoon","Evening")))</f>
        <v>Afternoon</v>
      </c>
      <c r="T406" s="3" t="str">
        <f>TEXT(Clean_Data[[#This Row],[OrderDate]],"[$-409]ddd")</f>
        <v>Mon</v>
      </c>
      <c r="U406" s="3">
        <f>WEEKDAY(Clean_Data[[#This Row],[OrderDate]],2)</f>
        <v>1</v>
      </c>
      <c r="V406" s="3">
        <f>INT(Clean_Data[[#This Row],[OrderHour]]/6)+1</f>
        <v>3</v>
      </c>
      <c r="W406" s="3">
        <f>IF(Clean_Data[[#This Row],[Status]]="Delivered",1,0)</f>
        <v>1</v>
      </c>
      <c r="X406" s="3">
        <f>IF(Clean_Data[[#This Row],[Status]]="Delivered",IF(Clean_Data[[#This Row],[DeliveryMinutes]]&lt;=Dashboard!$X$5,1,0),0)</f>
        <v>1</v>
      </c>
      <c r="Y4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6" s="3">
        <f>IF(AND(Clean_Data[[#This Row],[Include]]=1,Clean_Data[[#This Row],[DeliveredFlag]]=1),1,0)</f>
        <v>1</v>
      </c>
      <c r="AA406" s="1">
        <f>IF(COUNTIF($D$2:D406,D406)=1,ROW()-1,ROWS(Clean_Data[OrderID])+1)</f>
        <v>901</v>
      </c>
      <c r="AB406" s="1">
        <f>IF(COUNTIF($F$2:F406,F406)=1,ROW()-1,ROWS(Clean_Data[OrderID])+1)</f>
        <v>901</v>
      </c>
      <c r="AC406" s="1">
        <f>IF(COUNTIF($G$2:G406,G406)=1,ROW()-1,ROWS(Clean_Data[OrderID])+1)</f>
        <v>901</v>
      </c>
      <c r="AD406" s="1">
        <f>IF(COUNTIF($H$2:H406,H406)=1,ROW()-1,ROWS(Clean_Data[OrderID])+1)</f>
        <v>901</v>
      </c>
      <c r="AE406" s="1">
        <f>IF(COUNTIF($V$2:V406,V406)=1,V406,ROWS(Clean_Data[OrderID])+1)</f>
        <v>901</v>
      </c>
      <c r="AF406" s="1">
        <f>IF(COUNTIF($U$2:U406,U406)=1,U406,ROWS(Clean_Data[OrderID])+1)</f>
        <v>901</v>
      </c>
      <c r="AG406" s="1">
        <f>IF(COUNTIF($E$2:E406,E406)=1,ROW()-1,ROWS(Clean_Data[OrderID])+1)</f>
        <v>901</v>
      </c>
    </row>
    <row r="407" spans="1:33" ht="20" customHeight="1">
      <c r="A407" s="3" t="s">
        <v>756</v>
      </c>
      <c r="B407" s="2">
        <v>46279</v>
      </c>
      <c r="C407" s="3">
        <v>19</v>
      </c>
      <c r="D407" s="3" t="s">
        <v>265</v>
      </c>
      <c r="E407" s="3" t="s">
        <v>117</v>
      </c>
      <c r="F407" s="3" t="s">
        <v>139</v>
      </c>
      <c r="G407" s="3" t="s">
        <v>135</v>
      </c>
      <c r="H407" s="3" t="s">
        <v>217</v>
      </c>
      <c r="I407" s="3">
        <v>6</v>
      </c>
      <c r="J407" s="11">
        <v>65</v>
      </c>
      <c r="K407" s="4">
        <v>0.1</v>
      </c>
      <c r="L407" s="3" t="s">
        <v>95</v>
      </c>
      <c r="M407" s="3">
        <v>37</v>
      </c>
      <c r="N407" s="3">
        <v>5</v>
      </c>
      <c r="O407" s="3">
        <v>3</v>
      </c>
      <c r="P407" s="11">
        <f>Clean_Data[[#This Row],[Quantity]]*Clean_Data[[#This Row],[UnitPrice]]</f>
        <v>390</v>
      </c>
      <c r="Q407" s="11">
        <f>ROUND(Clean_Data[[#This Row],[GrossSales]]*Clean_Data[[#This Row],[DiscountPct]],2)</f>
        <v>39</v>
      </c>
      <c r="R407" s="11">
        <f>IF(Clean_Data[[#This Row],[Status]]="Delivered",ROUND(Clean_Data[[#This Row],[GrossSales]]-Clean_Data[[#This Row],[DiscountAmount]],2),0)</f>
        <v>351</v>
      </c>
      <c r="S407" s="3" t="str">
        <f>IF(Clean_Data[[#This Row],[OrderHour]]&lt;6,"Night",IF(Clean_Data[[#This Row],[OrderHour]]&lt;12,"Morning",IF(Clean_Data[[#This Row],[OrderHour]]&lt;18,"Afternoon","Evening")))</f>
        <v>Evening</v>
      </c>
      <c r="T407" s="3" t="str">
        <f>TEXT(Clean_Data[[#This Row],[OrderDate]],"[$-409]ddd")</f>
        <v>Mon</v>
      </c>
      <c r="U407" s="3">
        <f>WEEKDAY(Clean_Data[[#This Row],[OrderDate]],2)</f>
        <v>1</v>
      </c>
      <c r="V407" s="3">
        <f>INT(Clean_Data[[#This Row],[OrderHour]]/6)+1</f>
        <v>4</v>
      </c>
      <c r="W407" s="3">
        <f>IF(Clean_Data[[#This Row],[Status]]="Delivered",1,0)</f>
        <v>1</v>
      </c>
      <c r="X407" s="3">
        <f>IF(Clean_Data[[#This Row],[Status]]="Delivered",IF(Clean_Data[[#This Row],[DeliveryMinutes]]&lt;=Dashboard!$X$5,1,0),0)</f>
        <v>0</v>
      </c>
      <c r="Y4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7" s="3">
        <f>IF(AND(Clean_Data[[#This Row],[Include]]=1,Clean_Data[[#This Row],[DeliveredFlag]]=1),1,0)</f>
        <v>1</v>
      </c>
      <c r="AA407" s="1">
        <f>IF(COUNTIF($D$2:D407,D407)=1,ROW()-1,ROWS(Clean_Data[OrderID])+1)</f>
        <v>901</v>
      </c>
      <c r="AB407" s="1">
        <f>IF(COUNTIF($F$2:F407,F407)=1,ROW()-1,ROWS(Clean_Data[OrderID])+1)</f>
        <v>901</v>
      </c>
      <c r="AC407" s="1">
        <f>IF(COUNTIF($G$2:G407,G407)=1,ROW()-1,ROWS(Clean_Data[OrderID])+1)</f>
        <v>901</v>
      </c>
      <c r="AD407" s="1">
        <f>IF(COUNTIF($H$2:H407,H407)=1,ROW()-1,ROWS(Clean_Data[OrderID])+1)</f>
        <v>901</v>
      </c>
      <c r="AE407" s="1">
        <f>IF(COUNTIF($V$2:V407,V407)=1,V407,ROWS(Clean_Data[OrderID])+1)</f>
        <v>901</v>
      </c>
      <c r="AF407" s="1">
        <f>IF(COUNTIF($U$2:U407,U407)=1,U407,ROWS(Clean_Data[OrderID])+1)</f>
        <v>901</v>
      </c>
      <c r="AG407" s="1">
        <f>IF(COUNTIF($E$2:E407,E407)=1,ROW()-1,ROWS(Clean_Data[OrderID])+1)</f>
        <v>901</v>
      </c>
    </row>
    <row r="408" spans="1:33" ht="20" customHeight="1">
      <c r="A408" s="3" t="s">
        <v>757</v>
      </c>
      <c r="B408" s="2">
        <v>46279</v>
      </c>
      <c r="C408" s="3">
        <v>20</v>
      </c>
      <c r="D408" s="3" t="s">
        <v>608</v>
      </c>
      <c r="E408" s="3" t="s">
        <v>91</v>
      </c>
      <c r="F408" s="3" t="s">
        <v>92</v>
      </c>
      <c r="G408" s="3" t="s">
        <v>99</v>
      </c>
      <c r="H408" s="3" t="s">
        <v>100</v>
      </c>
      <c r="I408" s="3">
        <v>4</v>
      </c>
      <c r="J408" s="11">
        <v>120</v>
      </c>
      <c r="K408" s="4">
        <v>0.15</v>
      </c>
      <c r="L408" s="3" t="s">
        <v>95</v>
      </c>
      <c r="M408" s="3">
        <v>26</v>
      </c>
      <c r="N408" s="3">
        <v>9</v>
      </c>
      <c r="O408" s="3">
        <v>5</v>
      </c>
      <c r="P408" s="11">
        <f>Clean_Data[[#This Row],[Quantity]]*Clean_Data[[#This Row],[UnitPrice]]</f>
        <v>480</v>
      </c>
      <c r="Q408" s="11">
        <f>ROUND(Clean_Data[[#This Row],[GrossSales]]*Clean_Data[[#This Row],[DiscountPct]],2)</f>
        <v>72</v>
      </c>
      <c r="R408" s="11">
        <f>IF(Clean_Data[[#This Row],[Status]]="Delivered",ROUND(Clean_Data[[#This Row],[GrossSales]]-Clean_Data[[#This Row],[DiscountAmount]],2),0)</f>
        <v>408</v>
      </c>
      <c r="S408" s="3" t="str">
        <f>IF(Clean_Data[[#This Row],[OrderHour]]&lt;6,"Night",IF(Clean_Data[[#This Row],[OrderHour]]&lt;12,"Morning",IF(Clean_Data[[#This Row],[OrderHour]]&lt;18,"Afternoon","Evening")))</f>
        <v>Evening</v>
      </c>
      <c r="T408" s="3" t="str">
        <f>TEXT(Clean_Data[[#This Row],[OrderDate]],"[$-409]ddd")</f>
        <v>Mon</v>
      </c>
      <c r="U408" s="3">
        <f>WEEKDAY(Clean_Data[[#This Row],[OrderDate]],2)</f>
        <v>1</v>
      </c>
      <c r="V408" s="3">
        <f>INT(Clean_Data[[#This Row],[OrderHour]]/6)+1</f>
        <v>4</v>
      </c>
      <c r="W408" s="3">
        <f>IF(Clean_Data[[#This Row],[Status]]="Delivered",1,0)</f>
        <v>1</v>
      </c>
      <c r="X408" s="3">
        <f>IF(Clean_Data[[#This Row],[Status]]="Delivered",IF(Clean_Data[[#This Row],[DeliveryMinutes]]&lt;=Dashboard!$X$5,1,0),0)</f>
        <v>1</v>
      </c>
      <c r="Y4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8" s="3">
        <f>IF(AND(Clean_Data[[#This Row],[Include]]=1,Clean_Data[[#This Row],[DeliveredFlag]]=1),1,0)</f>
        <v>1</v>
      </c>
      <c r="AA408" s="1">
        <f>IF(COUNTIF($D$2:D408,D408)=1,ROW()-1,ROWS(Clean_Data[OrderID])+1)</f>
        <v>901</v>
      </c>
      <c r="AB408" s="1">
        <f>IF(COUNTIF($F$2:F408,F408)=1,ROW()-1,ROWS(Clean_Data[OrderID])+1)</f>
        <v>901</v>
      </c>
      <c r="AC408" s="1">
        <f>IF(COUNTIF($G$2:G408,G408)=1,ROW()-1,ROWS(Clean_Data[OrderID])+1)</f>
        <v>901</v>
      </c>
      <c r="AD408" s="1">
        <f>IF(COUNTIF($H$2:H408,H408)=1,ROW()-1,ROWS(Clean_Data[OrderID])+1)</f>
        <v>901</v>
      </c>
      <c r="AE408" s="1">
        <f>IF(COUNTIF($V$2:V408,V408)=1,V408,ROWS(Clean_Data[OrderID])+1)</f>
        <v>901</v>
      </c>
      <c r="AF408" s="1">
        <f>IF(COUNTIF($U$2:U408,U408)=1,U408,ROWS(Clean_Data[OrderID])+1)</f>
        <v>901</v>
      </c>
      <c r="AG408" s="1">
        <f>IF(COUNTIF($E$2:E408,E408)=1,ROW()-1,ROWS(Clean_Data[OrderID])+1)</f>
        <v>901</v>
      </c>
    </row>
    <row r="409" spans="1:33" ht="20" customHeight="1">
      <c r="A409" s="3" t="s">
        <v>758</v>
      </c>
      <c r="B409" s="2">
        <v>46279</v>
      </c>
      <c r="C409" s="3">
        <v>10</v>
      </c>
      <c r="D409" s="3" t="s">
        <v>408</v>
      </c>
      <c r="E409" s="3" t="s">
        <v>117</v>
      </c>
      <c r="F409" s="3" t="s">
        <v>139</v>
      </c>
      <c r="G409" s="3" t="s">
        <v>93</v>
      </c>
      <c r="H409" s="3" t="s">
        <v>146</v>
      </c>
      <c r="I409" s="3">
        <v>1</v>
      </c>
      <c r="J409" s="11">
        <v>110</v>
      </c>
      <c r="K409" s="4">
        <v>0</v>
      </c>
      <c r="L409" s="3" t="s">
        <v>95</v>
      </c>
      <c r="M409" s="3">
        <v>25</v>
      </c>
      <c r="N409" s="3">
        <v>6</v>
      </c>
      <c r="O409" s="3">
        <v>3</v>
      </c>
      <c r="P409" s="11">
        <f>Clean_Data[[#This Row],[Quantity]]*Clean_Data[[#This Row],[UnitPrice]]</f>
        <v>110</v>
      </c>
      <c r="Q409" s="11">
        <f>ROUND(Clean_Data[[#This Row],[GrossSales]]*Clean_Data[[#This Row],[DiscountPct]],2)</f>
        <v>0</v>
      </c>
      <c r="R409" s="11">
        <f>IF(Clean_Data[[#This Row],[Status]]="Delivered",ROUND(Clean_Data[[#This Row],[GrossSales]]-Clean_Data[[#This Row],[DiscountAmount]],2),0)</f>
        <v>110</v>
      </c>
      <c r="S409" s="3" t="str">
        <f>IF(Clean_Data[[#This Row],[OrderHour]]&lt;6,"Night",IF(Clean_Data[[#This Row],[OrderHour]]&lt;12,"Morning",IF(Clean_Data[[#This Row],[OrderHour]]&lt;18,"Afternoon","Evening")))</f>
        <v>Morning</v>
      </c>
      <c r="T409" s="3" t="str">
        <f>TEXT(Clean_Data[[#This Row],[OrderDate]],"[$-409]ddd")</f>
        <v>Mon</v>
      </c>
      <c r="U409" s="3">
        <f>WEEKDAY(Clean_Data[[#This Row],[OrderDate]],2)</f>
        <v>1</v>
      </c>
      <c r="V409" s="3">
        <f>INT(Clean_Data[[#This Row],[OrderHour]]/6)+1</f>
        <v>2</v>
      </c>
      <c r="W409" s="3">
        <f>IF(Clean_Data[[#This Row],[Status]]="Delivered",1,0)</f>
        <v>1</v>
      </c>
      <c r="X409" s="3">
        <f>IF(Clean_Data[[#This Row],[Status]]="Delivered",IF(Clean_Data[[#This Row],[DeliveryMinutes]]&lt;=Dashboard!$X$5,1,0),0)</f>
        <v>1</v>
      </c>
      <c r="Y4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09" s="3">
        <f>IF(AND(Clean_Data[[#This Row],[Include]]=1,Clean_Data[[#This Row],[DeliveredFlag]]=1),1,0)</f>
        <v>1</v>
      </c>
      <c r="AA409" s="1">
        <f>IF(COUNTIF($D$2:D409,D409)=1,ROW()-1,ROWS(Clean_Data[OrderID])+1)</f>
        <v>901</v>
      </c>
      <c r="AB409" s="1">
        <f>IF(COUNTIF($F$2:F409,F409)=1,ROW()-1,ROWS(Clean_Data[OrderID])+1)</f>
        <v>901</v>
      </c>
      <c r="AC409" s="1">
        <f>IF(COUNTIF($G$2:G409,G409)=1,ROW()-1,ROWS(Clean_Data[OrderID])+1)</f>
        <v>901</v>
      </c>
      <c r="AD409" s="1">
        <f>IF(COUNTIF($H$2:H409,H409)=1,ROW()-1,ROWS(Clean_Data[OrderID])+1)</f>
        <v>901</v>
      </c>
      <c r="AE409" s="1">
        <f>IF(COUNTIF($V$2:V409,V409)=1,V409,ROWS(Clean_Data[OrderID])+1)</f>
        <v>901</v>
      </c>
      <c r="AF409" s="1">
        <f>IF(COUNTIF($U$2:U409,U409)=1,U409,ROWS(Clean_Data[OrderID])+1)</f>
        <v>901</v>
      </c>
      <c r="AG409" s="1">
        <f>IF(COUNTIF($E$2:E409,E409)=1,ROW()-1,ROWS(Clean_Data[OrderID])+1)</f>
        <v>901</v>
      </c>
    </row>
    <row r="410" spans="1:33" ht="20" customHeight="1">
      <c r="A410" s="3" t="s">
        <v>759</v>
      </c>
      <c r="B410" s="2">
        <v>46279</v>
      </c>
      <c r="C410" s="3">
        <v>8</v>
      </c>
      <c r="D410" s="3" t="s">
        <v>332</v>
      </c>
      <c r="E410" s="3" t="s">
        <v>91</v>
      </c>
      <c r="F410" s="3" t="s">
        <v>139</v>
      </c>
      <c r="G410" s="3" t="s">
        <v>135</v>
      </c>
      <c r="H410" s="3" t="s">
        <v>217</v>
      </c>
      <c r="I410" s="3">
        <v>6</v>
      </c>
      <c r="J410" s="11">
        <v>65</v>
      </c>
      <c r="K410" s="4">
        <v>0</v>
      </c>
      <c r="L410" s="3" t="s">
        <v>95</v>
      </c>
      <c r="M410" s="3">
        <v>20</v>
      </c>
      <c r="N410" s="3">
        <v>14</v>
      </c>
      <c r="O410" s="3">
        <v>5</v>
      </c>
      <c r="P410" s="11">
        <f>Clean_Data[[#This Row],[Quantity]]*Clean_Data[[#This Row],[UnitPrice]]</f>
        <v>390</v>
      </c>
      <c r="Q410" s="11">
        <f>ROUND(Clean_Data[[#This Row],[GrossSales]]*Clean_Data[[#This Row],[DiscountPct]],2)</f>
        <v>0</v>
      </c>
      <c r="R410" s="11">
        <f>IF(Clean_Data[[#This Row],[Status]]="Delivered",ROUND(Clean_Data[[#This Row],[GrossSales]]-Clean_Data[[#This Row],[DiscountAmount]],2),0)</f>
        <v>390</v>
      </c>
      <c r="S410" s="3" t="str">
        <f>IF(Clean_Data[[#This Row],[OrderHour]]&lt;6,"Night",IF(Clean_Data[[#This Row],[OrderHour]]&lt;12,"Morning",IF(Clean_Data[[#This Row],[OrderHour]]&lt;18,"Afternoon","Evening")))</f>
        <v>Morning</v>
      </c>
      <c r="T410" s="3" t="str">
        <f>TEXT(Clean_Data[[#This Row],[OrderDate]],"[$-409]ddd")</f>
        <v>Mon</v>
      </c>
      <c r="U410" s="3">
        <f>WEEKDAY(Clean_Data[[#This Row],[OrderDate]],2)</f>
        <v>1</v>
      </c>
      <c r="V410" s="3">
        <f>INT(Clean_Data[[#This Row],[OrderHour]]/6)+1</f>
        <v>2</v>
      </c>
      <c r="W410" s="3">
        <f>IF(Clean_Data[[#This Row],[Status]]="Delivered",1,0)</f>
        <v>1</v>
      </c>
      <c r="X410" s="3">
        <f>IF(Clean_Data[[#This Row],[Status]]="Delivered",IF(Clean_Data[[#This Row],[DeliveryMinutes]]&lt;=Dashboard!$X$5,1,0),0)</f>
        <v>1</v>
      </c>
      <c r="Y4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0" s="3">
        <f>IF(AND(Clean_Data[[#This Row],[Include]]=1,Clean_Data[[#This Row],[DeliveredFlag]]=1),1,0)</f>
        <v>1</v>
      </c>
      <c r="AA410" s="1">
        <f>IF(COUNTIF($D$2:D410,D410)=1,ROW()-1,ROWS(Clean_Data[OrderID])+1)</f>
        <v>901</v>
      </c>
      <c r="AB410" s="1">
        <f>IF(COUNTIF($F$2:F410,F410)=1,ROW()-1,ROWS(Clean_Data[OrderID])+1)</f>
        <v>901</v>
      </c>
      <c r="AC410" s="1">
        <f>IF(COUNTIF($G$2:G410,G410)=1,ROW()-1,ROWS(Clean_Data[OrderID])+1)</f>
        <v>901</v>
      </c>
      <c r="AD410" s="1">
        <f>IF(COUNTIF($H$2:H410,H410)=1,ROW()-1,ROWS(Clean_Data[OrderID])+1)</f>
        <v>901</v>
      </c>
      <c r="AE410" s="1">
        <f>IF(COUNTIF($V$2:V410,V410)=1,V410,ROWS(Clean_Data[OrderID])+1)</f>
        <v>901</v>
      </c>
      <c r="AF410" s="1">
        <f>IF(COUNTIF($U$2:U410,U410)=1,U410,ROWS(Clean_Data[OrderID])+1)</f>
        <v>901</v>
      </c>
      <c r="AG410" s="1">
        <f>IF(COUNTIF($E$2:E410,E410)=1,ROW()-1,ROWS(Clean_Data[OrderID])+1)</f>
        <v>901</v>
      </c>
    </row>
    <row r="411" spans="1:33" ht="20" customHeight="1">
      <c r="A411" s="3" t="s">
        <v>760</v>
      </c>
      <c r="B411" s="2">
        <v>46279</v>
      </c>
      <c r="C411" s="3">
        <v>17</v>
      </c>
      <c r="D411" s="3" t="s">
        <v>761</v>
      </c>
      <c r="E411" s="3" t="s">
        <v>91</v>
      </c>
      <c r="F411" s="3" t="s">
        <v>139</v>
      </c>
      <c r="G411" s="3" t="s">
        <v>93</v>
      </c>
      <c r="H411" s="3" t="s">
        <v>118</v>
      </c>
      <c r="I411" s="3">
        <v>4</v>
      </c>
      <c r="J411" s="11">
        <v>45</v>
      </c>
      <c r="K411" s="4">
        <v>0.05</v>
      </c>
      <c r="L411" s="3" t="s">
        <v>95</v>
      </c>
      <c r="M411" s="3">
        <v>18</v>
      </c>
      <c r="N411" s="3">
        <v>6</v>
      </c>
      <c r="O411" s="3">
        <v>5</v>
      </c>
      <c r="P411" s="11">
        <f>Clean_Data[[#This Row],[Quantity]]*Clean_Data[[#This Row],[UnitPrice]]</f>
        <v>180</v>
      </c>
      <c r="Q411" s="11">
        <f>ROUND(Clean_Data[[#This Row],[GrossSales]]*Clean_Data[[#This Row],[DiscountPct]],2)</f>
        <v>9</v>
      </c>
      <c r="R411" s="11">
        <f>IF(Clean_Data[[#This Row],[Status]]="Delivered",ROUND(Clean_Data[[#This Row],[GrossSales]]-Clean_Data[[#This Row],[DiscountAmount]],2),0)</f>
        <v>171</v>
      </c>
      <c r="S411" s="3" t="str">
        <f>IF(Clean_Data[[#This Row],[OrderHour]]&lt;6,"Night",IF(Clean_Data[[#This Row],[OrderHour]]&lt;12,"Morning",IF(Clean_Data[[#This Row],[OrderHour]]&lt;18,"Afternoon","Evening")))</f>
        <v>Afternoon</v>
      </c>
      <c r="T411" s="3" t="str">
        <f>TEXT(Clean_Data[[#This Row],[OrderDate]],"[$-409]ddd")</f>
        <v>Mon</v>
      </c>
      <c r="U411" s="3">
        <f>WEEKDAY(Clean_Data[[#This Row],[OrderDate]],2)</f>
        <v>1</v>
      </c>
      <c r="V411" s="3">
        <f>INT(Clean_Data[[#This Row],[OrderHour]]/6)+1</f>
        <v>3</v>
      </c>
      <c r="W411" s="3">
        <f>IF(Clean_Data[[#This Row],[Status]]="Delivered",1,0)</f>
        <v>1</v>
      </c>
      <c r="X411" s="3">
        <f>IF(Clean_Data[[#This Row],[Status]]="Delivered",IF(Clean_Data[[#This Row],[DeliveryMinutes]]&lt;=Dashboard!$X$5,1,0),0)</f>
        <v>1</v>
      </c>
      <c r="Y4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1" s="3">
        <f>IF(AND(Clean_Data[[#This Row],[Include]]=1,Clean_Data[[#This Row],[DeliveredFlag]]=1),1,0)</f>
        <v>1</v>
      </c>
      <c r="AA411" s="1">
        <f>IF(COUNTIF($D$2:D411,D411)=1,ROW()-1,ROWS(Clean_Data[OrderID])+1)</f>
        <v>410</v>
      </c>
      <c r="AB411" s="1">
        <f>IF(COUNTIF($F$2:F411,F411)=1,ROW()-1,ROWS(Clean_Data[OrderID])+1)</f>
        <v>901</v>
      </c>
      <c r="AC411" s="1">
        <f>IF(COUNTIF($G$2:G411,G411)=1,ROW()-1,ROWS(Clean_Data[OrderID])+1)</f>
        <v>901</v>
      </c>
      <c r="AD411" s="1">
        <f>IF(COUNTIF($H$2:H411,H411)=1,ROW()-1,ROWS(Clean_Data[OrderID])+1)</f>
        <v>901</v>
      </c>
      <c r="AE411" s="1">
        <f>IF(COUNTIF($V$2:V411,V411)=1,V411,ROWS(Clean_Data[OrderID])+1)</f>
        <v>901</v>
      </c>
      <c r="AF411" s="1">
        <f>IF(COUNTIF($U$2:U411,U411)=1,U411,ROWS(Clean_Data[OrderID])+1)</f>
        <v>901</v>
      </c>
      <c r="AG411" s="1">
        <f>IF(COUNTIF($E$2:E411,E411)=1,ROW()-1,ROWS(Clean_Data[OrderID])+1)</f>
        <v>901</v>
      </c>
    </row>
    <row r="412" spans="1:33" ht="20" customHeight="1">
      <c r="A412" s="3" t="s">
        <v>762</v>
      </c>
      <c r="B412" s="2">
        <v>46279</v>
      </c>
      <c r="C412" s="3">
        <v>10</v>
      </c>
      <c r="D412" s="3" t="s">
        <v>763</v>
      </c>
      <c r="E412" s="3" t="s">
        <v>91</v>
      </c>
      <c r="F412" s="3" t="s">
        <v>109</v>
      </c>
      <c r="G412" s="3" t="s">
        <v>135</v>
      </c>
      <c r="H412" s="3" t="s">
        <v>162</v>
      </c>
      <c r="I412" s="3">
        <v>5</v>
      </c>
      <c r="J412" s="11">
        <v>180</v>
      </c>
      <c r="K412" s="4">
        <v>0.15</v>
      </c>
      <c r="L412" s="3" t="s">
        <v>95</v>
      </c>
      <c r="M412" s="3">
        <v>13</v>
      </c>
      <c r="N412" s="3">
        <v>13</v>
      </c>
      <c r="O412" s="3">
        <v>5</v>
      </c>
      <c r="P412" s="11">
        <f>Clean_Data[[#This Row],[Quantity]]*Clean_Data[[#This Row],[UnitPrice]]</f>
        <v>900</v>
      </c>
      <c r="Q412" s="11">
        <f>ROUND(Clean_Data[[#This Row],[GrossSales]]*Clean_Data[[#This Row],[DiscountPct]],2)</f>
        <v>135</v>
      </c>
      <c r="R412" s="11">
        <f>IF(Clean_Data[[#This Row],[Status]]="Delivered",ROUND(Clean_Data[[#This Row],[GrossSales]]-Clean_Data[[#This Row],[DiscountAmount]],2),0)</f>
        <v>765</v>
      </c>
      <c r="S412" s="3" t="str">
        <f>IF(Clean_Data[[#This Row],[OrderHour]]&lt;6,"Night",IF(Clean_Data[[#This Row],[OrderHour]]&lt;12,"Morning",IF(Clean_Data[[#This Row],[OrderHour]]&lt;18,"Afternoon","Evening")))</f>
        <v>Morning</v>
      </c>
      <c r="T412" s="3" t="str">
        <f>TEXT(Clean_Data[[#This Row],[OrderDate]],"[$-409]ddd")</f>
        <v>Mon</v>
      </c>
      <c r="U412" s="3">
        <f>WEEKDAY(Clean_Data[[#This Row],[OrderDate]],2)</f>
        <v>1</v>
      </c>
      <c r="V412" s="3">
        <f>INT(Clean_Data[[#This Row],[OrderHour]]/6)+1</f>
        <v>2</v>
      </c>
      <c r="W412" s="3">
        <f>IF(Clean_Data[[#This Row],[Status]]="Delivered",1,0)</f>
        <v>1</v>
      </c>
      <c r="X412" s="3">
        <f>IF(Clean_Data[[#This Row],[Status]]="Delivered",IF(Clean_Data[[#This Row],[DeliveryMinutes]]&lt;=Dashboard!$X$5,1,0),0)</f>
        <v>1</v>
      </c>
      <c r="Y4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2" s="3">
        <f>IF(AND(Clean_Data[[#This Row],[Include]]=1,Clean_Data[[#This Row],[DeliveredFlag]]=1),1,0)</f>
        <v>1</v>
      </c>
      <c r="AA412" s="1">
        <f>IF(COUNTIF($D$2:D412,D412)=1,ROW()-1,ROWS(Clean_Data[OrderID])+1)</f>
        <v>411</v>
      </c>
      <c r="AB412" s="1">
        <f>IF(COUNTIF($F$2:F412,F412)=1,ROW()-1,ROWS(Clean_Data[OrderID])+1)</f>
        <v>901</v>
      </c>
      <c r="AC412" s="1">
        <f>IF(COUNTIF($G$2:G412,G412)=1,ROW()-1,ROWS(Clean_Data[OrderID])+1)</f>
        <v>901</v>
      </c>
      <c r="AD412" s="1">
        <f>IF(COUNTIF($H$2:H412,H412)=1,ROW()-1,ROWS(Clean_Data[OrderID])+1)</f>
        <v>901</v>
      </c>
      <c r="AE412" s="1">
        <f>IF(COUNTIF($V$2:V412,V412)=1,V412,ROWS(Clean_Data[OrderID])+1)</f>
        <v>901</v>
      </c>
      <c r="AF412" s="1">
        <f>IF(COUNTIF($U$2:U412,U412)=1,U412,ROWS(Clean_Data[OrderID])+1)</f>
        <v>901</v>
      </c>
      <c r="AG412" s="1">
        <f>IF(COUNTIF($E$2:E412,E412)=1,ROW()-1,ROWS(Clean_Data[OrderID])+1)</f>
        <v>901</v>
      </c>
    </row>
    <row r="413" spans="1:33" ht="20" customHeight="1">
      <c r="A413" s="3" t="s">
        <v>764</v>
      </c>
      <c r="B413" s="2">
        <v>46279</v>
      </c>
      <c r="C413" s="3">
        <v>11</v>
      </c>
      <c r="D413" s="3" t="s">
        <v>752</v>
      </c>
      <c r="E413" s="3" t="s">
        <v>91</v>
      </c>
      <c r="F413" s="3" t="s">
        <v>139</v>
      </c>
      <c r="G413" s="3" t="s">
        <v>122</v>
      </c>
      <c r="H413" s="3" t="s">
        <v>153</v>
      </c>
      <c r="I413" s="3">
        <v>6</v>
      </c>
      <c r="J413" s="11">
        <v>130</v>
      </c>
      <c r="K413" s="4">
        <v>0</v>
      </c>
      <c r="L413" s="3" t="s">
        <v>95</v>
      </c>
      <c r="M413" s="3">
        <v>24</v>
      </c>
      <c r="N413" s="3">
        <v>10</v>
      </c>
      <c r="O413" s="3">
        <v>4</v>
      </c>
      <c r="P413" s="11">
        <f>Clean_Data[[#This Row],[Quantity]]*Clean_Data[[#This Row],[UnitPrice]]</f>
        <v>780</v>
      </c>
      <c r="Q413" s="11">
        <f>ROUND(Clean_Data[[#This Row],[GrossSales]]*Clean_Data[[#This Row],[DiscountPct]],2)</f>
        <v>0</v>
      </c>
      <c r="R413" s="11">
        <f>IF(Clean_Data[[#This Row],[Status]]="Delivered",ROUND(Clean_Data[[#This Row],[GrossSales]]-Clean_Data[[#This Row],[DiscountAmount]],2),0)</f>
        <v>780</v>
      </c>
      <c r="S413" s="3" t="str">
        <f>IF(Clean_Data[[#This Row],[OrderHour]]&lt;6,"Night",IF(Clean_Data[[#This Row],[OrderHour]]&lt;12,"Morning",IF(Clean_Data[[#This Row],[OrderHour]]&lt;18,"Afternoon","Evening")))</f>
        <v>Morning</v>
      </c>
      <c r="T413" s="3" t="str">
        <f>TEXT(Clean_Data[[#This Row],[OrderDate]],"[$-409]ddd")</f>
        <v>Mon</v>
      </c>
      <c r="U413" s="3">
        <f>WEEKDAY(Clean_Data[[#This Row],[OrderDate]],2)</f>
        <v>1</v>
      </c>
      <c r="V413" s="3">
        <f>INT(Clean_Data[[#This Row],[OrderHour]]/6)+1</f>
        <v>2</v>
      </c>
      <c r="W413" s="3">
        <f>IF(Clean_Data[[#This Row],[Status]]="Delivered",1,0)</f>
        <v>1</v>
      </c>
      <c r="X413" s="3">
        <f>IF(Clean_Data[[#This Row],[Status]]="Delivered",IF(Clean_Data[[#This Row],[DeliveryMinutes]]&lt;=Dashboard!$X$5,1,0),0)</f>
        <v>1</v>
      </c>
      <c r="Y4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3" s="3">
        <f>IF(AND(Clean_Data[[#This Row],[Include]]=1,Clean_Data[[#This Row],[DeliveredFlag]]=1),1,0)</f>
        <v>1</v>
      </c>
      <c r="AA413" s="1">
        <f>IF(COUNTIF($D$2:D413,D413)=1,ROW()-1,ROWS(Clean_Data[OrderID])+1)</f>
        <v>901</v>
      </c>
      <c r="AB413" s="1">
        <f>IF(COUNTIF($F$2:F413,F413)=1,ROW()-1,ROWS(Clean_Data[OrderID])+1)</f>
        <v>901</v>
      </c>
      <c r="AC413" s="1">
        <f>IF(COUNTIF($G$2:G413,G413)=1,ROW()-1,ROWS(Clean_Data[OrderID])+1)</f>
        <v>901</v>
      </c>
      <c r="AD413" s="1">
        <f>IF(COUNTIF($H$2:H413,H413)=1,ROW()-1,ROWS(Clean_Data[OrderID])+1)</f>
        <v>901</v>
      </c>
      <c r="AE413" s="1">
        <f>IF(COUNTIF($V$2:V413,V413)=1,V413,ROWS(Clean_Data[OrderID])+1)</f>
        <v>901</v>
      </c>
      <c r="AF413" s="1">
        <f>IF(COUNTIF($U$2:U413,U413)=1,U413,ROWS(Clean_Data[OrderID])+1)</f>
        <v>901</v>
      </c>
      <c r="AG413" s="1">
        <f>IF(COUNTIF($E$2:E413,E413)=1,ROW()-1,ROWS(Clean_Data[OrderID])+1)</f>
        <v>901</v>
      </c>
    </row>
    <row r="414" spans="1:33" ht="20" customHeight="1">
      <c r="A414" s="3" t="s">
        <v>765</v>
      </c>
      <c r="B414" s="2">
        <v>46279</v>
      </c>
      <c r="C414" s="3">
        <v>8</v>
      </c>
      <c r="D414" s="3" t="s">
        <v>141</v>
      </c>
      <c r="E414" s="3" t="s">
        <v>91</v>
      </c>
      <c r="F414" s="3" t="s">
        <v>98</v>
      </c>
      <c r="G414" s="3" t="s">
        <v>99</v>
      </c>
      <c r="H414" s="3" t="s">
        <v>130</v>
      </c>
      <c r="I414" s="3">
        <v>4</v>
      </c>
      <c r="J414" s="11">
        <v>85</v>
      </c>
      <c r="K414" s="4">
        <v>0.1</v>
      </c>
      <c r="L414" s="3" t="s">
        <v>95</v>
      </c>
      <c r="M414" s="3">
        <v>26</v>
      </c>
      <c r="N414" s="3">
        <v>14</v>
      </c>
      <c r="O414" s="3">
        <v>5</v>
      </c>
      <c r="P414" s="11">
        <f>Clean_Data[[#This Row],[Quantity]]*Clean_Data[[#This Row],[UnitPrice]]</f>
        <v>340</v>
      </c>
      <c r="Q414" s="11">
        <f>ROUND(Clean_Data[[#This Row],[GrossSales]]*Clean_Data[[#This Row],[DiscountPct]],2)</f>
        <v>34</v>
      </c>
      <c r="R414" s="11">
        <f>IF(Clean_Data[[#This Row],[Status]]="Delivered",ROUND(Clean_Data[[#This Row],[GrossSales]]-Clean_Data[[#This Row],[DiscountAmount]],2),0)</f>
        <v>306</v>
      </c>
      <c r="S414" s="3" t="str">
        <f>IF(Clean_Data[[#This Row],[OrderHour]]&lt;6,"Night",IF(Clean_Data[[#This Row],[OrderHour]]&lt;12,"Morning",IF(Clean_Data[[#This Row],[OrderHour]]&lt;18,"Afternoon","Evening")))</f>
        <v>Morning</v>
      </c>
      <c r="T414" s="3" t="str">
        <f>TEXT(Clean_Data[[#This Row],[OrderDate]],"[$-409]ddd")</f>
        <v>Mon</v>
      </c>
      <c r="U414" s="3">
        <f>WEEKDAY(Clean_Data[[#This Row],[OrderDate]],2)</f>
        <v>1</v>
      </c>
      <c r="V414" s="3">
        <f>INT(Clean_Data[[#This Row],[OrderHour]]/6)+1</f>
        <v>2</v>
      </c>
      <c r="W414" s="3">
        <f>IF(Clean_Data[[#This Row],[Status]]="Delivered",1,0)</f>
        <v>1</v>
      </c>
      <c r="X414" s="3">
        <f>IF(Clean_Data[[#This Row],[Status]]="Delivered",IF(Clean_Data[[#This Row],[DeliveryMinutes]]&lt;=Dashboard!$X$5,1,0),0)</f>
        <v>1</v>
      </c>
      <c r="Y4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4" s="3">
        <f>IF(AND(Clean_Data[[#This Row],[Include]]=1,Clean_Data[[#This Row],[DeliveredFlag]]=1),1,0)</f>
        <v>1</v>
      </c>
      <c r="AA414" s="1">
        <f>IF(COUNTIF($D$2:D414,D414)=1,ROW()-1,ROWS(Clean_Data[OrderID])+1)</f>
        <v>901</v>
      </c>
      <c r="AB414" s="1">
        <f>IF(COUNTIF($F$2:F414,F414)=1,ROW()-1,ROWS(Clean_Data[OrderID])+1)</f>
        <v>901</v>
      </c>
      <c r="AC414" s="1">
        <f>IF(COUNTIF($G$2:G414,G414)=1,ROW()-1,ROWS(Clean_Data[OrderID])+1)</f>
        <v>901</v>
      </c>
      <c r="AD414" s="1">
        <f>IF(COUNTIF($H$2:H414,H414)=1,ROW()-1,ROWS(Clean_Data[OrderID])+1)</f>
        <v>901</v>
      </c>
      <c r="AE414" s="1">
        <f>IF(COUNTIF($V$2:V414,V414)=1,V414,ROWS(Clean_Data[OrderID])+1)</f>
        <v>901</v>
      </c>
      <c r="AF414" s="1">
        <f>IF(COUNTIF($U$2:U414,U414)=1,U414,ROWS(Clean_Data[OrderID])+1)</f>
        <v>901</v>
      </c>
      <c r="AG414" s="1">
        <f>IF(COUNTIF($E$2:E414,E414)=1,ROW()-1,ROWS(Clean_Data[OrderID])+1)</f>
        <v>901</v>
      </c>
    </row>
    <row r="415" spans="1:33" ht="20" customHeight="1">
      <c r="A415" s="3" t="s">
        <v>766</v>
      </c>
      <c r="B415" s="2">
        <v>46279</v>
      </c>
      <c r="C415" s="3">
        <v>10</v>
      </c>
      <c r="D415" s="3" t="s">
        <v>520</v>
      </c>
      <c r="E415" s="3" t="s">
        <v>91</v>
      </c>
      <c r="F415" s="3" t="s">
        <v>109</v>
      </c>
      <c r="G415" s="3" t="s">
        <v>93</v>
      </c>
      <c r="H415" s="3" t="s">
        <v>94</v>
      </c>
      <c r="I415" s="3">
        <v>4</v>
      </c>
      <c r="J415" s="11">
        <v>95</v>
      </c>
      <c r="K415" s="4">
        <v>0.1</v>
      </c>
      <c r="L415" s="3" t="s">
        <v>95</v>
      </c>
      <c r="M415" s="3">
        <v>14</v>
      </c>
      <c r="N415" s="3">
        <v>6</v>
      </c>
      <c r="O415" s="3">
        <v>4</v>
      </c>
      <c r="P415" s="11">
        <f>Clean_Data[[#This Row],[Quantity]]*Clean_Data[[#This Row],[UnitPrice]]</f>
        <v>380</v>
      </c>
      <c r="Q415" s="11">
        <f>ROUND(Clean_Data[[#This Row],[GrossSales]]*Clean_Data[[#This Row],[DiscountPct]],2)</f>
        <v>38</v>
      </c>
      <c r="R415" s="11">
        <f>IF(Clean_Data[[#This Row],[Status]]="Delivered",ROUND(Clean_Data[[#This Row],[GrossSales]]-Clean_Data[[#This Row],[DiscountAmount]],2),0)</f>
        <v>342</v>
      </c>
      <c r="S415" s="3" t="str">
        <f>IF(Clean_Data[[#This Row],[OrderHour]]&lt;6,"Night",IF(Clean_Data[[#This Row],[OrderHour]]&lt;12,"Morning",IF(Clean_Data[[#This Row],[OrderHour]]&lt;18,"Afternoon","Evening")))</f>
        <v>Morning</v>
      </c>
      <c r="T415" s="3" t="str">
        <f>TEXT(Clean_Data[[#This Row],[OrderDate]],"[$-409]ddd")</f>
        <v>Mon</v>
      </c>
      <c r="U415" s="3">
        <f>WEEKDAY(Clean_Data[[#This Row],[OrderDate]],2)</f>
        <v>1</v>
      </c>
      <c r="V415" s="3">
        <f>INT(Clean_Data[[#This Row],[OrderHour]]/6)+1</f>
        <v>2</v>
      </c>
      <c r="W415" s="3">
        <f>IF(Clean_Data[[#This Row],[Status]]="Delivered",1,0)</f>
        <v>1</v>
      </c>
      <c r="X415" s="3">
        <f>IF(Clean_Data[[#This Row],[Status]]="Delivered",IF(Clean_Data[[#This Row],[DeliveryMinutes]]&lt;=Dashboard!$X$5,1,0),0)</f>
        <v>1</v>
      </c>
      <c r="Y4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5" s="3">
        <f>IF(AND(Clean_Data[[#This Row],[Include]]=1,Clean_Data[[#This Row],[DeliveredFlag]]=1),1,0)</f>
        <v>1</v>
      </c>
      <c r="AA415" s="1">
        <f>IF(COUNTIF($D$2:D415,D415)=1,ROW()-1,ROWS(Clean_Data[OrderID])+1)</f>
        <v>901</v>
      </c>
      <c r="AB415" s="1">
        <f>IF(COUNTIF($F$2:F415,F415)=1,ROW()-1,ROWS(Clean_Data[OrderID])+1)</f>
        <v>901</v>
      </c>
      <c r="AC415" s="1">
        <f>IF(COUNTIF($G$2:G415,G415)=1,ROW()-1,ROWS(Clean_Data[OrderID])+1)</f>
        <v>901</v>
      </c>
      <c r="AD415" s="1">
        <f>IF(COUNTIF($H$2:H415,H415)=1,ROW()-1,ROWS(Clean_Data[OrderID])+1)</f>
        <v>901</v>
      </c>
      <c r="AE415" s="1">
        <f>IF(COUNTIF($V$2:V415,V415)=1,V415,ROWS(Clean_Data[OrderID])+1)</f>
        <v>901</v>
      </c>
      <c r="AF415" s="1">
        <f>IF(COUNTIF($U$2:U415,U415)=1,U415,ROWS(Clean_Data[OrderID])+1)</f>
        <v>901</v>
      </c>
      <c r="AG415" s="1">
        <f>IF(COUNTIF($E$2:E415,E415)=1,ROW()-1,ROWS(Clean_Data[OrderID])+1)</f>
        <v>901</v>
      </c>
    </row>
    <row r="416" spans="1:33" ht="20" customHeight="1">
      <c r="A416" s="3" t="s">
        <v>767</v>
      </c>
      <c r="B416" s="2">
        <v>46279</v>
      </c>
      <c r="C416" s="3">
        <v>23</v>
      </c>
      <c r="D416" s="3" t="s">
        <v>768</v>
      </c>
      <c r="E416" s="3" t="s">
        <v>91</v>
      </c>
      <c r="F416" s="3" t="s">
        <v>139</v>
      </c>
      <c r="G416" s="3" t="s">
        <v>135</v>
      </c>
      <c r="H416" s="3" t="s">
        <v>162</v>
      </c>
      <c r="I416" s="3">
        <v>2</v>
      </c>
      <c r="J416" s="11">
        <v>180</v>
      </c>
      <c r="K416" s="4">
        <v>0</v>
      </c>
      <c r="L416" s="3" t="s">
        <v>101</v>
      </c>
      <c r="M416" s="3"/>
      <c r="N416" s="3"/>
      <c r="O416" s="3"/>
      <c r="P416" s="11">
        <f>Clean_Data[[#This Row],[Quantity]]*Clean_Data[[#This Row],[UnitPrice]]</f>
        <v>360</v>
      </c>
      <c r="Q416" s="11">
        <f>ROUND(Clean_Data[[#This Row],[GrossSales]]*Clean_Data[[#This Row],[DiscountPct]],2)</f>
        <v>0</v>
      </c>
      <c r="R416" s="11">
        <f>IF(Clean_Data[[#This Row],[Status]]="Delivered",ROUND(Clean_Data[[#This Row],[GrossSales]]-Clean_Data[[#This Row],[DiscountAmount]],2),0)</f>
        <v>0</v>
      </c>
      <c r="S416" s="3" t="str">
        <f>IF(Clean_Data[[#This Row],[OrderHour]]&lt;6,"Night",IF(Clean_Data[[#This Row],[OrderHour]]&lt;12,"Morning",IF(Clean_Data[[#This Row],[OrderHour]]&lt;18,"Afternoon","Evening")))</f>
        <v>Evening</v>
      </c>
      <c r="T416" s="3" t="str">
        <f>TEXT(Clean_Data[[#This Row],[OrderDate]],"[$-409]ddd")</f>
        <v>Mon</v>
      </c>
      <c r="U416" s="3">
        <f>WEEKDAY(Clean_Data[[#This Row],[OrderDate]],2)</f>
        <v>1</v>
      </c>
      <c r="V416" s="3">
        <f>INT(Clean_Data[[#This Row],[OrderHour]]/6)+1</f>
        <v>4</v>
      </c>
      <c r="W416" s="3">
        <f>IF(Clean_Data[[#This Row],[Status]]="Delivered",1,0)</f>
        <v>0</v>
      </c>
      <c r="X416" s="3">
        <f>IF(Clean_Data[[#This Row],[Status]]="Delivered",IF(Clean_Data[[#This Row],[DeliveryMinutes]]&lt;=Dashboard!$X$5,1,0),0)</f>
        <v>0</v>
      </c>
      <c r="Y4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6" s="3">
        <f>IF(AND(Clean_Data[[#This Row],[Include]]=1,Clean_Data[[#This Row],[DeliveredFlag]]=1),1,0)</f>
        <v>0</v>
      </c>
      <c r="AA416" s="1">
        <f>IF(COUNTIF($D$2:D416,D416)=1,ROW()-1,ROWS(Clean_Data[OrderID])+1)</f>
        <v>415</v>
      </c>
      <c r="AB416" s="1">
        <f>IF(COUNTIF($F$2:F416,F416)=1,ROW()-1,ROWS(Clean_Data[OrderID])+1)</f>
        <v>901</v>
      </c>
      <c r="AC416" s="1">
        <f>IF(COUNTIF($G$2:G416,G416)=1,ROW()-1,ROWS(Clean_Data[OrderID])+1)</f>
        <v>901</v>
      </c>
      <c r="AD416" s="1">
        <f>IF(COUNTIF($H$2:H416,H416)=1,ROW()-1,ROWS(Clean_Data[OrderID])+1)</f>
        <v>901</v>
      </c>
      <c r="AE416" s="1">
        <f>IF(COUNTIF($V$2:V416,V416)=1,V416,ROWS(Clean_Data[OrderID])+1)</f>
        <v>901</v>
      </c>
      <c r="AF416" s="1">
        <f>IF(COUNTIF($U$2:U416,U416)=1,U416,ROWS(Clean_Data[OrderID])+1)</f>
        <v>901</v>
      </c>
      <c r="AG416" s="1">
        <f>IF(COUNTIF($E$2:E416,E416)=1,ROW()-1,ROWS(Clean_Data[OrderID])+1)</f>
        <v>901</v>
      </c>
    </row>
    <row r="417" spans="1:33" ht="20" customHeight="1">
      <c r="A417" s="3" t="s">
        <v>769</v>
      </c>
      <c r="B417" s="2">
        <v>46279</v>
      </c>
      <c r="C417" s="3">
        <v>17</v>
      </c>
      <c r="D417" s="3" t="s">
        <v>770</v>
      </c>
      <c r="E417" s="3" t="s">
        <v>91</v>
      </c>
      <c r="F417" s="3" t="s">
        <v>121</v>
      </c>
      <c r="G417" s="3" t="s">
        <v>174</v>
      </c>
      <c r="H417" s="3" t="s">
        <v>274</v>
      </c>
      <c r="I417" s="3">
        <v>1</v>
      </c>
      <c r="J417" s="11">
        <v>90</v>
      </c>
      <c r="K417" s="4">
        <v>0.15</v>
      </c>
      <c r="L417" s="3" t="s">
        <v>95</v>
      </c>
      <c r="M417" s="3">
        <v>20</v>
      </c>
      <c r="N417" s="3">
        <v>7</v>
      </c>
      <c r="O417" s="3">
        <v>5</v>
      </c>
      <c r="P417" s="11">
        <f>Clean_Data[[#This Row],[Quantity]]*Clean_Data[[#This Row],[UnitPrice]]</f>
        <v>90</v>
      </c>
      <c r="Q417" s="11">
        <f>ROUND(Clean_Data[[#This Row],[GrossSales]]*Clean_Data[[#This Row],[DiscountPct]],2)</f>
        <v>13.5</v>
      </c>
      <c r="R417" s="11">
        <f>IF(Clean_Data[[#This Row],[Status]]="Delivered",ROUND(Clean_Data[[#This Row],[GrossSales]]-Clean_Data[[#This Row],[DiscountAmount]],2),0)</f>
        <v>76.5</v>
      </c>
      <c r="S417" s="3" t="str">
        <f>IF(Clean_Data[[#This Row],[OrderHour]]&lt;6,"Night",IF(Clean_Data[[#This Row],[OrderHour]]&lt;12,"Morning",IF(Clean_Data[[#This Row],[OrderHour]]&lt;18,"Afternoon","Evening")))</f>
        <v>Afternoon</v>
      </c>
      <c r="T417" s="3" t="str">
        <f>TEXT(Clean_Data[[#This Row],[OrderDate]],"[$-409]ddd")</f>
        <v>Mon</v>
      </c>
      <c r="U417" s="3">
        <f>WEEKDAY(Clean_Data[[#This Row],[OrderDate]],2)</f>
        <v>1</v>
      </c>
      <c r="V417" s="3">
        <f>INT(Clean_Data[[#This Row],[OrderHour]]/6)+1</f>
        <v>3</v>
      </c>
      <c r="W417" s="3">
        <f>IF(Clean_Data[[#This Row],[Status]]="Delivered",1,0)</f>
        <v>1</v>
      </c>
      <c r="X417" s="3">
        <f>IF(Clean_Data[[#This Row],[Status]]="Delivered",IF(Clean_Data[[#This Row],[DeliveryMinutes]]&lt;=Dashboard!$X$5,1,0),0)</f>
        <v>1</v>
      </c>
      <c r="Y4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7" s="3">
        <f>IF(AND(Clean_Data[[#This Row],[Include]]=1,Clean_Data[[#This Row],[DeliveredFlag]]=1),1,0)</f>
        <v>1</v>
      </c>
      <c r="AA417" s="1">
        <f>IF(COUNTIF($D$2:D417,D417)=1,ROW()-1,ROWS(Clean_Data[OrderID])+1)</f>
        <v>416</v>
      </c>
      <c r="AB417" s="1">
        <f>IF(COUNTIF($F$2:F417,F417)=1,ROW()-1,ROWS(Clean_Data[OrderID])+1)</f>
        <v>901</v>
      </c>
      <c r="AC417" s="1">
        <f>IF(COUNTIF($G$2:G417,G417)=1,ROW()-1,ROWS(Clean_Data[OrderID])+1)</f>
        <v>901</v>
      </c>
      <c r="AD417" s="1">
        <f>IF(COUNTIF($H$2:H417,H417)=1,ROW()-1,ROWS(Clean_Data[OrderID])+1)</f>
        <v>901</v>
      </c>
      <c r="AE417" s="1">
        <f>IF(COUNTIF($V$2:V417,V417)=1,V417,ROWS(Clean_Data[OrderID])+1)</f>
        <v>901</v>
      </c>
      <c r="AF417" s="1">
        <f>IF(COUNTIF($U$2:U417,U417)=1,U417,ROWS(Clean_Data[OrderID])+1)</f>
        <v>901</v>
      </c>
      <c r="AG417" s="1">
        <f>IF(COUNTIF($E$2:E417,E417)=1,ROW()-1,ROWS(Clean_Data[OrderID])+1)</f>
        <v>901</v>
      </c>
    </row>
    <row r="418" spans="1:33" ht="20" customHeight="1">
      <c r="A418" s="3" t="s">
        <v>771</v>
      </c>
      <c r="B418" s="2">
        <v>46279</v>
      </c>
      <c r="C418" s="3">
        <v>7</v>
      </c>
      <c r="D418" s="3" t="s">
        <v>525</v>
      </c>
      <c r="E418" s="3" t="s">
        <v>91</v>
      </c>
      <c r="F418" s="3" t="s">
        <v>121</v>
      </c>
      <c r="G418" s="3" t="s">
        <v>174</v>
      </c>
      <c r="H418" s="3" t="s">
        <v>184</v>
      </c>
      <c r="I418" s="3">
        <v>2</v>
      </c>
      <c r="J418" s="11">
        <v>62</v>
      </c>
      <c r="K418" s="4">
        <v>0</v>
      </c>
      <c r="L418" s="3" t="s">
        <v>95</v>
      </c>
      <c r="M418" s="3">
        <v>19</v>
      </c>
      <c r="N418" s="3">
        <v>8</v>
      </c>
      <c r="O418" s="3">
        <v>5</v>
      </c>
      <c r="P418" s="11">
        <f>Clean_Data[[#This Row],[Quantity]]*Clean_Data[[#This Row],[UnitPrice]]</f>
        <v>124</v>
      </c>
      <c r="Q418" s="11">
        <f>ROUND(Clean_Data[[#This Row],[GrossSales]]*Clean_Data[[#This Row],[DiscountPct]],2)</f>
        <v>0</v>
      </c>
      <c r="R418" s="11">
        <f>IF(Clean_Data[[#This Row],[Status]]="Delivered",ROUND(Clean_Data[[#This Row],[GrossSales]]-Clean_Data[[#This Row],[DiscountAmount]],2),0)</f>
        <v>124</v>
      </c>
      <c r="S418" s="3" t="str">
        <f>IF(Clean_Data[[#This Row],[OrderHour]]&lt;6,"Night",IF(Clean_Data[[#This Row],[OrderHour]]&lt;12,"Morning",IF(Clean_Data[[#This Row],[OrderHour]]&lt;18,"Afternoon","Evening")))</f>
        <v>Morning</v>
      </c>
      <c r="T418" s="3" t="str">
        <f>TEXT(Clean_Data[[#This Row],[OrderDate]],"[$-409]ddd")</f>
        <v>Mon</v>
      </c>
      <c r="U418" s="3">
        <f>WEEKDAY(Clean_Data[[#This Row],[OrderDate]],2)</f>
        <v>1</v>
      </c>
      <c r="V418" s="3">
        <f>INT(Clean_Data[[#This Row],[OrderHour]]/6)+1</f>
        <v>2</v>
      </c>
      <c r="W418" s="3">
        <f>IF(Clean_Data[[#This Row],[Status]]="Delivered",1,0)</f>
        <v>1</v>
      </c>
      <c r="X418" s="3">
        <f>IF(Clean_Data[[#This Row],[Status]]="Delivered",IF(Clean_Data[[#This Row],[DeliveryMinutes]]&lt;=Dashboard!$X$5,1,0),0)</f>
        <v>1</v>
      </c>
      <c r="Y4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8" s="3">
        <f>IF(AND(Clean_Data[[#This Row],[Include]]=1,Clean_Data[[#This Row],[DeliveredFlag]]=1),1,0)</f>
        <v>1</v>
      </c>
      <c r="AA418" s="1">
        <f>IF(COUNTIF($D$2:D418,D418)=1,ROW()-1,ROWS(Clean_Data[OrderID])+1)</f>
        <v>901</v>
      </c>
      <c r="AB418" s="1">
        <f>IF(COUNTIF($F$2:F418,F418)=1,ROW()-1,ROWS(Clean_Data[OrderID])+1)</f>
        <v>901</v>
      </c>
      <c r="AC418" s="1">
        <f>IF(COUNTIF($G$2:G418,G418)=1,ROW()-1,ROWS(Clean_Data[OrderID])+1)</f>
        <v>901</v>
      </c>
      <c r="AD418" s="1">
        <f>IF(COUNTIF($H$2:H418,H418)=1,ROW()-1,ROWS(Clean_Data[OrderID])+1)</f>
        <v>901</v>
      </c>
      <c r="AE418" s="1">
        <f>IF(COUNTIF($V$2:V418,V418)=1,V418,ROWS(Clean_Data[OrderID])+1)</f>
        <v>901</v>
      </c>
      <c r="AF418" s="1">
        <f>IF(COUNTIF($U$2:U418,U418)=1,U418,ROWS(Clean_Data[OrderID])+1)</f>
        <v>901</v>
      </c>
      <c r="AG418" s="1">
        <f>IF(COUNTIF($E$2:E418,E418)=1,ROW()-1,ROWS(Clean_Data[OrderID])+1)</f>
        <v>901</v>
      </c>
    </row>
    <row r="419" spans="1:33" ht="20" customHeight="1">
      <c r="A419" s="3" t="s">
        <v>772</v>
      </c>
      <c r="B419" s="2">
        <v>46279</v>
      </c>
      <c r="C419" s="3">
        <v>7</v>
      </c>
      <c r="D419" s="3" t="s">
        <v>460</v>
      </c>
      <c r="E419" s="3" t="s">
        <v>117</v>
      </c>
      <c r="F419" s="3" t="s">
        <v>121</v>
      </c>
      <c r="G419" s="3" t="s">
        <v>110</v>
      </c>
      <c r="H419" s="3" t="s">
        <v>206</v>
      </c>
      <c r="I419" s="3">
        <v>3</v>
      </c>
      <c r="J419" s="11">
        <v>220</v>
      </c>
      <c r="K419" s="4">
        <v>0</v>
      </c>
      <c r="L419" s="3" t="s">
        <v>95</v>
      </c>
      <c r="M419" s="3">
        <v>32</v>
      </c>
      <c r="N419" s="3">
        <v>8</v>
      </c>
      <c r="O419" s="3">
        <v>5</v>
      </c>
      <c r="P419" s="11">
        <f>Clean_Data[[#This Row],[Quantity]]*Clean_Data[[#This Row],[UnitPrice]]</f>
        <v>660</v>
      </c>
      <c r="Q419" s="11">
        <f>ROUND(Clean_Data[[#This Row],[GrossSales]]*Clean_Data[[#This Row],[DiscountPct]],2)</f>
        <v>0</v>
      </c>
      <c r="R419" s="11">
        <f>IF(Clean_Data[[#This Row],[Status]]="Delivered",ROUND(Clean_Data[[#This Row],[GrossSales]]-Clean_Data[[#This Row],[DiscountAmount]],2),0)</f>
        <v>660</v>
      </c>
      <c r="S419" s="3" t="str">
        <f>IF(Clean_Data[[#This Row],[OrderHour]]&lt;6,"Night",IF(Clean_Data[[#This Row],[OrderHour]]&lt;12,"Morning",IF(Clean_Data[[#This Row],[OrderHour]]&lt;18,"Afternoon","Evening")))</f>
        <v>Morning</v>
      </c>
      <c r="T419" s="3" t="str">
        <f>TEXT(Clean_Data[[#This Row],[OrderDate]],"[$-409]ddd")</f>
        <v>Mon</v>
      </c>
      <c r="U419" s="3">
        <f>WEEKDAY(Clean_Data[[#This Row],[OrderDate]],2)</f>
        <v>1</v>
      </c>
      <c r="V419" s="3">
        <f>INT(Clean_Data[[#This Row],[OrderHour]]/6)+1</f>
        <v>2</v>
      </c>
      <c r="W419" s="3">
        <f>IF(Clean_Data[[#This Row],[Status]]="Delivered",1,0)</f>
        <v>1</v>
      </c>
      <c r="X419" s="3">
        <f>IF(Clean_Data[[#This Row],[Status]]="Delivered",IF(Clean_Data[[#This Row],[DeliveryMinutes]]&lt;=Dashboard!$X$5,1,0),0)</f>
        <v>0</v>
      </c>
      <c r="Y4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19" s="3">
        <f>IF(AND(Clean_Data[[#This Row],[Include]]=1,Clean_Data[[#This Row],[DeliveredFlag]]=1),1,0)</f>
        <v>1</v>
      </c>
      <c r="AA419" s="1">
        <f>IF(COUNTIF($D$2:D419,D419)=1,ROW()-1,ROWS(Clean_Data[OrderID])+1)</f>
        <v>901</v>
      </c>
      <c r="AB419" s="1">
        <f>IF(COUNTIF($F$2:F419,F419)=1,ROW()-1,ROWS(Clean_Data[OrderID])+1)</f>
        <v>901</v>
      </c>
      <c r="AC419" s="1">
        <f>IF(COUNTIF($G$2:G419,G419)=1,ROW()-1,ROWS(Clean_Data[OrderID])+1)</f>
        <v>901</v>
      </c>
      <c r="AD419" s="1">
        <f>IF(COUNTIF($H$2:H419,H419)=1,ROW()-1,ROWS(Clean_Data[OrderID])+1)</f>
        <v>901</v>
      </c>
      <c r="AE419" s="1">
        <f>IF(COUNTIF($V$2:V419,V419)=1,V419,ROWS(Clean_Data[OrderID])+1)</f>
        <v>901</v>
      </c>
      <c r="AF419" s="1">
        <f>IF(COUNTIF($U$2:U419,U419)=1,U419,ROWS(Clean_Data[OrderID])+1)</f>
        <v>901</v>
      </c>
      <c r="AG419" s="1">
        <f>IF(COUNTIF($E$2:E419,E419)=1,ROW()-1,ROWS(Clean_Data[OrderID])+1)</f>
        <v>901</v>
      </c>
    </row>
    <row r="420" spans="1:33" ht="20" customHeight="1">
      <c r="A420" s="3" t="s">
        <v>773</v>
      </c>
      <c r="B420" s="2">
        <v>46279</v>
      </c>
      <c r="C420" s="3">
        <v>8</v>
      </c>
      <c r="D420" s="3" t="s">
        <v>152</v>
      </c>
      <c r="E420" s="3" t="s">
        <v>117</v>
      </c>
      <c r="F420" s="3" t="s">
        <v>92</v>
      </c>
      <c r="G420" s="3" t="s">
        <v>93</v>
      </c>
      <c r="H420" s="3" t="s">
        <v>118</v>
      </c>
      <c r="I420" s="3">
        <v>5</v>
      </c>
      <c r="J420" s="11">
        <v>45</v>
      </c>
      <c r="K420" s="4">
        <v>0.1</v>
      </c>
      <c r="L420" s="3" t="s">
        <v>95</v>
      </c>
      <c r="M420" s="3">
        <v>19</v>
      </c>
      <c r="N420" s="3">
        <v>8</v>
      </c>
      <c r="O420" s="3">
        <v>4</v>
      </c>
      <c r="P420" s="11">
        <f>Clean_Data[[#This Row],[Quantity]]*Clean_Data[[#This Row],[UnitPrice]]</f>
        <v>225</v>
      </c>
      <c r="Q420" s="11">
        <f>ROUND(Clean_Data[[#This Row],[GrossSales]]*Clean_Data[[#This Row],[DiscountPct]],2)</f>
        <v>22.5</v>
      </c>
      <c r="R420" s="11">
        <f>IF(Clean_Data[[#This Row],[Status]]="Delivered",ROUND(Clean_Data[[#This Row],[GrossSales]]-Clean_Data[[#This Row],[DiscountAmount]],2),0)</f>
        <v>202.5</v>
      </c>
      <c r="S420" s="3" t="str">
        <f>IF(Clean_Data[[#This Row],[OrderHour]]&lt;6,"Night",IF(Clean_Data[[#This Row],[OrderHour]]&lt;12,"Morning",IF(Clean_Data[[#This Row],[OrderHour]]&lt;18,"Afternoon","Evening")))</f>
        <v>Morning</v>
      </c>
      <c r="T420" s="3" t="str">
        <f>TEXT(Clean_Data[[#This Row],[OrderDate]],"[$-409]ddd")</f>
        <v>Mon</v>
      </c>
      <c r="U420" s="3">
        <f>WEEKDAY(Clean_Data[[#This Row],[OrderDate]],2)</f>
        <v>1</v>
      </c>
      <c r="V420" s="3">
        <f>INT(Clean_Data[[#This Row],[OrderHour]]/6)+1</f>
        <v>2</v>
      </c>
      <c r="W420" s="3">
        <f>IF(Clean_Data[[#This Row],[Status]]="Delivered",1,0)</f>
        <v>1</v>
      </c>
      <c r="X420" s="3">
        <f>IF(Clean_Data[[#This Row],[Status]]="Delivered",IF(Clean_Data[[#This Row],[DeliveryMinutes]]&lt;=Dashboard!$X$5,1,0),0)</f>
        <v>1</v>
      </c>
      <c r="Y4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0" s="3">
        <f>IF(AND(Clean_Data[[#This Row],[Include]]=1,Clean_Data[[#This Row],[DeliveredFlag]]=1),1,0)</f>
        <v>1</v>
      </c>
      <c r="AA420" s="1">
        <f>IF(COUNTIF($D$2:D420,D420)=1,ROW()-1,ROWS(Clean_Data[OrderID])+1)</f>
        <v>901</v>
      </c>
      <c r="AB420" s="1">
        <f>IF(COUNTIF($F$2:F420,F420)=1,ROW()-1,ROWS(Clean_Data[OrderID])+1)</f>
        <v>901</v>
      </c>
      <c r="AC420" s="1">
        <f>IF(COUNTIF($G$2:G420,G420)=1,ROW()-1,ROWS(Clean_Data[OrderID])+1)</f>
        <v>901</v>
      </c>
      <c r="AD420" s="1">
        <f>IF(COUNTIF($H$2:H420,H420)=1,ROW()-1,ROWS(Clean_Data[OrderID])+1)</f>
        <v>901</v>
      </c>
      <c r="AE420" s="1">
        <f>IF(COUNTIF($V$2:V420,V420)=1,V420,ROWS(Clean_Data[OrderID])+1)</f>
        <v>901</v>
      </c>
      <c r="AF420" s="1">
        <f>IF(COUNTIF($U$2:U420,U420)=1,U420,ROWS(Clean_Data[OrderID])+1)</f>
        <v>901</v>
      </c>
      <c r="AG420" s="1">
        <f>IF(COUNTIF($E$2:E420,E420)=1,ROW()-1,ROWS(Clean_Data[OrderID])+1)</f>
        <v>901</v>
      </c>
    </row>
    <row r="421" spans="1:33" ht="20" customHeight="1">
      <c r="A421" s="3" t="s">
        <v>774</v>
      </c>
      <c r="B421" s="2">
        <v>46279</v>
      </c>
      <c r="C421" s="3">
        <v>12</v>
      </c>
      <c r="D421" s="3" t="s">
        <v>372</v>
      </c>
      <c r="E421" s="3" t="s">
        <v>117</v>
      </c>
      <c r="F421" s="3" t="s">
        <v>109</v>
      </c>
      <c r="G421" s="3" t="s">
        <v>99</v>
      </c>
      <c r="H421" s="3" t="s">
        <v>130</v>
      </c>
      <c r="I421" s="3">
        <v>2</v>
      </c>
      <c r="J421" s="11">
        <v>85</v>
      </c>
      <c r="K421" s="4">
        <v>0</v>
      </c>
      <c r="L421" s="3" t="s">
        <v>95</v>
      </c>
      <c r="M421" s="3">
        <v>14</v>
      </c>
      <c r="N421" s="3">
        <v>5</v>
      </c>
      <c r="O421" s="3">
        <v>5</v>
      </c>
      <c r="P421" s="11">
        <f>Clean_Data[[#This Row],[Quantity]]*Clean_Data[[#This Row],[UnitPrice]]</f>
        <v>170</v>
      </c>
      <c r="Q421" s="11">
        <f>ROUND(Clean_Data[[#This Row],[GrossSales]]*Clean_Data[[#This Row],[DiscountPct]],2)</f>
        <v>0</v>
      </c>
      <c r="R421" s="11">
        <f>IF(Clean_Data[[#This Row],[Status]]="Delivered",ROUND(Clean_Data[[#This Row],[GrossSales]]-Clean_Data[[#This Row],[DiscountAmount]],2),0)</f>
        <v>170</v>
      </c>
      <c r="S421" s="3" t="str">
        <f>IF(Clean_Data[[#This Row],[OrderHour]]&lt;6,"Night",IF(Clean_Data[[#This Row],[OrderHour]]&lt;12,"Morning",IF(Clean_Data[[#This Row],[OrderHour]]&lt;18,"Afternoon","Evening")))</f>
        <v>Afternoon</v>
      </c>
      <c r="T421" s="3" t="str">
        <f>TEXT(Clean_Data[[#This Row],[OrderDate]],"[$-409]ddd")</f>
        <v>Mon</v>
      </c>
      <c r="U421" s="3">
        <f>WEEKDAY(Clean_Data[[#This Row],[OrderDate]],2)</f>
        <v>1</v>
      </c>
      <c r="V421" s="3">
        <f>INT(Clean_Data[[#This Row],[OrderHour]]/6)+1</f>
        <v>3</v>
      </c>
      <c r="W421" s="3">
        <f>IF(Clean_Data[[#This Row],[Status]]="Delivered",1,0)</f>
        <v>1</v>
      </c>
      <c r="X421" s="3">
        <f>IF(Clean_Data[[#This Row],[Status]]="Delivered",IF(Clean_Data[[#This Row],[DeliveryMinutes]]&lt;=Dashboard!$X$5,1,0),0)</f>
        <v>1</v>
      </c>
      <c r="Y4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1" s="3">
        <f>IF(AND(Clean_Data[[#This Row],[Include]]=1,Clean_Data[[#This Row],[DeliveredFlag]]=1),1,0)</f>
        <v>1</v>
      </c>
      <c r="AA421" s="1">
        <f>IF(COUNTIF($D$2:D421,D421)=1,ROW()-1,ROWS(Clean_Data[OrderID])+1)</f>
        <v>901</v>
      </c>
      <c r="AB421" s="1">
        <f>IF(COUNTIF($F$2:F421,F421)=1,ROW()-1,ROWS(Clean_Data[OrderID])+1)</f>
        <v>901</v>
      </c>
      <c r="AC421" s="1">
        <f>IF(COUNTIF($G$2:G421,G421)=1,ROW()-1,ROWS(Clean_Data[OrderID])+1)</f>
        <v>901</v>
      </c>
      <c r="AD421" s="1">
        <f>IF(COUNTIF($H$2:H421,H421)=1,ROW()-1,ROWS(Clean_Data[OrderID])+1)</f>
        <v>901</v>
      </c>
      <c r="AE421" s="1">
        <f>IF(COUNTIF($V$2:V421,V421)=1,V421,ROWS(Clean_Data[OrderID])+1)</f>
        <v>901</v>
      </c>
      <c r="AF421" s="1">
        <f>IF(COUNTIF($U$2:U421,U421)=1,U421,ROWS(Clean_Data[OrderID])+1)</f>
        <v>901</v>
      </c>
      <c r="AG421" s="1">
        <f>IF(COUNTIF($E$2:E421,E421)=1,ROW()-1,ROWS(Clean_Data[OrderID])+1)</f>
        <v>901</v>
      </c>
    </row>
    <row r="422" spans="1:33" ht="20" customHeight="1">
      <c r="A422" s="3" t="s">
        <v>775</v>
      </c>
      <c r="B422" s="2">
        <v>46280</v>
      </c>
      <c r="C422" s="3">
        <v>7</v>
      </c>
      <c r="D422" s="3" t="s">
        <v>262</v>
      </c>
      <c r="E422" s="3" t="s">
        <v>117</v>
      </c>
      <c r="F422" s="3" t="s">
        <v>98</v>
      </c>
      <c r="G422" s="3" t="s">
        <v>110</v>
      </c>
      <c r="H422" s="3" t="s">
        <v>111</v>
      </c>
      <c r="I422" s="3">
        <v>4</v>
      </c>
      <c r="J422" s="11">
        <v>115</v>
      </c>
      <c r="K422" s="4">
        <v>0</v>
      </c>
      <c r="L422" s="3" t="s">
        <v>95</v>
      </c>
      <c r="M422" s="3">
        <v>36</v>
      </c>
      <c r="N422" s="3">
        <v>12</v>
      </c>
      <c r="O422" s="3">
        <v>5</v>
      </c>
      <c r="P422" s="11">
        <f>Clean_Data[[#This Row],[Quantity]]*Clean_Data[[#This Row],[UnitPrice]]</f>
        <v>460</v>
      </c>
      <c r="Q422" s="11">
        <f>ROUND(Clean_Data[[#This Row],[GrossSales]]*Clean_Data[[#This Row],[DiscountPct]],2)</f>
        <v>0</v>
      </c>
      <c r="R422" s="11">
        <f>IF(Clean_Data[[#This Row],[Status]]="Delivered",ROUND(Clean_Data[[#This Row],[GrossSales]]-Clean_Data[[#This Row],[DiscountAmount]],2),0)</f>
        <v>460</v>
      </c>
      <c r="S422" s="3" t="str">
        <f>IF(Clean_Data[[#This Row],[OrderHour]]&lt;6,"Night",IF(Clean_Data[[#This Row],[OrderHour]]&lt;12,"Morning",IF(Clean_Data[[#This Row],[OrderHour]]&lt;18,"Afternoon","Evening")))</f>
        <v>Morning</v>
      </c>
      <c r="T422" s="3" t="str">
        <f>TEXT(Clean_Data[[#This Row],[OrderDate]],"[$-409]ddd")</f>
        <v>Tue</v>
      </c>
      <c r="U422" s="3">
        <f>WEEKDAY(Clean_Data[[#This Row],[OrderDate]],2)</f>
        <v>2</v>
      </c>
      <c r="V422" s="3">
        <f>INT(Clean_Data[[#This Row],[OrderHour]]/6)+1</f>
        <v>2</v>
      </c>
      <c r="W422" s="3">
        <f>IF(Clean_Data[[#This Row],[Status]]="Delivered",1,0)</f>
        <v>1</v>
      </c>
      <c r="X422" s="3">
        <f>IF(Clean_Data[[#This Row],[Status]]="Delivered",IF(Clean_Data[[#This Row],[DeliveryMinutes]]&lt;=Dashboard!$X$5,1,0),0)</f>
        <v>0</v>
      </c>
      <c r="Y4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2" s="3">
        <f>IF(AND(Clean_Data[[#This Row],[Include]]=1,Clean_Data[[#This Row],[DeliveredFlag]]=1),1,0)</f>
        <v>1</v>
      </c>
      <c r="AA422" s="1">
        <f>IF(COUNTIF($D$2:D422,D422)=1,ROW()-1,ROWS(Clean_Data[OrderID])+1)</f>
        <v>901</v>
      </c>
      <c r="AB422" s="1">
        <f>IF(COUNTIF($F$2:F422,F422)=1,ROW()-1,ROWS(Clean_Data[OrderID])+1)</f>
        <v>901</v>
      </c>
      <c r="AC422" s="1">
        <f>IF(COUNTIF($G$2:G422,G422)=1,ROW()-1,ROWS(Clean_Data[OrderID])+1)</f>
        <v>901</v>
      </c>
      <c r="AD422" s="1">
        <f>IF(COUNTIF($H$2:H422,H422)=1,ROW()-1,ROWS(Clean_Data[OrderID])+1)</f>
        <v>901</v>
      </c>
      <c r="AE422" s="1">
        <f>IF(COUNTIF($V$2:V422,V422)=1,V422,ROWS(Clean_Data[OrderID])+1)</f>
        <v>901</v>
      </c>
      <c r="AF422" s="1">
        <f>IF(COUNTIF($U$2:U422,U422)=1,U422,ROWS(Clean_Data[OrderID])+1)</f>
        <v>901</v>
      </c>
      <c r="AG422" s="1">
        <f>IF(COUNTIF($E$2:E422,E422)=1,ROW()-1,ROWS(Clean_Data[OrderID])+1)</f>
        <v>901</v>
      </c>
    </row>
    <row r="423" spans="1:33" ht="20" customHeight="1">
      <c r="A423" s="3" t="s">
        <v>776</v>
      </c>
      <c r="B423" s="2">
        <v>46280</v>
      </c>
      <c r="C423" s="3">
        <v>19</v>
      </c>
      <c r="D423" s="3" t="s">
        <v>777</v>
      </c>
      <c r="E423" s="3" t="s">
        <v>91</v>
      </c>
      <c r="F423" s="3" t="s">
        <v>92</v>
      </c>
      <c r="G423" s="3" t="s">
        <v>122</v>
      </c>
      <c r="H423" s="3" t="s">
        <v>153</v>
      </c>
      <c r="I423" s="3">
        <v>1</v>
      </c>
      <c r="J423" s="11">
        <v>130</v>
      </c>
      <c r="K423" s="4">
        <v>0.05</v>
      </c>
      <c r="L423" s="3" t="s">
        <v>95</v>
      </c>
      <c r="M423" s="3">
        <v>16</v>
      </c>
      <c r="N423" s="3">
        <v>14</v>
      </c>
      <c r="O423" s="3">
        <v>4</v>
      </c>
      <c r="P423" s="11">
        <f>Clean_Data[[#This Row],[Quantity]]*Clean_Data[[#This Row],[UnitPrice]]</f>
        <v>130</v>
      </c>
      <c r="Q423" s="11">
        <f>ROUND(Clean_Data[[#This Row],[GrossSales]]*Clean_Data[[#This Row],[DiscountPct]],2)</f>
        <v>6.5</v>
      </c>
      <c r="R423" s="11">
        <f>IF(Clean_Data[[#This Row],[Status]]="Delivered",ROUND(Clean_Data[[#This Row],[GrossSales]]-Clean_Data[[#This Row],[DiscountAmount]],2),0)</f>
        <v>123.5</v>
      </c>
      <c r="S423" s="3" t="str">
        <f>IF(Clean_Data[[#This Row],[OrderHour]]&lt;6,"Night",IF(Clean_Data[[#This Row],[OrderHour]]&lt;12,"Morning",IF(Clean_Data[[#This Row],[OrderHour]]&lt;18,"Afternoon","Evening")))</f>
        <v>Evening</v>
      </c>
      <c r="T423" s="3" t="str">
        <f>TEXT(Clean_Data[[#This Row],[OrderDate]],"[$-409]ddd")</f>
        <v>Tue</v>
      </c>
      <c r="U423" s="3">
        <f>WEEKDAY(Clean_Data[[#This Row],[OrderDate]],2)</f>
        <v>2</v>
      </c>
      <c r="V423" s="3">
        <f>INT(Clean_Data[[#This Row],[OrderHour]]/6)+1</f>
        <v>4</v>
      </c>
      <c r="W423" s="3">
        <f>IF(Clean_Data[[#This Row],[Status]]="Delivered",1,0)</f>
        <v>1</v>
      </c>
      <c r="X423" s="3">
        <f>IF(Clean_Data[[#This Row],[Status]]="Delivered",IF(Clean_Data[[#This Row],[DeliveryMinutes]]&lt;=Dashboard!$X$5,1,0),0)</f>
        <v>1</v>
      </c>
      <c r="Y4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3" s="3">
        <f>IF(AND(Clean_Data[[#This Row],[Include]]=1,Clean_Data[[#This Row],[DeliveredFlag]]=1),1,0)</f>
        <v>1</v>
      </c>
      <c r="AA423" s="1">
        <f>IF(COUNTIF($D$2:D423,D423)=1,ROW()-1,ROWS(Clean_Data[OrderID])+1)</f>
        <v>422</v>
      </c>
      <c r="AB423" s="1">
        <f>IF(COUNTIF($F$2:F423,F423)=1,ROW()-1,ROWS(Clean_Data[OrderID])+1)</f>
        <v>901</v>
      </c>
      <c r="AC423" s="1">
        <f>IF(COUNTIF($G$2:G423,G423)=1,ROW()-1,ROWS(Clean_Data[OrderID])+1)</f>
        <v>901</v>
      </c>
      <c r="AD423" s="1">
        <f>IF(COUNTIF($H$2:H423,H423)=1,ROW()-1,ROWS(Clean_Data[OrderID])+1)</f>
        <v>901</v>
      </c>
      <c r="AE423" s="1">
        <f>IF(COUNTIF($V$2:V423,V423)=1,V423,ROWS(Clean_Data[OrderID])+1)</f>
        <v>901</v>
      </c>
      <c r="AF423" s="1">
        <f>IF(COUNTIF($U$2:U423,U423)=1,U423,ROWS(Clean_Data[OrderID])+1)</f>
        <v>901</v>
      </c>
      <c r="AG423" s="1">
        <f>IF(COUNTIF($E$2:E423,E423)=1,ROW()-1,ROWS(Clean_Data[OrderID])+1)</f>
        <v>901</v>
      </c>
    </row>
    <row r="424" spans="1:33" ht="20" customHeight="1">
      <c r="A424" s="3" t="s">
        <v>778</v>
      </c>
      <c r="B424" s="2">
        <v>46280</v>
      </c>
      <c r="C424" s="3">
        <v>23</v>
      </c>
      <c r="D424" s="3" t="s">
        <v>238</v>
      </c>
      <c r="E424" s="3" t="s">
        <v>91</v>
      </c>
      <c r="F424" s="3" t="s">
        <v>92</v>
      </c>
      <c r="G424" s="3" t="s">
        <v>135</v>
      </c>
      <c r="H424" s="3" t="s">
        <v>162</v>
      </c>
      <c r="I424" s="3">
        <v>6</v>
      </c>
      <c r="J424" s="11">
        <v>180</v>
      </c>
      <c r="K424" s="4">
        <v>0</v>
      </c>
      <c r="L424" s="3" t="s">
        <v>95</v>
      </c>
      <c r="M424" s="3">
        <v>27</v>
      </c>
      <c r="N424" s="3">
        <v>13</v>
      </c>
      <c r="O424" s="3">
        <v>3</v>
      </c>
      <c r="P424" s="11">
        <f>Clean_Data[[#This Row],[Quantity]]*Clean_Data[[#This Row],[UnitPrice]]</f>
        <v>1080</v>
      </c>
      <c r="Q424" s="11">
        <f>ROUND(Clean_Data[[#This Row],[GrossSales]]*Clean_Data[[#This Row],[DiscountPct]],2)</f>
        <v>0</v>
      </c>
      <c r="R424" s="11">
        <f>IF(Clean_Data[[#This Row],[Status]]="Delivered",ROUND(Clean_Data[[#This Row],[GrossSales]]-Clean_Data[[#This Row],[DiscountAmount]],2),0)</f>
        <v>1080</v>
      </c>
      <c r="S424" s="3" t="str">
        <f>IF(Clean_Data[[#This Row],[OrderHour]]&lt;6,"Night",IF(Clean_Data[[#This Row],[OrderHour]]&lt;12,"Morning",IF(Clean_Data[[#This Row],[OrderHour]]&lt;18,"Afternoon","Evening")))</f>
        <v>Evening</v>
      </c>
      <c r="T424" s="3" t="str">
        <f>TEXT(Clean_Data[[#This Row],[OrderDate]],"[$-409]ddd")</f>
        <v>Tue</v>
      </c>
      <c r="U424" s="3">
        <f>WEEKDAY(Clean_Data[[#This Row],[OrderDate]],2)</f>
        <v>2</v>
      </c>
      <c r="V424" s="3">
        <f>INT(Clean_Data[[#This Row],[OrderHour]]/6)+1</f>
        <v>4</v>
      </c>
      <c r="W424" s="3">
        <f>IF(Clean_Data[[#This Row],[Status]]="Delivered",1,0)</f>
        <v>1</v>
      </c>
      <c r="X424" s="3">
        <f>IF(Clean_Data[[#This Row],[Status]]="Delivered",IF(Clean_Data[[#This Row],[DeliveryMinutes]]&lt;=Dashboard!$X$5,1,0),0)</f>
        <v>1</v>
      </c>
      <c r="Y4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4" s="3">
        <f>IF(AND(Clean_Data[[#This Row],[Include]]=1,Clean_Data[[#This Row],[DeliveredFlag]]=1),1,0)</f>
        <v>1</v>
      </c>
      <c r="AA424" s="1">
        <f>IF(COUNTIF($D$2:D424,D424)=1,ROW()-1,ROWS(Clean_Data[OrderID])+1)</f>
        <v>901</v>
      </c>
      <c r="AB424" s="1">
        <f>IF(COUNTIF($F$2:F424,F424)=1,ROW()-1,ROWS(Clean_Data[OrderID])+1)</f>
        <v>901</v>
      </c>
      <c r="AC424" s="1">
        <f>IF(COUNTIF($G$2:G424,G424)=1,ROW()-1,ROWS(Clean_Data[OrderID])+1)</f>
        <v>901</v>
      </c>
      <c r="AD424" s="1">
        <f>IF(COUNTIF($H$2:H424,H424)=1,ROW()-1,ROWS(Clean_Data[OrderID])+1)</f>
        <v>901</v>
      </c>
      <c r="AE424" s="1">
        <f>IF(COUNTIF($V$2:V424,V424)=1,V424,ROWS(Clean_Data[OrderID])+1)</f>
        <v>901</v>
      </c>
      <c r="AF424" s="1">
        <f>IF(COUNTIF($U$2:U424,U424)=1,U424,ROWS(Clean_Data[OrderID])+1)</f>
        <v>901</v>
      </c>
      <c r="AG424" s="1">
        <f>IF(COUNTIF($E$2:E424,E424)=1,ROW()-1,ROWS(Clean_Data[OrderID])+1)</f>
        <v>901</v>
      </c>
    </row>
    <row r="425" spans="1:33" ht="20" customHeight="1">
      <c r="A425" s="3" t="s">
        <v>779</v>
      </c>
      <c r="B425" s="2">
        <v>46280</v>
      </c>
      <c r="C425" s="3">
        <v>19</v>
      </c>
      <c r="D425" s="3" t="s">
        <v>780</v>
      </c>
      <c r="E425" s="3" t="s">
        <v>91</v>
      </c>
      <c r="F425" s="3" t="s">
        <v>92</v>
      </c>
      <c r="G425" s="3" t="s">
        <v>110</v>
      </c>
      <c r="H425" s="3" t="s">
        <v>206</v>
      </c>
      <c r="I425" s="3">
        <v>3</v>
      </c>
      <c r="J425" s="11">
        <v>220</v>
      </c>
      <c r="K425" s="4">
        <v>0.15</v>
      </c>
      <c r="L425" s="3" t="s">
        <v>101</v>
      </c>
      <c r="M425" s="3"/>
      <c r="N425" s="3"/>
      <c r="O425" s="3"/>
      <c r="P425" s="11">
        <f>Clean_Data[[#This Row],[Quantity]]*Clean_Data[[#This Row],[UnitPrice]]</f>
        <v>660</v>
      </c>
      <c r="Q425" s="11">
        <f>ROUND(Clean_Data[[#This Row],[GrossSales]]*Clean_Data[[#This Row],[DiscountPct]],2)</f>
        <v>99</v>
      </c>
      <c r="R425" s="11">
        <f>IF(Clean_Data[[#This Row],[Status]]="Delivered",ROUND(Clean_Data[[#This Row],[GrossSales]]-Clean_Data[[#This Row],[DiscountAmount]],2),0)</f>
        <v>0</v>
      </c>
      <c r="S425" s="3" t="str">
        <f>IF(Clean_Data[[#This Row],[OrderHour]]&lt;6,"Night",IF(Clean_Data[[#This Row],[OrderHour]]&lt;12,"Morning",IF(Clean_Data[[#This Row],[OrderHour]]&lt;18,"Afternoon","Evening")))</f>
        <v>Evening</v>
      </c>
      <c r="T425" s="3" t="str">
        <f>TEXT(Clean_Data[[#This Row],[OrderDate]],"[$-409]ddd")</f>
        <v>Tue</v>
      </c>
      <c r="U425" s="3">
        <f>WEEKDAY(Clean_Data[[#This Row],[OrderDate]],2)</f>
        <v>2</v>
      </c>
      <c r="V425" s="3">
        <f>INT(Clean_Data[[#This Row],[OrderHour]]/6)+1</f>
        <v>4</v>
      </c>
      <c r="W425" s="3">
        <f>IF(Clean_Data[[#This Row],[Status]]="Delivered",1,0)</f>
        <v>0</v>
      </c>
      <c r="X425" s="3">
        <f>IF(Clean_Data[[#This Row],[Status]]="Delivered",IF(Clean_Data[[#This Row],[DeliveryMinutes]]&lt;=Dashboard!$X$5,1,0),0)</f>
        <v>0</v>
      </c>
      <c r="Y4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5" s="3">
        <f>IF(AND(Clean_Data[[#This Row],[Include]]=1,Clean_Data[[#This Row],[DeliveredFlag]]=1),1,0)</f>
        <v>0</v>
      </c>
      <c r="AA425" s="1">
        <f>IF(COUNTIF($D$2:D425,D425)=1,ROW()-1,ROWS(Clean_Data[OrderID])+1)</f>
        <v>424</v>
      </c>
      <c r="AB425" s="1">
        <f>IF(COUNTIF($F$2:F425,F425)=1,ROW()-1,ROWS(Clean_Data[OrderID])+1)</f>
        <v>901</v>
      </c>
      <c r="AC425" s="1">
        <f>IF(COUNTIF($G$2:G425,G425)=1,ROW()-1,ROWS(Clean_Data[OrderID])+1)</f>
        <v>901</v>
      </c>
      <c r="AD425" s="1">
        <f>IF(COUNTIF($H$2:H425,H425)=1,ROW()-1,ROWS(Clean_Data[OrderID])+1)</f>
        <v>901</v>
      </c>
      <c r="AE425" s="1">
        <f>IF(COUNTIF($V$2:V425,V425)=1,V425,ROWS(Clean_Data[OrderID])+1)</f>
        <v>901</v>
      </c>
      <c r="AF425" s="1">
        <f>IF(COUNTIF($U$2:U425,U425)=1,U425,ROWS(Clean_Data[OrderID])+1)</f>
        <v>901</v>
      </c>
      <c r="AG425" s="1">
        <f>IF(COUNTIF($E$2:E425,E425)=1,ROW()-1,ROWS(Clean_Data[OrderID])+1)</f>
        <v>901</v>
      </c>
    </row>
    <row r="426" spans="1:33" ht="20" customHeight="1">
      <c r="A426" s="3" t="s">
        <v>781</v>
      </c>
      <c r="B426" s="2">
        <v>46280</v>
      </c>
      <c r="C426" s="3">
        <v>22</v>
      </c>
      <c r="D426" s="3" t="s">
        <v>161</v>
      </c>
      <c r="E426" s="3" t="s">
        <v>91</v>
      </c>
      <c r="F426" s="3" t="s">
        <v>98</v>
      </c>
      <c r="G426" s="3" t="s">
        <v>93</v>
      </c>
      <c r="H426" s="3" t="s">
        <v>94</v>
      </c>
      <c r="I426" s="3">
        <v>2</v>
      </c>
      <c r="J426" s="11">
        <v>95</v>
      </c>
      <c r="K426" s="4">
        <v>0</v>
      </c>
      <c r="L426" s="3" t="s">
        <v>95</v>
      </c>
      <c r="M426" s="3">
        <v>31</v>
      </c>
      <c r="N426" s="3">
        <v>7</v>
      </c>
      <c r="O426" s="3">
        <v>4</v>
      </c>
      <c r="P426" s="11">
        <f>Clean_Data[[#This Row],[Quantity]]*Clean_Data[[#This Row],[UnitPrice]]</f>
        <v>190</v>
      </c>
      <c r="Q426" s="11">
        <f>ROUND(Clean_Data[[#This Row],[GrossSales]]*Clean_Data[[#This Row],[DiscountPct]],2)</f>
        <v>0</v>
      </c>
      <c r="R426" s="11">
        <f>IF(Clean_Data[[#This Row],[Status]]="Delivered",ROUND(Clean_Data[[#This Row],[GrossSales]]-Clean_Data[[#This Row],[DiscountAmount]],2),0)</f>
        <v>190</v>
      </c>
      <c r="S426" s="3" t="str">
        <f>IF(Clean_Data[[#This Row],[OrderHour]]&lt;6,"Night",IF(Clean_Data[[#This Row],[OrderHour]]&lt;12,"Morning",IF(Clean_Data[[#This Row],[OrderHour]]&lt;18,"Afternoon","Evening")))</f>
        <v>Evening</v>
      </c>
      <c r="T426" s="3" t="str">
        <f>TEXT(Clean_Data[[#This Row],[OrderDate]],"[$-409]ddd")</f>
        <v>Tue</v>
      </c>
      <c r="U426" s="3">
        <f>WEEKDAY(Clean_Data[[#This Row],[OrderDate]],2)</f>
        <v>2</v>
      </c>
      <c r="V426" s="3">
        <f>INT(Clean_Data[[#This Row],[OrderHour]]/6)+1</f>
        <v>4</v>
      </c>
      <c r="W426" s="3">
        <f>IF(Clean_Data[[#This Row],[Status]]="Delivered",1,0)</f>
        <v>1</v>
      </c>
      <c r="X426" s="3">
        <f>IF(Clean_Data[[#This Row],[Status]]="Delivered",IF(Clean_Data[[#This Row],[DeliveryMinutes]]&lt;=Dashboard!$X$5,1,0),0)</f>
        <v>0</v>
      </c>
      <c r="Y4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6" s="3">
        <f>IF(AND(Clean_Data[[#This Row],[Include]]=1,Clean_Data[[#This Row],[DeliveredFlag]]=1),1,0)</f>
        <v>1</v>
      </c>
      <c r="AA426" s="1">
        <f>IF(COUNTIF($D$2:D426,D426)=1,ROW()-1,ROWS(Clean_Data[OrderID])+1)</f>
        <v>901</v>
      </c>
      <c r="AB426" s="1">
        <f>IF(COUNTIF($F$2:F426,F426)=1,ROW()-1,ROWS(Clean_Data[OrderID])+1)</f>
        <v>901</v>
      </c>
      <c r="AC426" s="1">
        <f>IF(COUNTIF($G$2:G426,G426)=1,ROW()-1,ROWS(Clean_Data[OrderID])+1)</f>
        <v>901</v>
      </c>
      <c r="AD426" s="1">
        <f>IF(COUNTIF($H$2:H426,H426)=1,ROW()-1,ROWS(Clean_Data[OrderID])+1)</f>
        <v>901</v>
      </c>
      <c r="AE426" s="1">
        <f>IF(COUNTIF($V$2:V426,V426)=1,V426,ROWS(Clean_Data[OrderID])+1)</f>
        <v>901</v>
      </c>
      <c r="AF426" s="1">
        <f>IF(COUNTIF($U$2:U426,U426)=1,U426,ROWS(Clean_Data[OrderID])+1)</f>
        <v>901</v>
      </c>
      <c r="AG426" s="1">
        <f>IF(COUNTIF($E$2:E426,E426)=1,ROW()-1,ROWS(Clean_Data[OrderID])+1)</f>
        <v>901</v>
      </c>
    </row>
    <row r="427" spans="1:33" ht="20" customHeight="1">
      <c r="A427" s="3" t="s">
        <v>782</v>
      </c>
      <c r="B427" s="2">
        <v>46280</v>
      </c>
      <c r="C427" s="3">
        <v>9</v>
      </c>
      <c r="D427" s="3" t="s">
        <v>624</v>
      </c>
      <c r="E427" s="3" t="s">
        <v>91</v>
      </c>
      <c r="F427" s="3" t="s">
        <v>109</v>
      </c>
      <c r="G427" s="3" t="s">
        <v>122</v>
      </c>
      <c r="H427" s="3" t="s">
        <v>214</v>
      </c>
      <c r="I427" s="3">
        <v>4</v>
      </c>
      <c r="J427" s="11">
        <v>55</v>
      </c>
      <c r="K427" s="4">
        <v>0</v>
      </c>
      <c r="L427" s="3" t="s">
        <v>95</v>
      </c>
      <c r="M427" s="3">
        <v>32</v>
      </c>
      <c r="N427" s="3">
        <v>11</v>
      </c>
      <c r="O427" s="3">
        <v>5</v>
      </c>
      <c r="P427" s="11">
        <f>Clean_Data[[#This Row],[Quantity]]*Clean_Data[[#This Row],[UnitPrice]]</f>
        <v>220</v>
      </c>
      <c r="Q427" s="11">
        <f>ROUND(Clean_Data[[#This Row],[GrossSales]]*Clean_Data[[#This Row],[DiscountPct]],2)</f>
        <v>0</v>
      </c>
      <c r="R427" s="11">
        <f>IF(Clean_Data[[#This Row],[Status]]="Delivered",ROUND(Clean_Data[[#This Row],[GrossSales]]-Clean_Data[[#This Row],[DiscountAmount]],2),0)</f>
        <v>220</v>
      </c>
      <c r="S427" s="3" t="str">
        <f>IF(Clean_Data[[#This Row],[OrderHour]]&lt;6,"Night",IF(Clean_Data[[#This Row],[OrderHour]]&lt;12,"Morning",IF(Clean_Data[[#This Row],[OrderHour]]&lt;18,"Afternoon","Evening")))</f>
        <v>Morning</v>
      </c>
      <c r="T427" s="3" t="str">
        <f>TEXT(Clean_Data[[#This Row],[OrderDate]],"[$-409]ddd")</f>
        <v>Tue</v>
      </c>
      <c r="U427" s="3">
        <f>WEEKDAY(Clean_Data[[#This Row],[OrderDate]],2)</f>
        <v>2</v>
      </c>
      <c r="V427" s="3">
        <f>INT(Clean_Data[[#This Row],[OrderHour]]/6)+1</f>
        <v>2</v>
      </c>
      <c r="W427" s="3">
        <f>IF(Clean_Data[[#This Row],[Status]]="Delivered",1,0)</f>
        <v>1</v>
      </c>
      <c r="X427" s="3">
        <f>IF(Clean_Data[[#This Row],[Status]]="Delivered",IF(Clean_Data[[#This Row],[DeliveryMinutes]]&lt;=Dashboard!$X$5,1,0),0)</f>
        <v>0</v>
      </c>
      <c r="Y4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7" s="3">
        <f>IF(AND(Clean_Data[[#This Row],[Include]]=1,Clean_Data[[#This Row],[DeliveredFlag]]=1),1,0)</f>
        <v>1</v>
      </c>
      <c r="AA427" s="1">
        <f>IF(COUNTIF($D$2:D427,D427)=1,ROW()-1,ROWS(Clean_Data[OrderID])+1)</f>
        <v>901</v>
      </c>
      <c r="AB427" s="1">
        <f>IF(COUNTIF($F$2:F427,F427)=1,ROW()-1,ROWS(Clean_Data[OrderID])+1)</f>
        <v>901</v>
      </c>
      <c r="AC427" s="1">
        <f>IF(COUNTIF($G$2:G427,G427)=1,ROW()-1,ROWS(Clean_Data[OrderID])+1)</f>
        <v>901</v>
      </c>
      <c r="AD427" s="1">
        <f>IF(COUNTIF($H$2:H427,H427)=1,ROW()-1,ROWS(Clean_Data[OrderID])+1)</f>
        <v>901</v>
      </c>
      <c r="AE427" s="1">
        <f>IF(COUNTIF($V$2:V427,V427)=1,V427,ROWS(Clean_Data[OrderID])+1)</f>
        <v>901</v>
      </c>
      <c r="AF427" s="1">
        <f>IF(COUNTIF($U$2:U427,U427)=1,U427,ROWS(Clean_Data[OrderID])+1)</f>
        <v>901</v>
      </c>
      <c r="AG427" s="1">
        <f>IF(COUNTIF($E$2:E427,E427)=1,ROW()-1,ROWS(Clean_Data[OrderID])+1)</f>
        <v>901</v>
      </c>
    </row>
    <row r="428" spans="1:33" ht="20" customHeight="1">
      <c r="A428" s="3" t="s">
        <v>783</v>
      </c>
      <c r="B428" s="2">
        <v>46280</v>
      </c>
      <c r="C428" s="3">
        <v>20</v>
      </c>
      <c r="D428" s="3" t="s">
        <v>693</v>
      </c>
      <c r="E428" s="3" t="s">
        <v>91</v>
      </c>
      <c r="F428" s="3" t="s">
        <v>121</v>
      </c>
      <c r="G428" s="3" t="s">
        <v>122</v>
      </c>
      <c r="H428" s="3" t="s">
        <v>153</v>
      </c>
      <c r="I428" s="3">
        <v>2</v>
      </c>
      <c r="J428" s="11">
        <v>130</v>
      </c>
      <c r="K428" s="4">
        <v>0</v>
      </c>
      <c r="L428" s="3" t="s">
        <v>95</v>
      </c>
      <c r="M428" s="3">
        <v>14</v>
      </c>
      <c r="N428" s="3">
        <v>7</v>
      </c>
      <c r="O428" s="3">
        <v>4</v>
      </c>
      <c r="P428" s="11">
        <f>Clean_Data[[#This Row],[Quantity]]*Clean_Data[[#This Row],[UnitPrice]]</f>
        <v>260</v>
      </c>
      <c r="Q428" s="11">
        <f>ROUND(Clean_Data[[#This Row],[GrossSales]]*Clean_Data[[#This Row],[DiscountPct]],2)</f>
        <v>0</v>
      </c>
      <c r="R428" s="11">
        <f>IF(Clean_Data[[#This Row],[Status]]="Delivered",ROUND(Clean_Data[[#This Row],[GrossSales]]-Clean_Data[[#This Row],[DiscountAmount]],2),0)</f>
        <v>260</v>
      </c>
      <c r="S428" s="3" t="str">
        <f>IF(Clean_Data[[#This Row],[OrderHour]]&lt;6,"Night",IF(Clean_Data[[#This Row],[OrderHour]]&lt;12,"Morning",IF(Clean_Data[[#This Row],[OrderHour]]&lt;18,"Afternoon","Evening")))</f>
        <v>Evening</v>
      </c>
      <c r="T428" s="3" t="str">
        <f>TEXT(Clean_Data[[#This Row],[OrderDate]],"[$-409]ddd")</f>
        <v>Tue</v>
      </c>
      <c r="U428" s="3">
        <f>WEEKDAY(Clean_Data[[#This Row],[OrderDate]],2)</f>
        <v>2</v>
      </c>
      <c r="V428" s="3">
        <f>INT(Clean_Data[[#This Row],[OrderHour]]/6)+1</f>
        <v>4</v>
      </c>
      <c r="W428" s="3">
        <f>IF(Clean_Data[[#This Row],[Status]]="Delivered",1,0)</f>
        <v>1</v>
      </c>
      <c r="X428" s="3">
        <f>IF(Clean_Data[[#This Row],[Status]]="Delivered",IF(Clean_Data[[#This Row],[DeliveryMinutes]]&lt;=Dashboard!$X$5,1,0),0)</f>
        <v>1</v>
      </c>
      <c r="Y4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8" s="3">
        <f>IF(AND(Clean_Data[[#This Row],[Include]]=1,Clean_Data[[#This Row],[DeliveredFlag]]=1),1,0)</f>
        <v>1</v>
      </c>
      <c r="AA428" s="1">
        <f>IF(COUNTIF($D$2:D428,D428)=1,ROW()-1,ROWS(Clean_Data[OrderID])+1)</f>
        <v>901</v>
      </c>
      <c r="AB428" s="1">
        <f>IF(COUNTIF($F$2:F428,F428)=1,ROW()-1,ROWS(Clean_Data[OrderID])+1)</f>
        <v>901</v>
      </c>
      <c r="AC428" s="1">
        <f>IF(COUNTIF($G$2:G428,G428)=1,ROW()-1,ROWS(Clean_Data[OrderID])+1)</f>
        <v>901</v>
      </c>
      <c r="AD428" s="1">
        <f>IF(COUNTIF($H$2:H428,H428)=1,ROW()-1,ROWS(Clean_Data[OrderID])+1)</f>
        <v>901</v>
      </c>
      <c r="AE428" s="1">
        <f>IF(COUNTIF($V$2:V428,V428)=1,V428,ROWS(Clean_Data[OrderID])+1)</f>
        <v>901</v>
      </c>
      <c r="AF428" s="1">
        <f>IF(COUNTIF($U$2:U428,U428)=1,U428,ROWS(Clean_Data[OrderID])+1)</f>
        <v>901</v>
      </c>
      <c r="AG428" s="1">
        <f>IF(COUNTIF($E$2:E428,E428)=1,ROW()-1,ROWS(Clean_Data[OrderID])+1)</f>
        <v>901</v>
      </c>
    </row>
    <row r="429" spans="1:33" ht="20" customHeight="1">
      <c r="A429" s="3" t="s">
        <v>784</v>
      </c>
      <c r="B429" s="2">
        <v>46280</v>
      </c>
      <c r="C429" s="3">
        <v>18</v>
      </c>
      <c r="D429" s="3" t="s">
        <v>434</v>
      </c>
      <c r="E429" s="3" t="s">
        <v>91</v>
      </c>
      <c r="F429" s="3" t="s">
        <v>109</v>
      </c>
      <c r="G429" s="3" t="s">
        <v>174</v>
      </c>
      <c r="H429" s="3" t="s">
        <v>184</v>
      </c>
      <c r="I429" s="3">
        <v>6</v>
      </c>
      <c r="J429" s="11">
        <v>62</v>
      </c>
      <c r="K429" s="4">
        <v>0</v>
      </c>
      <c r="L429" s="3" t="s">
        <v>95</v>
      </c>
      <c r="M429" s="3">
        <v>26</v>
      </c>
      <c r="N429" s="3">
        <v>9</v>
      </c>
      <c r="O429" s="3">
        <v>4</v>
      </c>
      <c r="P429" s="11">
        <f>Clean_Data[[#This Row],[Quantity]]*Clean_Data[[#This Row],[UnitPrice]]</f>
        <v>372</v>
      </c>
      <c r="Q429" s="11">
        <f>ROUND(Clean_Data[[#This Row],[GrossSales]]*Clean_Data[[#This Row],[DiscountPct]],2)</f>
        <v>0</v>
      </c>
      <c r="R429" s="11">
        <f>IF(Clean_Data[[#This Row],[Status]]="Delivered",ROUND(Clean_Data[[#This Row],[GrossSales]]-Clean_Data[[#This Row],[DiscountAmount]],2),0)</f>
        <v>372</v>
      </c>
      <c r="S429" s="3" t="str">
        <f>IF(Clean_Data[[#This Row],[OrderHour]]&lt;6,"Night",IF(Clean_Data[[#This Row],[OrderHour]]&lt;12,"Morning",IF(Clean_Data[[#This Row],[OrderHour]]&lt;18,"Afternoon","Evening")))</f>
        <v>Evening</v>
      </c>
      <c r="T429" s="3" t="str">
        <f>TEXT(Clean_Data[[#This Row],[OrderDate]],"[$-409]ddd")</f>
        <v>Tue</v>
      </c>
      <c r="U429" s="3">
        <f>WEEKDAY(Clean_Data[[#This Row],[OrderDate]],2)</f>
        <v>2</v>
      </c>
      <c r="V429" s="3">
        <f>INT(Clean_Data[[#This Row],[OrderHour]]/6)+1</f>
        <v>4</v>
      </c>
      <c r="W429" s="3">
        <f>IF(Clean_Data[[#This Row],[Status]]="Delivered",1,0)</f>
        <v>1</v>
      </c>
      <c r="X429" s="3">
        <f>IF(Clean_Data[[#This Row],[Status]]="Delivered",IF(Clean_Data[[#This Row],[DeliveryMinutes]]&lt;=Dashboard!$X$5,1,0),0)</f>
        <v>1</v>
      </c>
      <c r="Y4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29" s="3">
        <f>IF(AND(Clean_Data[[#This Row],[Include]]=1,Clean_Data[[#This Row],[DeliveredFlag]]=1),1,0)</f>
        <v>1</v>
      </c>
      <c r="AA429" s="1">
        <f>IF(COUNTIF($D$2:D429,D429)=1,ROW()-1,ROWS(Clean_Data[OrderID])+1)</f>
        <v>901</v>
      </c>
      <c r="AB429" s="1">
        <f>IF(COUNTIF($F$2:F429,F429)=1,ROW()-1,ROWS(Clean_Data[OrderID])+1)</f>
        <v>901</v>
      </c>
      <c r="AC429" s="1">
        <f>IF(COUNTIF($G$2:G429,G429)=1,ROW()-1,ROWS(Clean_Data[OrderID])+1)</f>
        <v>901</v>
      </c>
      <c r="AD429" s="1">
        <f>IF(COUNTIF($H$2:H429,H429)=1,ROW()-1,ROWS(Clean_Data[OrderID])+1)</f>
        <v>901</v>
      </c>
      <c r="AE429" s="1">
        <f>IF(COUNTIF($V$2:V429,V429)=1,V429,ROWS(Clean_Data[OrderID])+1)</f>
        <v>901</v>
      </c>
      <c r="AF429" s="1">
        <f>IF(COUNTIF($U$2:U429,U429)=1,U429,ROWS(Clean_Data[OrderID])+1)</f>
        <v>901</v>
      </c>
      <c r="AG429" s="1">
        <f>IF(COUNTIF($E$2:E429,E429)=1,ROW()-1,ROWS(Clean_Data[OrderID])+1)</f>
        <v>901</v>
      </c>
    </row>
    <row r="430" spans="1:33" ht="20" customHeight="1">
      <c r="A430" s="3" t="s">
        <v>785</v>
      </c>
      <c r="B430" s="2">
        <v>46280</v>
      </c>
      <c r="C430" s="3">
        <v>23</v>
      </c>
      <c r="D430" s="3" t="s">
        <v>340</v>
      </c>
      <c r="E430" s="3" t="s">
        <v>91</v>
      </c>
      <c r="F430" s="3" t="s">
        <v>109</v>
      </c>
      <c r="G430" s="3" t="s">
        <v>122</v>
      </c>
      <c r="H430" s="3" t="s">
        <v>123</v>
      </c>
      <c r="I430" s="3">
        <v>1</v>
      </c>
      <c r="J430" s="11">
        <v>45</v>
      </c>
      <c r="K430" s="4">
        <v>0</v>
      </c>
      <c r="L430" s="3" t="s">
        <v>95</v>
      </c>
      <c r="M430" s="3">
        <v>32</v>
      </c>
      <c r="N430" s="3">
        <v>9</v>
      </c>
      <c r="O430" s="3">
        <v>5</v>
      </c>
      <c r="P430" s="11">
        <f>Clean_Data[[#This Row],[Quantity]]*Clean_Data[[#This Row],[UnitPrice]]</f>
        <v>45</v>
      </c>
      <c r="Q430" s="11">
        <f>ROUND(Clean_Data[[#This Row],[GrossSales]]*Clean_Data[[#This Row],[DiscountPct]],2)</f>
        <v>0</v>
      </c>
      <c r="R430" s="11">
        <f>IF(Clean_Data[[#This Row],[Status]]="Delivered",ROUND(Clean_Data[[#This Row],[GrossSales]]-Clean_Data[[#This Row],[DiscountAmount]],2),0)</f>
        <v>45</v>
      </c>
      <c r="S430" s="3" t="str">
        <f>IF(Clean_Data[[#This Row],[OrderHour]]&lt;6,"Night",IF(Clean_Data[[#This Row],[OrderHour]]&lt;12,"Morning",IF(Clean_Data[[#This Row],[OrderHour]]&lt;18,"Afternoon","Evening")))</f>
        <v>Evening</v>
      </c>
      <c r="T430" s="3" t="str">
        <f>TEXT(Clean_Data[[#This Row],[OrderDate]],"[$-409]ddd")</f>
        <v>Tue</v>
      </c>
      <c r="U430" s="3">
        <f>WEEKDAY(Clean_Data[[#This Row],[OrderDate]],2)</f>
        <v>2</v>
      </c>
      <c r="V430" s="3">
        <f>INT(Clean_Data[[#This Row],[OrderHour]]/6)+1</f>
        <v>4</v>
      </c>
      <c r="W430" s="3">
        <f>IF(Clean_Data[[#This Row],[Status]]="Delivered",1,0)</f>
        <v>1</v>
      </c>
      <c r="X430" s="3">
        <f>IF(Clean_Data[[#This Row],[Status]]="Delivered",IF(Clean_Data[[#This Row],[DeliveryMinutes]]&lt;=Dashboard!$X$5,1,0),0)</f>
        <v>0</v>
      </c>
      <c r="Y4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0" s="3">
        <f>IF(AND(Clean_Data[[#This Row],[Include]]=1,Clean_Data[[#This Row],[DeliveredFlag]]=1),1,0)</f>
        <v>1</v>
      </c>
      <c r="AA430" s="1">
        <f>IF(COUNTIF($D$2:D430,D430)=1,ROW()-1,ROWS(Clean_Data[OrderID])+1)</f>
        <v>901</v>
      </c>
      <c r="AB430" s="1">
        <f>IF(COUNTIF($F$2:F430,F430)=1,ROW()-1,ROWS(Clean_Data[OrderID])+1)</f>
        <v>901</v>
      </c>
      <c r="AC430" s="1">
        <f>IF(COUNTIF($G$2:G430,G430)=1,ROW()-1,ROWS(Clean_Data[OrderID])+1)</f>
        <v>901</v>
      </c>
      <c r="AD430" s="1">
        <f>IF(COUNTIF($H$2:H430,H430)=1,ROW()-1,ROWS(Clean_Data[OrderID])+1)</f>
        <v>901</v>
      </c>
      <c r="AE430" s="1">
        <f>IF(COUNTIF($V$2:V430,V430)=1,V430,ROWS(Clean_Data[OrderID])+1)</f>
        <v>901</v>
      </c>
      <c r="AF430" s="1">
        <f>IF(COUNTIF($U$2:U430,U430)=1,U430,ROWS(Clean_Data[OrderID])+1)</f>
        <v>901</v>
      </c>
      <c r="AG430" s="1">
        <f>IF(COUNTIF($E$2:E430,E430)=1,ROW()-1,ROWS(Clean_Data[OrderID])+1)</f>
        <v>901</v>
      </c>
    </row>
    <row r="431" spans="1:33" ht="20" customHeight="1">
      <c r="A431" s="3" t="s">
        <v>786</v>
      </c>
      <c r="B431" s="2">
        <v>46280</v>
      </c>
      <c r="C431" s="3">
        <v>15</v>
      </c>
      <c r="D431" s="3" t="s">
        <v>108</v>
      </c>
      <c r="E431" s="3" t="s">
        <v>91</v>
      </c>
      <c r="F431" s="3" t="s">
        <v>139</v>
      </c>
      <c r="G431" s="3" t="s">
        <v>99</v>
      </c>
      <c r="H431" s="3" t="s">
        <v>130</v>
      </c>
      <c r="I431" s="3">
        <v>1</v>
      </c>
      <c r="J431" s="11">
        <v>85</v>
      </c>
      <c r="K431" s="4">
        <v>0</v>
      </c>
      <c r="L431" s="3" t="s">
        <v>101</v>
      </c>
      <c r="M431" s="3"/>
      <c r="N431" s="3"/>
      <c r="O431" s="3"/>
      <c r="P431" s="11">
        <f>Clean_Data[[#This Row],[Quantity]]*Clean_Data[[#This Row],[UnitPrice]]</f>
        <v>85</v>
      </c>
      <c r="Q431" s="11">
        <f>ROUND(Clean_Data[[#This Row],[GrossSales]]*Clean_Data[[#This Row],[DiscountPct]],2)</f>
        <v>0</v>
      </c>
      <c r="R431" s="11">
        <f>IF(Clean_Data[[#This Row],[Status]]="Delivered",ROUND(Clean_Data[[#This Row],[GrossSales]]-Clean_Data[[#This Row],[DiscountAmount]],2),0)</f>
        <v>0</v>
      </c>
      <c r="S431" s="3" t="str">
        <f>IF(Clean_Data[[#This Row],[OrderHour]]&lt;6,"Night",IF(Clean_Data[[#This Row],[OrderHour]]&lt;12,"Morning",IF(Clean_Data[[#This Row],[OrderHour]]&lt;18,"Afternoon","Evening")))</f>
        <v>Afternoon</v>
      </c>
      <c r="T431" s="3" t="str">
        <f>TEXT(Clean_Data[[#This Row],[OrderDate]],"[$-409]ddd")</f>
        <v>Tue</v>
      </c>
      <c r="U431" s="3">
        <f>WEEKDAY(Clean_Data[[#This Row],[OrderDate]],2)</f>
        <v>2</v>
      </c>
      <c r="V431" s="3">
        <f>INT(Clean_Data[[#This Row],[OrderHour]]/6)+1</f>
        <v>3</v>
      </c>
      <c r="W431" s="3">
        <f>IF(Clean_Data[[#This Row],[Status]]="Delivered",1,0)</f>
        <v>0</v>
      </c>
      <c r="X431" s="3">
        <f>IF(Clean_Data[[#This Row],[Status]]="Delivered",IF(Clean_Data[[#This Row],[DeliveryMinutes]]&lt;=Dashboard!$X$5,1,0),0)</f>
        <v>0</v>
      </c>
      <c r="Y4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1" s="3">
        <f>IF(AND(Clean_Data[[#This Row],[Include]]=1,Clean_Data[[#This Row],[DeliveredFlag]]=1),1,0)</f>
        <v>0</v>
      </c>
      <c r="AA431" s="1">
        <f>IF(COUNTIF($D$2:D431,D431)=1,ROW()-1,ROWS(Clean_Data[OrderID])+1)</f>
        <v>901</v>
      </c>
      <c r="AB431" s="1">
        <f>IF(COUNTIF($F$2:F431,F431)=1,ROW()-1,ROWS(Clean_Data[OrderID])+1)</f>
        <v>901</v>
      </c>
      <c r="AC431" s="1">
        <f>IF(COUNTIF($G$2:G431,G431)=1,ROW()-1,ROWS(Clean_Data[OrderID])+1)</f>
        <v>901</v>
      </c>
      <c r="AD431" s="1">
        <f>IF(COUNTIF($H$2:H431,H431)=1,ROW()-1,ROWS(Clean_Data[OrderID])+1)</f>
        <v>901</v>
      </c>
      <c r="AE431" s="1">
        <f>IF(COUNTIF($V$2:V431,V431)=1,V431,ROWS(Clean_Data[OrderID])+1)</f>
        <v>901</v>
      </c>
      <c r="AF431" s="1">
        <f>IF(COUNTIF($U$2:U431,U431)=1,U431,ROWS(Clean_Data[OrderID])+1)</f>
        <v>901</v>
      </c>
      <c r="AG431" s="1">
        <f>IF(COUNTIF($E$2:E431,E431)=1,ROW()-1,ROWS(Clean_Data[OrderID])+1)</f>
        <v>901</v>
      </c>
    </row>
    <row r="432" spans="1:33" ht="20" customHeight="1">
      <c r="A432" s="3" t="s">
        <v>787</v>
      </c>
      <c r="B432" s="2">
        <v>46280</v>
      </c>
      <c r="C432" s="3">
        <v>21</v>
      </c>
      <c r="D432" s="3" t="s">
        <v>788</v>
      </c>
      <c r="E432" s="3" t="s">
        <v>91</v>
      </c>
      <c r="F432" s="3" t="s">
        <v>92</v>
      </c>
      <c r="G432" s="3" t="s">
        <v>110</v>
      </c>
      <c r="H432" s="3" t="s">
        <v>114</v>
      </c>
      <c r="I432" s="3">
        <v>5</v>
      </c>
      <c r="J432" s="11">
        <v>145</v>
      </c>
      <c r="K432" s="4">
        <v>0.05</v>
      </c>
      <c r="L432" s="3" t="s">
        <v>95</v>
      </c>
      <c r="M432" s="3">
        <v>21</v>
      </c>
      <c r="N432" s="3">
        <v>10</v>
      </c>
      <c r="O432" s="3">
        <v>4</v>
      </c>
      <c r="P432" s="11">
        <f>Clean_Data[[#This Row],[Quantity]]*Clean_Data[[#This Row],[UnitPrice]]</f>
        <v>725</v>
      </c>
      <c r="Q432" s="11">
        <f>ROUND(Clean_Data[[#This Row],[GrossSales]]*Clean_Data[[#This Row],[DiscountPct]],2)</f>
        <v>36.25</v>
      </c>
      <c r="R432" s="11">
        <f>IF(Clean_Data[[#This Row],[Status]]="Delivered",ROUND(Clean_Data[[#This Row],[GrossSales]]-Clean_Data[[#This Row],[DiscountAmount]],2),0)</f>
        <v>688.75</v>
      </c>
      <c r="S432" s="3" t="str">
        <f>IF(Clean_Data[[#This Row],[OrderHour]]&lt;6,"Night",IF(Clean_Data[[#This Row],[OrderHour]]&lt;12,"Morning",IF(Clean_Data[[#This Row],[OrderHour]]&lt;18,"Afternoon","Evening")))</f>
        <v>Evening</v>
      </c>
      <c r="T432" s="3" t="str">
        <f>TEXT(Clean_Data[[#This Row],[OrderDate]],"[$-409]ddd")</f>
        <v>Tue</v>
      </c>
      <c r="U432" s="3">
        <f>WEEKDAY(Clean_Data[[#This Row],[OrderDate]],2)</f>
        <v>2</v>
      </c>
      <c r="V432" s="3">
        <f>INT(Clean_Data[[#This Row],[OrderHour]]/6)+1</f>
        <v>4</v>
      </c>
      <c r="W432" s="3">
        <f>IF(Clean_Data[[#This Row],[Status]]="Delivered",1,0)</f>
        <v>1</v>
      </c>
      <c r="X432" s="3">
        <f>IF(Clean_Data[[#This Row],[Status]]="Delivered",IF(Clean_Data[[#This Row],[DeliveryMinutes]]&lt;=Dashboard!$X$5,1,0),0)</f>
        <v>1</v>
      </c>
      <c r="Y4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2" s="3">
        <f>IF(AND(Clean_Data[[#This Row],[Include]]=1,Clean_Data[[#This Row],[DeliveredFlag]]=1),1,0)</f>
        <v>1</v>
      </c>
      <c r="AA432" s="1">
        <f>IF(COUNTIF($D$2:D432,D432)=1,ROW()-1,ROWS(Clean_Data[OrderID])+1)</f>
        <v>431</v>
      </c>
      <c r="AB432" s="1">
        <f>IF(COUNTIF($F$2:F432,F432)=1,ROW()-1,ROWS(Clean_Data[OrderID])+1)</f>
        <v>901</v>
      </c>
      <c r="AC432" s="1">
        <f>IF(COUNTIF($G$2:G432,G432)=1,ROW()-1,ROWS(Clean_Data[OrderID])+1)</f>
        <v>901</v>
      </c>
      <c r="AD432" s="1">
        <f>IF(COUNTIF($H$2:H432,H432)=1,ROW()-1,ROWS(Clean_Data[OrderID])+1)</f>
        <v>901</v>
      </c>
      <c r="AE432" s="1">
        <f>IF(COUNTIF($V$2:V432,V432)=1,V432,ROWS(Clean_Data[OrderID])+1)</f>
        <v>901</v>
      </c>
      <c r="AF432" s="1">
        <f>IF(COUNTIF($U$2:U432,U432)=1,U432,ROWS(Clean_Data[OrderID])+1)</f>
        <v>901</v>
      </c>
      <c r="AG432" s="1">
        <f>IF(COUNTIF($E$2:E432,E432)=1,ROW()-1,ROWS(Clean_Data[OrderID])+1)</f>
        <v>901</v>
      </c>
    </row>
    <row r="433" spans="1:33" ht="20" customHeight="1">
      <c r="A433" s="3" t="s">
        <v>789</v>
      </c>
      <c r="B433" s="2">
        <v>46280</v>
      </c>
      <c r="C433" s="3">
        <v>11</v>
      </c>
      <c r="D433" s="3" t="s">
        <v>615</v>
      </c>
      <c r="E433" s="3" t="s">
        <v>91</v>
      </c>
      <c r="F433" s="3" t="s">
        <v>92</v>
      </c>
      <c r="G433" s="3" t="s">
        <v>93</v>
      </c>
      <c r="H433" s="3" t="s">
        <v>146</v>
      </c>
      <c r="I433" s="3">
        <v>5</v>
      </c>
      <c r="J433" s="11">
        <v>110</v>
      </c>
      <c r="K433" s="4">
        <v>0.15</v>
      </c>
      <c r="L433" s="3" t="s">
        <v>95</v>
      </c>
      <c r="M433" s="3">
        <v>15</v>
      </c>
      <c r="N433" s="3">
        <v>6</v>
      </c>
      <c r="O433" s="3">
        <v>4</v>
      </c>
      <c r="P433" s="11">
        <f>Clean_Data[[#This Row],[Quantity]]*Clean_Data[[#This Row],[UnitPrice]]</f>
        <v>550</v>
      </c>
      <c r="Q433" s="11">
        <f>ROUND(Clean_Data[[#This Row],[GrossSales]]*Clean_Data[[#This Row],[DiscountPct]],2)</f>
        <v>82.5</v>
      </c>
      <c r="R433" s="11">
        <f>IF(Clean_Data[[#This Row],[Status]]="Delivered",ROUND(Clean_Data[[#This Row],[GrossSales]]-Clean_Data[[#This Row],[DiscountAmount]],2),0)</f>
        <v>467.5</v>
      </c>
      <c r="S433" s="3" t="str">
        <f>IF(Clean_Data[[#This Row],[OrderHour]]&lt;6,"Night",IF(Clean_Data[[#This Row],[OrderHour]]&lt;12,"Morning",IF(Clean_Data[[#This Row],[OrderHour]]&lt;18,"Afternoon","Evening")))</f>
        <v>Morning</v>
      </c>
      <c r="T433" s="3" t="str">
        <f>TEXT(Clean_Data[[#This Row],[OrderDate]],"[$-409]ddd")</f>
        <v>Tue</v>
      </c>
      <c r="U433" s="3">
        <f>WEEKDAY(Clean_Data[[#This Row],[OrderDate]],2)</f>
        <v>2</v>
      </c>
      <c r="V433" s="3">
        <f>INT(Clean_Data[[#This Row],[OrderHour]]/6)+1</f>
        <v>2</v>
      </c>
      <c r="W433" s="3">
        <f>IF(Clean_Data[[#This Row],[Status]]="Delivered",1,0)</f>
        <v>1</v>
      </c>
      <c r="X433" s="3">
        <f>IF(Clean_Data[[#This Row],[Status]]="Delivered",IF(Clean_Data[[#This Row],[DeliveryMinutes]]&lt;=Dashboard!$X$5,1,0),0)</f>
        <v>1</v>
      </c>
      <c r="Y4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3" s="3">
        <f>IF(AND(Clean_Data[[#This Row],[Include]]=1,Clean_Data[[#This Row],[DeliveredFlag]]=1),1,0)</f>
        <v>1</v>
      </c>
      <c r="AA433" s="1">
        <f>IF(COUNTIF($D$2:D433,D433)=1,ROW()-1,ROWS(Clean_Data[OrderID])+1)</f>
        <v>901</v>
      </c>
      <c r="AB433" s="1">
        <f>IF(COUNTIF($F$2:F433,F433)=1,ROW()-1,ROWS(Clean_Data[OrderID])+1)</f>
        <v>901</v>
      </c>
      <c r="AC433" s="1">
        <f>IF(COUNTIF($G$2:G433,G433)=1,ROW()-1,ROWS(Clean_Data[OrderID])+1)</f>
        <v>901</v>
      </c>
      <c r="AD433" s="1">
        <f>IF(COUNTIF($H$2:H433,H433)=1,ROW()-1,ROWS(Clean_Data[OrderID])+1)</f>
        <v>901</v>
      </c>
      <c r="AE433" s="1">
        <f>IF(COUNTIF($V$2:V433,V433)=1,V433,ROWS(Clean_Data[OrderID])+1)</f>
        <v>901</v>
      </c>
      <c r="AF433" s="1">
        <f>IF(COUNTIF($U$2:U433,U433)=1,U433,ROWS(Clean_Data[OrderID])+1)</f>
        <v>901</v>
      </c>
      <c r="AG433" s="1">
        <f>IF(COUNTIF($E$2:E433,E433)=1,ROW()-1,ROWS(Clean_Data[OrderID])+1)</f>
        <v>901</v>
      </c>
    </row>
    <row r="434" spans="1:33" ht="20" customHeight="1">
      <c r="A434" s="3" t="s">
        <v>790</v>
      </c>
      <c r="B434" s="2">
        <v>46280</v>
      </c>
      <c r="C434" s="3">
        <v>14</v>
      </c>
      <c r="D434" s="3" t="s">
        <v>224</v>
      </c>
      <c r="E434" s="3" t="s">
        <v>91</v>
      </c>
      <c r="F434" s="3" t="s">
        <v>121</v>
      </c>
      <c r="G434" s="3" t="s">
        <v>93</v>
      </c>
      <c r="H434" s="3" t="s">
        <v>146</v>
      </c>
      <c r="I434" s="3">
        <v>2</v>
      </c>
      <c r="J434" s="11">
        <v>110</v>
      </c>
      <c r="K434" s="4">
        <v>0</v>
      </c>
      <c r="L434" s="3" t="s">
        <v>95</v>
      </c>
      <c r="M434" s="3">
        <v>31</v>
      </c>
      <c r="N434" s="3">
        <v>10</v>
      </c>
      <c r="O434" s="3">
        <v>4</v>
      </c>
      <c r="P434" s="11">
        <f>Clean_Data[[#This Row],[Quantity]]*Clean_Data[[#This Row],[UnitPrice]]</f>
        <v>220</v>
      </c>
      <c r="Q434" s="11">
        <f>ROUND(Clean_Data[[#This Row],[GrossSales]]*Clean_Data[[#This Row],[DiscountPct]],2)</f>
        <v>0</v>
      </c>
      <c r="R434" s="11">
        <f>IF(Clean_Data[[#This Row],[Status]]="Delivered",ROUND(Clean_Data[[#This Row],[GrossSales]]-Clean_Data[[#This Row],[DiscountAmount]],2),0)</f>
        <v>220</v>
      </c>
      <c r="S434" s="3" t="str">
        <f>IF(Clean_Data[[#This Row],[OrderHour]]&lt;6,"Night",IF(Clean_Data[[#This Row],[OrderHour]]&lt;12,"Morning",IF(Clean_Data[[#This Row],[OrderHour]]&lt;18,"Afternoon","Evening")))</f>
        <v>Afternoon</v>
      </c>
      <c r="T434" s="3" t="str">
        <f>TEXT(Clean_Data[[#This Row],[OrderDate]],"[$-409]ddd")</f>
        <v>Tue</v>
      </c>
      <c r="U434" s="3">
        <f>WEEKDAY(Clean_Data[[#This Row],[OrderDate]],2)</f>
        <v>2</v>
      </c>
      <c r="V434" s="3">
        <f>INT(Clean_Data[[#This Row],[OrderHour]]/6)+1</f>
        <v>3</v>
      </c>
      <c r="W434" s="3">
        <f>IF(Clean_Data[[#This Row],[Status]]="Delivered",1,0)</f>
        <v>1</v>
      </c>
      <c r="X434" s="3">
        <f>IF(Clean_Data[[#This Row],[Status]]="Delivered",IF(Clean_Data[[#This Row],[DeliveryMinutes]]&lt;=Dashboard!$X$5,1,0),0)</f>
        <v>0</v>
      </c>
      <c r="Y4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4" s="3">
        <f>IF(AND(Clean_Data[[#This Row],[Include]]=1,Clean_Data[[#This Row],[DeliveredFlag]]=1),1,0)</f>
        <v>1</v>
      </c>
      <c r="AA434" s="1">
        <f>IF(COUNTIF($D$2:D434,D434)=1,ROW()-1,ROWS(Clean_Data[OrderID])+1)</f>
        <v>901</v>
      </c>
      <c r="AB434" s="1">
        <f>IF(COUNTIF($F$2:F434,F434)=1,ROW()-1,ROWS(Clean_Data[OrderID])+1)</f>
        <v>901</v>
      </c>
      <c r="AC434" s="1">
        <f>IF(COUNTIF($G$2:G434,G434)=1,ROW()-1,ROWS(Clean_Data[OrderID])+1)</f>
        <v>901</v>
      </c>
      <c r="AD434" s="1">
        <f>IF(COUNTIF($H$2:H434,H434)=1,ROW()-1,ROWS(Clean_Data[OrderID])+1)</f>
        <v>901</v>
      </c>
      <c r="AE434" s="1">
        <f>IF(COUNTIF($V$2:V434,V434)=1,V434,ROWS(Clean_Data[OrderID])+1)</f>
        <v>901</v>
      </c>
      <c r="AF434" s="1">
        <f>IF(COUNTIF($U$2:U434,U434)=1,U434,ROWS(Clean_Data[OrderID])+1)</f>
        <v>901</v>
      </c>
      <c r="AG434" s="1">
        <f>IF(COUNTIF($E$2:E434,E434)=1,ROW()-1,ROWS(Clean_Data[OrderID])+1)</f>
        <v>901</v>
      </c>
    </row>
    <row r="435" spans="1:33" ht="20" customHeight="1">
      <c r="A435" s="3" t="s">
        <v>791</v>
      </c>
      <c r="B435" s="2">
        <v>46280</v>
      </c>
      <c r="C435" s="3">
        <v>21</v>
      </c>
      <c r="D435" s="3" t="s">
        <v>561</v>
      </c>
      <c r="E435" s="3" t="s">
        <v>117</v>
      </c>
      <c r="F435" s="3" t="s">
        <v>121</v>
      </c>
      <c r="G435" s="3" t="s">
        <v>99</v>
      </c>
      <c r="H435" s="3" t="s">
        <v>100</v>
      </c>
      <c r="I435" s="3">
        <v>4</v>
      </c>
      <c r="J435" s="11">
        <v>120</v>
      </c>
      <c r="K435" s="4">
        <v>0</v>
      </c>
      <c r="L435" s="3" t="s">
        <v>95</v>
      </c>
      <c r="M435" s="3">
        <v>19</v>
      </c>
      <c r="N435" s="3">
        <v>13</v>
      </c>
      <c r="O435" s="3">
        <v>5</v>
      </c>
      <c r="P435" s="11">
        <f>Clean_Data[[#This Row],[Quantity]]*Clean_Data[[#This Row],[UnitPrice]]</f>
        <v>480</v>
      </c>
      <c r="Q435" s="11">
        <f>ROUND(Clean_Data[[#This Row],[GrossSales]]*Clean_Data[[#This Row],[DiscountPct]],2)</f>
        <v>0</v>
      </c>
      <c r="R435" s="11">
        <f>IF(Clean_Data[[#This Row],[Status]]="Delivered",ROUND(Clean_Data[[#This Row],[GrossSales]]-Clean_Data[[#This Row],[DiscountAmount]],2),0)</f>
        <v>480</v>
      </c>
      <c r="S435" s="3" t="str">
        <f>IF(Clean_Data[[#This Row],[OrderHour]]&lt;6,"Night",IF(Clean_Data[[#This Row],[OrderHour]]&lt;12,"Morning",IF(Clean_Data[[#This Row],[OrderHour]]&lt;18,"Afternoon","Evening")))</f>
        <v>Evening</v>
      </c>
      <c r="T435" s="3" t="str">
        <f>TEXT(Clean_Data[[#This Row],[OrderDate]],"[$-409]ddd")</f>
        <v>Tue</v>
      </c>
      <c r="U435" s="3">
        <f>WEEKDAY(Clean_Data[[#This Row],[OrderDate]],2)</f>
        <v>2</v>
      </c>
      <c r="V435" s="3">
        <f>INT(Clean_Data[[#This Row],[OrderHour]]/6)+1</f>
        <v>4</v>
      </c>
      <c r="W435" s="3">
        <f>IF(Clean_Data[[#This Row],[Status]]="Delivered",1,0)</f>
        <v>1</v>
      </c>
      <c r="X435" s="3">
        <f>IF(Clean_Data[[#This Row],[Status]]="Delivered",IF(Clean_Data[[#This Row],[DeliveryMinutes]]&lt;=Dashboard!$X$5,1,0),0)</f>
        <v>1</v>
      </c>
      <c r="Y4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5" s="3">
        <f>IF(AND(Clean_Data[[#This Row],[Include]]=1,Clean_Data[[#This Row],[DeliveredFlag]]=1),1,0)</f>
        <v>1</v>
      </c>
      <c r="AA435" s="1">
        <f>IF(COUNTIF($D$2:D435,D435)=1,ROW()-1,ROWS(Clean_Data[OrderID])+1)</f>
        <v>901</v>
      </c>
      <c r="AB435" s="1">
        <f>IF(COUNTIF($F$2:F435,F435)=1,ROW()-1,ROWS(Clean_Data[OrderID])+1)</f>
        <v>901</v>
      </c>
      <c r="AC435" s="1">
        <f>IF(COUNTIF($G$2:G435,G435)=1,ROW()-1,ROWS(Clean_Data[OrderID])+1)</f>
        <v>901</v>
      </c>
      <c r="AD435" s="1">
        <f>IF(COUNTIF($H$2:H435,H435)=1,ROW()-1,ROWS(Clean_Data[OrderID])+1)</f>
        <v>901</v>
      </c>
      <c r="AE435" s="1">
        <f>IF(COUNTIF($V$2:V435,V435)=1,V435,ROWS(Clean_Data[OrderID])+1)</f>
        <v>901</v>
      </c>
      <c r="AF435" s="1">
        <f>IF(COUNTIF($U$2:U435,U435)=1,U435,ROWS(Clean_Data[OrderID])+1)</f>
        <v>901</v>
      </c>
      <c r="AG435" s="1">
        <f>IF(COUNTIF($E$2:E435,E435)=1,ROW()-1,ROWS(Clean_Data[OrderID])+1)</f>
        <v>901</v>
      </c>
    </row>
    <row r="436" spans="1:33" ht="20" customHeight="1">
      <c r="A436" s="3" t="s">
        <v>792</v>
      </c>
      <c r="B436" s="2">
        <v>46280</v>
      </c>
      <c r="C436" s="3">
        <v>20</v>
      </c>
      <c r="D436" s="3" t="s">
        <v>159</v>
      </c>
      <c r="E436" s="3" t="s">
        <v>117</v>
      </c>
      <c r="F436" s="3" t="s">
        <v>92</v>
      </c>
      <c r="G436" s="3" t="s">
        <v>122</v>
      </c>
      <c r="H436" s="3" t="s">
        <v>214</v>
      </c>
      <c r="I436" s="3">
        <v>1</v>
      </c>
      <c r="J436" s="11">
        <v>55</v>
      </c>
      <c r="K436" s="4">
        <v>0</v>
      </c>
      <c r="L436" s="3" t="s">
        <v>95</v>
      </c>
      <c r="M436" s="3">
        <v>12</v>
      </c>
      <c r="N436" s="3">
        <v>4</v>
      </c>
      <c r="O436" s="3">
        <v>4</v>
      </c>
      <c r="P436" s="11">
        <f>Clean_Data[[#This Row],[Quantity]]*Clean_Data[[#This Row],[UnitPrice]]</f>
        <v>55</v>
      </c>
      <c r="Q436" s="11">
        <f>ROUND(Clean_Data[[#This Row],[GrossSales]]*Clean_Data[[#This Row],[DiscountPct]],2)</f>
        <v>0</v>
      </c>
      <c r="R436" s="11">
        <f>IF(Clean_Data[[#This Row],[Status]]="Delivered",ROUND(Clean_Data[[#This Row],[GrossSales]]-Clean_Data[[#This Row],[DiscountAmount]],2),0)</f>
        <v>55</v>
      </c>
      <c r="S436" s="3" t="str">
        <f>IF(Clean_Data[[#This Row],[OrderHour]]&lt;6,"Night",IF(Clean_Data[[#This Row],[OrderHour]]&lt;12,"Morning",IF(Clean_Data[[#This Row],[OrderHour]]&lt;18,"Afternoon","Evening")))</f>
        <v>Evening</v>
      </c>
      <c r="T436" s="3" t="str">
        <f>TEXT(Clean_Data[[#This Row],[OrderDate]],"[$-409]ddd")</f>
        <v>Tue</v>
      </c>
      <c r="U436" s="3">
        <f>WEEKDAY(Clean_Data[[#This Row],[OrderDate]],2)</f>
        <v>2</v>
      </c>
      <c r="V436" s="3">
        <f>INT(Clean_Data[[#This Row],[OrderHour]]/6)+1</f>
        <v>4</v>
      </c>
      <c r="W436" s="3">
        <f>IF(Clean_Data[[#This Row],[Status]]="Delivered",1,0)</f>
        <v>1</v>
      </c>
      <c r="X436" s="3">
        <f>IF(Clean_Data[[#This Row],[Status]]="Delivered",IF(Clean_Data[[#This Row],[DeliveryMinutes]]&lt;=Dashboard!$X$5,1,0),0)</f>
        <v>1</v>
      </c>
      <c r="Y4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6" s="3">
        <f>IF(AND(Clean_Data[[#This Row],[Include]]=1,Clean_Data[[#This Row],[DeliveredFlag]]=1),1,0)</f>
        <v>1</v>
      </c>
      <c r="AA436" s="1">
        <f>IF(COUNTIF($D$2:D436,D436)=1,ROW()-1,ROWS(Clean_Data[OrderID])+1)</f>
        <v>901</v>
      </c>
      <c r="AB436" s="1">
        <f>IF(COUNTIF($F$2:F436,F436)=1,ROW()-1,ROWS(Clean_Data[OrderID])+1)</f>
        <v>901</v>
      </c>
      <c r="AC436" s="1">
        <f>IF(COUNTIF($G$2:G436,G436)=1,ROW()-1,ROWS(Clean_Data[OrderID])+1)</f>
        <v>901</v>
      </c>
      <c r="AD436" s="1">
        <f>IF(COUNTIF($H$2:H436,H436)=1,ROW()-1,ROWS(Clean_Data[OrderID])+1)</f>
        <v>901</v>
      </c>
      <c r="AE436" s="1">
        <f>IF(COUNTIF($V$2:V436,V436)=1,V436,ROWS(Clean_Data[OrderID])+1)</f>
        <v>901</v>
      </c>
      <c r="AF436" s="1">
        <f>IF(COUNTIF($U$2:U436,U436)=1,U436,ROWS(Clean_Data[OrderID])+1)</f>
        <v>901</v>
      </c>
      <c r="AG436" s="1">
        <f>IF(COUNTIF($E$2:E436,E436)=1,ROW()-1,ROWS(Clean_Data[OrderID])+1)</f>
        <v>901</v>
      </c>
    </row>
    <row r="437" spans="1:33" ht="20" customHeight="1">
      <c r="A437" s="3" t="s">
        <v>793</v>
      </c>
      <c r="B437" s="2">
        <v>46280</v>
      </c>
      <c r="C437" s="3">
        <v>10</v>
      </c>
      <c r="D437" s="3" t="s">
        <v>794</v>
      </c>
      <c r="E437" s="3" t="s">
        <v>117</v>
      </c>
      <c r="F437" s="3" t="s">
        <v>98</v>
      </c>
      <c r="G437" s="3" t="s">
        <v>93</v>
      </c>
      <c r="H437" s="3" t="s">
        <v>118</v>
      </c>
      <c r="I437" s="3">
        <v>4</v>
      </c>
      <c r="J437" s="11">
        <v>45</v>
      </c>
      <c r="K437" s="4">
        <v>0</v>
      </c>
      <c r="L437" s="3" t="s">
        <v>95</v>
      </c>
      <c r="M437" s="3">
        <v>14</v>
      </c>
      <c r="N437" s="3">
        <v>11</v>
      </c>
      <c r="O437" s="3">
        <v>5</v>
      </c>
      <c r="P437" s="11">
        <f>Clean_Data[[#This Row],[Quantity]]*Clean_Data[[#This Row],[UnitPrice]]</f>
        <v>180</v>
      </c>
      <c r="Q437" s="11">
        <f>ROUND(Clean_Data[[#This Row],[GrossSales]]*Clean_Data[[#This Row],[DiscountPct]],2)</f>
        <v>0</v>
      </c>
      <c r="R437" s="11">
        <f>IF(Clean_Data[[#This Row],[Status]]="Delivered",ROUND(Clean_Data[[#This Row],[GrossSales]]-Clean_Data[[#This Row],[DiscountAmount]],2),0)</f>
        <v>180</v>
      </c>
      <c r="S437" s="3" t="str">
        <f>IF(Clean_Data[[#This Row],[OrderHour]]&lt;6,"Night",IF(Clean_Data[[#This Row],[OrderHour]]&lt;12,"Morning",IF(Clean_Data[[#This Row],[OrderHour]]&lt;18,"Afternoon","Evening")))</f>
        <v>Morning</v>
      </c>
      <c r="T437" s="3" t="str">
        <f>TEXT(Clean_Data[[#This Row],[OrderDate]],"[$-409]ddd")</f>
        <v>Tue</v>
      </c>
      <c r="U437" s="3">
        <f>WEEKDAY(Clean_Data[[#This Row],[OrderDate]],2)</f>
        <v>2</v>
      </c>
      <c r="V437" s="3">
        <f>INT(Clean_Data[[#This Row],[OrderHour]]/6)+1</f>
        <v>2</v>
      </c>
      <c r="W437" s="3">
        <f>IF(Clean_Data[[#This Row],[Status]]="Delivered",1,0)</f>
        <v>1</v>
      </c>
      <c r="X437" s="3">
        <f>IF(Clean_Data[[#This Row],[Status]]="Delivered",IF(Clean_Data[[#This Row],[DeliveryMinutes]]&lt;=Dashboard!$X$5,1,0),0)</f>
        <v>1</v>
      </c>
      <c r="Y4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7" s="3">
        <f>IF(AND(Clean_Data[[#This Row],[Include]]=1,Clean_Data[[#This Row],[DeliveredFlag]]=1),1,0)</f>
        <v>1</v>
      </c>
      <c r="AA437" s="1">
        <f>IF(COUNTIF($D$2:D437,D437)=1,ROW()-1,ROWS(Clean_Data[OrderID])+1)</f>
        <v>436</v>
      </c>
      <c r="AB437" s="1">
        <f>IF(COUNTIF($F$2:F437,F437)=1,ROW()-1,ROWS(Clean_Data[OrderID])+1)</f>
        <v>901</v>
      </c>
      <c r="AC437" s="1">
        <f>IF(COUNTIF($G$2:G437,G437)=1,ROW()-1,ROWS(Clean_Data[OrderID])+1)</f>
        <v>901</v>
      </c>
      <c r="AD437" s="1">
        <f>IF(COUNTIF($H$2:H437,H437)=1,ROW()-1,ROWS(Clean_Data[OrderID])+1)</f>
        <v>901</v>
      </c>
      <c r="AE437" s="1">
        <f>IF(COUNTIF($V$2:V437,V437)=1,V437,ROWS(Clean_Data[OrderID])+1)</f>
        <v>901</v>
      </c>
      <c r="AF437" s="1">
        <f>IF(COUNTIF($U$2:U437,U437)=1,U437,ROWS(Clean_Data[OrderID])+1)</f>
        <v>901</v>
      </c>
      <c r="AG437" s="1">
        <f>IF(COUNTIF($E$2:E437,E437)=1,ROW()-1,ROWS(Clean_Data[OrderID])+1)</f>
        <v>901</v>
      </c>
    </row>
    <row r="438" spans="1:33" ht="20" customHeight="1">
      <c r="A438" s="3" t="s">
        <v>795</v>
      </c>
      <c r="B438" s="2">
        <v>46280</v>
      </c>
      <c r="C438" s="3">
        <v>22</v>
      </c>
      <c r="D438" s="3" t="s">
        <v>708</v>
      </c>
      <c r="E438" s="3" t="s">
        <v>117</v>
      </c>
      <c r="F438" s="3" t="s">
        <v>109</v>
      </c>
      <c r="G438" s="3" t="s">
        <v>93</v>
      </c>
      <c r="H438" s="3" t="s">
        <v>94</v>
      </c>
      <c r="I438" s="3">
        <v>1</v>
      </c>
      <c r="J438" s="11">
        <v>95</v>
      </c>
      <c r="K438" s="4">
        <v>0.1</v>
      </c>
      <c r="L438" s="3" t="s">
        <v>95</v>
      </c>
      <c r="M438" s="3">
        <v>24</v>
      </c>
      <c r="N438" s="3">
        <v>11</v>
      </c>
      <c r="O438" s="3">
        <v>4</v>
      </c>
      <c r="P438" s="11">
        <f>Clean_Data[[#This Row],[Quantity]]*Clean_Data[[#This Row],[UnitPrice]]</f>
        <v>95</v>
      </c>
      <c r="Q438" s="11">
        <f>ROUND(Clean_Data[[#This Row],[GrossSales]]*Clean_Data[[#This Row],[DiscountPct]],2)</f>
        <v>9.5</v>
      </c>
      <c r="R438" s="11">
        <f>IF(Clean_Data[[#This Row],[Status]]="Delivered",ROUND(Clean_Data[[#This Row],[GrossSales]]-Clean_Data[[#This Row],[DiscountAmount]],2),0)</f>
        <v>85.5</v>
      </c>
      <c r="S438" s="3" t="str">
        <f>IF(Clean_Data[[#This Row],[OrderHour]]&lt;6,"Night",IF(Clean_Data[[#This Row],[OrderHour]]&lt;12,"Morning",IF(Clean_Data[[#This Row],[OrderHour]]&lt;18,"Afternoon","Evening")))</f>
        <v>Evening</v>
      </c>
      <c r="T438" s="3" t="str">
        <f>TEXT(Clean_Data[[#This Row],[OrderDate]],"[$-409]ddd")</f>
        <v>Tue</v>
      </c>
      <c r="U438" s="3">
        <f>WEEKDAY(Clean_Data[[#This Row],[OrderDate]],2)</f>
        <v>2</v>
      </c>
      <c r="V438" s="3">
        <f>INT(Clean_Data[[#This Row],[OrderHour]]/6)+1</f>
        <v>4</v>
      </c>
      <c r="W438" s="3">
        <f>IF(Clean_Data[[#This Row],[Status]]="Delivered",1,0)</f>
        <v>1</v>
      </c>
      <c r="X438" s="3">
        <f>IF(Clean_Data[[#This Row],[Status]]="Delivered",IF(Clean_Data[[#This Row],[DeliveryMinutes]]&lt;=Dashboard!$X$5,1,0),0)</f>
        <v>1</v>
      </c>
      <c r="Y4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8" s="3">
        <f>IF(AND(Clean_Data[[#This Row],[Include]]=1,Clean_Data[[#This Row],[DeliveredFlag]]=1),1,0)</f>
        <v>1</v>
      </c>
      <c r="AA438" s="1">
        <f>IF(COUNTIF($D$2:D438,D438)=1,ROW()-1,ROWS(Clean_Data[OrderID])+1)</f>
        <v>901</v>
      </c>
      <c r="AB438" s="1">
        <f>IF(COUNTIF($F$2:F438,F438)=1,ROW()-1,ROWS(Clean_Data[OrderID])+1)</f>
        <v>901</v>
      </c>
      <c r="AC438" s="1">
        <f>IF(COUNTIF($G$2:G438,G438)=1,ROW()-1,ROWS(Clean_Data[OrderID])+1)</f>
        <v>901</v>
      </c>
      <c r="AD438" s="1">
        <f>IF(COUNTIF($H$2:H438,H438)=1,ROW()-1,ROWS(Clean_Data[OrderID])+1)</f>
        <v>901</v>
      </c>
      <c r="AE438" s="1">
        <f>IF(COUNTIF($V$2:V438,V438)=1,V438,ROWS(Clean_Data[OrderID])+1)</f>
        <v>901</v>
      </c>
      <c r="AF438" s="1">
        <f>IF(COUNTIF($U$2:U438,U438)=1,U438,ROWS(Clean_Data[OrderID])+1)</f>
        <v>901</v>
      </c>
      <c r="AG438" s="1">
        <f>IF(COUNTIF($E$2:E438,E438)=1,ROW()-1,ROWS(Clean_Data[OrderID])+1)</f>
        <v>901</v>
      </c>
    </row>
    <row r="439" spans="1:33" ht="20" customHeight="1">
      <c r="A439" s="3" t="s">
        <v>796</v>
      </c>
      <c r="B439" s="2">
        <v>46280</v>
      </c>
      <c r="C439" s="3">
        <v>23</v>
      </c>
      <c r="D439" s="3" t="s">
        <v>141</v>
      </c>
      <c r="E439" s="3" t="s">
        <v>91</v>
      </c>
      <c r="F439" s="3" t="s">
        <v>109</v>
      </c>
      <c r="G439" s="3" t="s">
        <v>110</v>
      </c>
      <c r="H439" s="3" t="s">
        <v>114</v>
      </c>
      <c r="I439" s="3">
        <v>4</v>
      </c>
      <c r="J439" s="11">
        <v>145</v>
      </c>
      <c r="K439" s="4">
        <v>0</v>
      </c>
      <c r="L439" s="3" t="s">
        <v>95</v>
      </c>
      <c r="M439" s="3">
        <v>26</v>
      </c>
      <c r="N439" s="3">
        <v>7</v>
      </c>
      <c r="O439" s="3">
        <v>5</v>
      </c>
      <c r="P439" s="11">
        <f>Clean_Data[[#This Row],[Quantity]]*Clean_Data[[#This Row],[UnitPrice]]</f>
        <v>580</v>
      </c>
      <c r="Q439" s="11">
        <f>ROUND(Clean_Data[[#This Row],[GrossSales]]*Clean_Data[[#This Row],[DiscountPct]],2)</f>
        <v>0</v>
      </c>
      <c r="R439" s="11">
        <f>IF(Clean_Data[[#This Row],[Status]]="Delivered",ROUND(Clean_Data[[#This Row],[GrossSales]]-Clean_Data[[#This Row],[DiscountAmount]],2),0)</f>
        <v>580</v>
      </c>
      <c r="S439" s="3" t="str">
        <f>IF(Clean_Data[[#This Row],[OrderHour]]&lt;6,"Night",IF(Clean_Data[[#This Row],[OrderHour]]&lt;12,"Morning",IF(Clean_Data[[#This Row],[OrderHour]]&lt;18,"Afternoon","Evening")))</f>
        <v>Evening</v>
      </c>
      <c r="T439" s="3" t="str">
        <f>TEXT(Clean_Data[[#This Row],[OrderDate]],"[$-409]ddd")</f>
        <v>Tue</v>
      </c>
      <c r="U439" s="3">
        <f>WEEKDAY(Clean_Data[[#This Row],[OrderDate]],2)</f>
        <v>2</v>
      </c>
      <c r="V439" s="3">
        <f>INT(Clean_Data[[#This Row],[OrderHour]]/6)+1</f>
        <v>4</v>
      </c>
      <c r="W439" s="3">
        <f>IF(Clean_Data[[#This Row],[Status]]="Delivered",1,0)</f>
        <v>1</v>
      </c>
      <c r="X439" s="3">
        <f>IF(Clean_Data[[#This Row],[Status]]="Delivered",IF(Clean_Data[[#This Row],[DeliveryMinutes]]&lt;=Dashboard!$X$5,1,0),0)</f>
        <v>1</v>
      </c>
      <c r="Y4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39" s="3">
        <f>IF(AND(Clean_Data[[#This Row],[Include]]=1,Clean_Data[[#This Row],[DeliveredFlag]]=1),1,0)</f>
        <v>1</v>
      </c>
      <c r="AA439" s="1">
        <f>IF(COUNTIF($D$2:D439,D439)=1,ROW()-1,ROWS(Clean_Data[OrderID])+1)</f>
        <v>901</v>
      </c>
      <c r="AB439" s="1">
        <f>IF(COUNTIF($F$2:F439,F439)=1,ROW()-1,ROWS(Clean_Data[OrderID])+1)</f>
        <v>901</v>
      </c>
      <c r="AC439" s="1">
        <f>IF(COUNTIF($G$2:G439,G439)=1,ROW()-1,ROWS(Clean_Data[OrderID])+1)</f>
        <v>901</v>
      </c>
      <c r="AD439" s="1">
        <f>IF(COUNTIF($H$2:H439,H439)=1,ROW()-1,ROWS(Clean_Data[OrderID])+1)</f>
        <v>901</v>
      </c>
      <c r="AE439" s="1">
        <f>IF(COUNTIF($V$2:V439,V439)=1,V439,ROWS(Clean_Data[OrderID])+1)</f>
        <v>901</v>
      </c>
      <c r="AF439" s="1">
        <f>IF(COUNTIF($U$2:U439,U439)=1,U439,ROWS(Clean_Data[OrderID])+1)</f>
        <v>901</v>
      </c>
      <c r="AG439" s="1">
        <f>IF(COUNTIF($E$2:E439,E439)=1,ROW()-1,ROWS(Clean_Data[OrderID])+1)</f>
        <v>901</v>
      </c>
    </row>
    <row r="440" spans="1:33" ht="20" customHeight="1">
      <c r="A440" s="3" t="s">
        <v>797</v>
      </c>
      <c r="B440" s="2">
        <v>46280</v>
      </c>
      <c r="C440" s="3">
        <v>19</v>
      </c>
      <c r="D440" s="3" t="s">
        <v>197</v>
      </c>
      <c r="E440" s="3" t="s">
        <v>91</v>
      </c>
      <c r="F440" s="3" t="s">
        <v>98</v>
      </c>
      <c r="G440" s="3" t="s">
        <v>122</v>
      </c>
      <c r="H440" s="3" t="s">
        <v>153</v>
      </c>
      <c r="I440" s="3">
        <v>4</v>
      </c>
      <c r="J440" s="11">
        <v>130</v>
      </c>
      <c r="K440" s="4">
        <v>0.1</v>
      </c>
      <c r="L440" s="3" t="s">
        <v>95</v>
      </c>
      <c r="M440" s="3">
        <v>15</v>
      </c>
      <c r="N440" s="3">
        <v>10</v>
      </c>
      <c r="O440" s="3">
        <v>5</v>
      </c>
      <c r="P440" s="11">
        <f>Clean_Data[[#This Row],[Quantity]]*Clean_Data[[#This Row],[UnitPrice]]</f>
        <v>520</v>
      </c>
      <c r="Q440" s="11">
        <f>ROUND(Clean_Data[[#This Row],[GrossSales]]*Clean_Data[[#This Row],[DiscountPct]],2)</f>
        <v>52</v>
      </c>
      <c r="R440" s="11">
        <f>IF(Clean_Data[[#This Row],[Status]]="Delivered",ROUND(Clean_Data[[#This Row],[GrossSales]]-Clean_Data[[#This Row],[DiscountAmount]],2),0)</f>
        <v>468</v>
      </c>
      <c r="S440" s="3" t="str">
        <f>IF(Clean_Data[[#This Row],[OrderHour]]&lt;6,"Night",IF(Clean_Data[[#This Row],[OrderHour]]&lt;12,"Morning",IF(Clean_Data[[#This Row],[OrderHour]]&lt;18,"Afternoon","Evening")))</f>
        <v>Evening</v>
      </c>
      <c r="T440" s="3" t="str">
        <f>TEXT(Clean_Data[[#This Row],[OrderDate]],"[$-409]ddd")</f>
        <v>Tue</v>
      </c>
      <c r="U440" s="3">
        <f>WEEKDAY(Clean_Data[[#This Row],[OrderDate]],2)</f>
        <v>2</v>
      </c>
      <c r="V440" s="3">
        <f>INT(Clean_Data[[#This Row],[OrderHour]]/6)+1</f>
        <v>4</v>
      </c>
      <c r="W440" s="3">
        <f>IF(Clean_Data[[#This Row],[Status]]="Delivered",1,0)</f>
        <v>1</v>
      </c>
      <c r="X440" s="3">
        <f>IF(Clean_Data[[#This Row],[Status]]="Delivered",IF(Clean_Data[[#This Row],[DeliveryMinutes]]&lt;=Dashboard!$X$5,1,0),0)</f>
        <v>1</v>
      </c>
      <c r="Y4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0" s="3">
        <f>IF(AND(Clean_Data[[#This Row],[Include]]=1,Clean_Data[[#This Row],[DeliveredFlag]]=1),1,0)</f>
        <v>1</v>
      </c>
      <c r="AA440" s="1">
        <f>IF(COUNTIF($D$2:D440,D440)=1,ROW()-1,ROWS(Clean_Data[OrderID])+1)</f>
        <v>901</v>
      </c>
      <c r="AB440" s="1">
        <f>IF(COUNTIF($F$2:F440,F440)=1,ROW()-1,ROWS(Clean_Data[OrderID])+1)</f>
        <v>901</v>
      </c>
      <c r="AC440" s="1">
        <f>IF(COUNTIF($G$2:G440,G440)=1,ROW()-1,ROWS(Clean_Data[OrderID])+1)</f>
        <v>901</v>
      </c>
      <c r="AD440" s="1">
        <f>IF(COUNTIF($H$2:H440,H440)=1,ROW()-1,ROWS(Clean_Data[OrderID])+1)</f>
        <v>901</v>
      </c>
      <c r="AE440" s="1">
        <f>IF(COUNTIF($V$2:V440,V440)=1,V440,ROWS(Clean_Data[OrderID])+1)</f>
        <v>901</v>
      </c>
      <c r="AF440" s="1">
        <f>IF(COUNTIF($U$2:U440,U440)=1,U440,ROWS(Clean_Data[OrderID])+1)</f>
        <v>901</v>
      </c>
      <c r="AG440" s="1">
        <f>IF(COUNTIF($E$2:E440,E440)=1,ROW()-1,ROWS(Clean_Data[OrderID])+1)</f>
        <v>901</v>
      </c>
    </row>
    <row r="441" spans="1:33" ht="20" customHeight="1">
      <c r="A441" s="3" t="s">
        <v>798</v>
      </c>
      <c r="B441" s="2">
        <v>46280</v>
      </c>
      <c r="C441" s="3">
        <v>11</v>
      </c>
      <c r="D441" s="3" t="s">
        <v>799</v>
      </c>
      <c r="E441" s="3" t="s">
        <v>91</v>
      </c>
      <c r="F441" s="3" t="s">
        <v>98</v>
      </c>
      <c r="G441" s="3" t="s">
        <v>122</v>
      </c>
      <c r="H441" s="3" t="s">
        <v>214</v>
      </c>
      <c r="I441" s="3">
        <v>1</v>
      </c>
      <c r="J441" s="11">
        <v>55</v>
      </c>
      <c r="K441" s="4">
        <v>0</v>
      </c>
      <c r="L441" s="3" t="s">
        <v>95</v>
      </c>
      <c r="M441" s="3">
        <v>20</v>
      </c>
      <c r="N441" s="3">
        <v>4</v>
      </c>
      <c r="O441" s="3">
        <v>5</v>
      </c>
      <c r="P441" s="11">
        <f>Clean_Data[[#This Row],[Quantity]]*Clean_Data[[#This Row],[UnitPrice]]</f>
        <v>55</v>
      </c>
      <c r="Q441" s="11">
        <f>ROUND(Clean_Data[[#This Row],[GrossSales]]*Clean_Data[[#This Row],[DiscountPct]],2)</f>
        <v>0</v>
      </c>
      <c r="R441" s="11">
        <f>IF(Clean_Data[[#This Row],[Status]]="Delivered",ROUND(Clean_Data[[#This Row],[GrossSales]]-Clean_Data[[#This Row],[DiscountAmount]],2),0)</f>
        <v>55</v>
      </c>
      <c r="S441" s="3" t="str">
        <f>IF(Clean_Data[[#This Row],[OrderHour]]&lt;6,"Night",IF(Clean_Data[[#This Row],[OrderHour]]&lt;12,"Morning",IF(Clean_Data[[#This Row],[OrderHour]]&lt;18,"Afternoon","Evening")))</f>
        <v>Morning</v>
      </c>
      <c r="T441" s="3" t="str">
        <f>TEXT(Clean_Data[[#This Row],[OrderDate]],"[$-409]ddd")</f>
        <v>Tue</v>
      </c>
      <c r="U441" s="3">
        <f>WEEKDAY(Clean_Data[[#This Row],[OrderDate]],2)</f>
        <v>2</v>
      </c>
      <c r="V441" s="3">
        <f>INT(Clean_Data[[#This Row],[OrderHour]]/6)+1</f>
        <v>2</v>
      </c>
      <c r="W441" s="3">
        <f>IF(Clean_Data[[#This Row],[Status]]="Delivered",1,0)</f>
        <v>1</v>
      </c>
      <c r="X441" s="3">
        <f>IF(Clean_Data[[#This Row],[Status]]="Delivered",IF(Clean_Data[[#This Row],[DeliveryMinutes]]&lt;=Dashboard!$X$5,1,0),0)</f>
        <v>1</v>
      </c>
      <c r="Y4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1" s="3">
        <f>IF(AND(Clean_Data[[#This Row],[Include]]=1,Clean_Data[[#This Row],[DeliveredFlag]]=1),1,0)</f>
        <v>1</v>
      </c>
      <c r="AA441" s="1">
        <f>IF(COUNTIF($D$2:D441,D441)=1,ROW()-1,ROWS(Clean_Data[OrderID])+1)</f>
        <v>440</v>
      </c>
      <c r="AB441" s="1">
        <f>IF(COUNTIF($F$2:F441,F441)=1,ROW()-1,ROWS(Clean_Data[OrderID])+1)</f>
        <v>901</v>
      </c>
      <c r="AC441" s="1">
        <f>IF(COUNTIF($G$2:G441,G441)=1,ROW()-1,ROWS(Clean_Data[OrderID])+1)</f>
        <v>901</v>
      </c>
      <c r="AD441" s="1">
        <f>IF(COUNTIF($H$2:H441,H441)=1,ROW()-1,ROWS(Clean_Data[OrderID])+1)</f>
        <v>901</v>
      </c>
      <c r="AE441" s="1">
        <f>IF(COUNTIF($V$2:V441,V441)=1,V441,ROWS(Clean_Data[OrderID])+1)</f>
        <v>901</v>
      </c>
      <c r="AF441" s="1">
        <f>IF(COUNTIF($U$2:U441,U441)=1,U441,ROWS(Clean_Data[OrderID])+1)</f>
        <v>901</v>
      </c>
      <c r="AG441" s="1">
        <f>IF(COUNTIF($E$2:E441,E441)=1,ROW()-1,ROWS(Clean_Data[OrderID])+1)</f>
        <v>901</v>
      </c>
    </row>
    <row r="442" spans="1:33" ht="20" customHeight="1">
      <c r="A442" s="3" t="s">
        <v>800</v>
      </c>
      <c r="B442" s="2">
        <v>46280</v>
      </c>
      <c r="C442" s="3">
        <v>18</v>
      </c>
      <c r="D442" s="3" t="s">
        <v>301</v>
      </c>
      <c r="E442" s="3" t="s">
        <v>91</v>
      </c>
      <c r="F442" s="3" t="s">
        <v>109</v>
      </c>
      <c r="G442" s="3" t="s">
        <v>110</v>
      </c>
      <c r="H442" s="3" t="s">
        <v>114</v>
      </c>
      <c r="I442" s="3">
        <v>1</v>
      </c>
      <c r="J442" s="11">
        <v>145</v>
      </c>
      <c r="K442" s="4">
        <v>0.05</v>
      </c>
      <c r="L442" s="3" t="s">
        <v>95</v>
      </c>
      <c r="M442" s="3">
        <v>18</v>
      </c>
      <c r="N442" s="3">
        <v>14</v>
      </c>
      <c r="O442" s="3">
        <v>5</v>
      </c>
      <c r="P442" s="11">
        <f>Clean_Data[[#This Row],[Quantity]]*Clean_Data[[#This Row],[UnitPrice]]</f>
        <v>145</v>
      </c>
      <c r="Q442" s="11">
        <f>ROUND(Clean_Data[[#This Row],[GrossSales]]*Clean_Data[[#This Row],[DiscountPct]],2)</f>
        <v>7.25</v>
      </c>
      <c r="R442" s="11">
        <f>IF(Clean_Data[[#This Row],[Status]]="Delivered",ROUND(Clean_Data[[#This Row],[GrossSales]]-Clean_Data[[#This Row],[DiscountAmount]],2),0)</f>
        <v>137.75</v>
      </c>
      <c r="S442" s="3" t="str">
        <f>IF(Clean_Data[[#This Row],[OrderHour]]&lt;6,"Night",IF(Clean_Data[[#This Row],[OrderHour]]&lt;12,"Morning",IF(Clean_Data[[#This Row],[OrderHour]]&lt;18,"Afternoon","Evening")))</f>
        <v>Evening</v>
      </c>
      <c r="T442" s="3" t="str">
        <f>TEXT(Clean_Data[[#This Row],[OrderDate]],"[$-409]ddd")</f>
        <v>Tue</v>
      </c>
      <c r="U442" s="3">
        <f>WEEKDAY(Clean_Data[[#This Row],[OrderDate]],2)</f>
        <v>2</v>
      </c>
      <c r="V442" s="3">
        <f>INT(Clean_Data[[#This Row],[OrderHour]]/6)+1</f>
        <v>4</v>
      </c>
      <c r="W442" s="3">
        <f>IF(Clean_Data[[#This Row],[Status]]="Delivered",1,0)</f>
        <v>1</v>
      </c>
      <c r="X442" s="3">
        <f>IF(Clean_Data[[#This Row],[Status]]="Delivered",IF(Clean_Data[[#This Row],[DeliveryMinutes]]&lt;=Dashboard!$X$5,1,0),0)</f>
        <v>1</v>
      </c>
      <c r="Y4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2" s="3">
        <f>IF(AND(Clean_Data[[#This Row],[Include]]=1,Clean_Data[[#This Row],[DeliveredFlag]]=1),1,0)</f>
        <v>1</v>
      </c>
      <c r="AA442" s="1">
        <f>IF(COUNTIF($D$2:D442,D442)=1,ROW()-1,ROWS(Clean_Data[OrderID])+1)</f>
        <v>901</v>
      </c>
      <c r="AB442" s="1">
        <f>IF(COUNTIF($F$2:F442,F442)=1,ROW()-1,ROWS(Clean_Data[OrderID])+1)</f>
        <v>901</v>
      </c>
      <c r="AC442" s="1">
        <f>IF(COUNTIF($G$2:G442,G442)=1,ROW()-1,ROWS(Clean_Data[OrderID])+1)</f>
        <v>901</v>
      </c>
      <c r="AD442" s="1">
        <f>IF(COUNTIF($H$2:H442,H442)=1,ROW()-1,ROWS(Clean_Data[OrderID])+1)</f>
        <v>901</v>
      </c>
      <c r="AE442" s="1">
        <f>IF(COUNTIF($V$2:V442,V442)=1,V442,ROWS(Clean_Data[OrderID])+1)</f>
        <v>901</v>
      </c>
      <c r="AF442" s="1">
        <f>IF(COUNTIF($U$2:U442,U442)=1,U442,ROWS(Clean_Data[OrderID])+1)</f>
        <v>901</v>
      </c>
      <c r="AG442" s="1">
        <f>IF(COUNTIF($E$2:E442,E442)=1,ROW()-1,ROWS(Clean_Data[OrderID])+1)</f>
        <v>901</v>
      </c>
    </row>
    <row r="443" spans="1:33" ht="20" customHeight="1">
      <c r="A443" s="3" t="s">
        <v>801</v>
      </c>
      <c r="B443" s="2">
        <v>46280</v>
      </c>
      <c r="C443" s="3">
        <v>21</v>
      </c>
      <c r="D443" s="3" t="s">
        <v>378</v>
      </c>
      <c r="E443" s="3" t="s">
        <v>117</v>
      </c>
      <c r="F443" s="3" t="s">
        <v>121</v>
      </c>
      <c r="G443" s="3" t="s">
        <v>174</v>
      </c>
      <c r="H443" s="3" t="s">
        <v>184</v>
      </c>
      <c r="I443" s="3">
        <v>4</v>
      </c>
      <c r="J443" s="11">
        <v>62</v>
      </c>
      <c r="K443" s="4">
        <v>0</v>
      </c>
      <c r="L443" s="3" t="s">
        <v>95</v>
      </c>
      <c r="M443" s="3">
        <v>30</v>
      </c>
      <c r="N443" s="3">
        <v>12</v>
      </c>
      <c r="O443" s="3">
        <v>5</v>
      </c>
      <c r="P443" s="11">
        <f>Clean_Data[[#This Row],[Quantity]]*Clean_Data[[#This Row],[UnitPrice]]</f>
        <v>248</v>
      </c>
      <c r="Q443" s="11">
        <f>ROUND(Clean_Data[[#This Row],[GrossSales]]*Clean_Data[[#This Row],[DiscountPct]],2)</f>
        <v>0</v>
      </c>
      <c r="R443" s="11">
        <f>IF(Clean_Data[[#This Row],[Status]]="Delivered",ROUND(Clean_Data[[#This Row],[GrossSales]]-Clean_Data[[#This Row],[DiscountAmount]],2),0)</f>
        <v>248</v>
      </c>
      <c r="S443" s="3" t="str">
        <f>IF(Clean_Data[[#This Row],[OrderHour]]&lt;6,"Night",IF(Clean_Data[[#This Row],[OrderHour]]&lt;12,"Morning",IF(Clean_Data[[#This Row],[OrderHour]]&lt;18,"Afternoon","Evening")))</f>
        <v>Evening</v>
      </c>
      <c r="T443" s="3" t="str">
        <f>TEXT(Clean_Data[[#This Row],[OrderDate]],"[$-409]ddd")</f>
        <v>Tue</v>
      </c>
      <c r="U443" s="3">
        <f>WEEKDAY(Clean_Data[[#This Row],[OrderDate]],2)</f>
        <v>2</v>
      </c>
      <c r="V443" s="3">
        <f>INT(Clean_Data[[#This Row],[OrderHour]]/6)+1</f>
        <v>4</v>
      </c>
      <c r="W443" s="3">
        <f>IF(Clean_Data[[#This Row],[Status]]="Delivered",1,0)</f>
        <v>1</v>
      </c>
      <c r="X443" s="3">
        <f>IF(Clean_Data[[#This Row],[Status]]="Delivered",IF(Clean_Data[[#This Row],[DeliveryMinutes]]&lt;=Dashboard!$X$5,1,0),0)</f>
        <v>1</v>
      </c>
      <c r="Y4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3" s="3">
        <f>IF(AND(Clean_Data[[#This Row],[Include]]=1,Clean_Data[[#This Row],[DeliveredFlag]]=1),1,0)</f>
        <v>1</v>
      </c>
      <c r="AA443" s="1">
        <f>IF(COUNTIF($D$2:D443,D443)=1,ROW()-1,ROWS(Clean_Data[OrderID])+1)</f>
        <v>901</v>
      </c>
      <c r="AB443" s="1">
        <f>IF(COUNTIF($F$2:F443,F443)=1,ROW()-1,ROWS(Clean_Data[OrderID])+1)</f>
        <v>901</v>
      </c>
      <c r="AC443" s="1">
        <f>IF(COUNTIF($G$2:G443,G443)=1,ROW()-1,ROWS(Clean_Data[OrderID])+1)</f>
        <v>901</v>
      </c>
      <c r="AD443" s="1">
        <f>IF(COUNTIF($H$2:H443,H443)=1,ROW()-1,ROWS(Clean_Data[OrderID])+1)</f>
        <v>901</v>
      </c>
      <c r="AE443" s="1">
        <f>IF(COUNTIF($V$2:V443,V443)=1,V443,ROWS(Clean_Data[OrderID])+1)</f>
        <v>901</v>
      </c>
      <c r="AF443" s="1">
        <f>IF(COUNTIF($U$2:U443,U443)=1,U443,ROWS(Clean_Data[OrderID])+1)</f>
        <v>901</v>
      </c>
      <c r="AG443" s="1">
        <f>IF(COUNTIF($E$2:E443,E443)=1,ROW()-1,ROWS(Clean_Data[OrderID])+1)</f>
        <v>901</v>
      </c>
    </row>
    <row r="444" spans="1:33" ht="20" customHeight="1">
      <c r="A444" s="3" t="s">
        <v>802</v>
      </c>
      <c r="B444" s="2">
        <v>46280</v>
      </c>
      <c r="C444" s="3">
        <v>22</v>
      </c>
      <c r="D444" s="3" t="s">
        <v>803</v>
      </c>
      <c r="E444" s="3" t="s">
        <v>117</v>
      </c>
      <c r="F444" s="3" t="s">
        <v>139</v>
      </c>
      <c r="G444" s="3" t="s">
        <v>174</v>
      </c>
      <c r="H444" s="3" t="s">
        <v>274</v>
      </c>
      <c r="I444" s="3">
        <v>4</v>
      </c>
      <c r="J444" s="11">
        <v>90</v>
      </c>
      <c r="K444" s="4">
        <v>0.1</v>
      </c>
      <c r="L444" s="3" t="s">
        <v>95</v>
      </c>
      <c r="M444" s="3">
        <v>22</v>
      </c>
      <c r="N444" s="3">
        <v>10</v>
      </c>
      <c r="O444" s="3">
        <v>4</v>
      </c>
      <c r="P444" s="11">
        <f>Clean_Data[[#This Row],[Quantity]]*Clean_Data[[#This Row],[UnitPrice]]</f>
        <v>360</v>
      </c>
      <c r="Q444" s="11">
        <f>ROUND(Clean_Data[[#This Row],[GrossSales]]*Clean_Data[[#This Row],[DiscountPct]],2)</f>
        <v>36</v>
      </c>
      <c r="R444" s="11">
        <f>IF(Clean_Data[[#This Row],[Status]]="Delivered",ROUND(Clean_Data[[#This Row],[GrossSales]]-Clean_Data[[#This Row],[DiscountAmount]],2),0)</f>
        <v>324</v>
      </c>
      <c r="S444" s="3" t="str">
        <f>IF(Clean_Data[[#This Row],[OrderHour]]&lt;6,"Night",IF(Clean_Data[[#This Row],[OrderHour]]&lt;12,"Morning",IF(Clean_Data[[#This Row],[OrderHour]]&lt;18,"Afternoon","Evening")))</f>
        <v>Evening</v>
      </c>
      <c r="T444" s="3" t="str">
        <f>TEXT(Clean_Data[[#This Row],[OrderDate]],"[$-409]ddd")</f>
        <v>Tue</v>
      </c>
      <c r="U444" s="3">
        <f>WEEKDAY(Clean_Data[[#This Row],[OrderDate]],2)</f>
        <v>2</v>
      </c>
      <c r="V444" s="3">
        <f>INT(Clean_Data[[#This Row],[OrderHour]]/6)+1</f>
        <v>4</v>
      </c>
      <c r="W444" s="3">
        <f>IF(Clean_Data[[#This Row],[Status]]="Delivered",1,0)</f>
        <v>1</v>
      </c>
      <c r="X444" s="3">
        <f>IF(Clean_Data[[#This Row],[Status]]="Delivered",IF(Clean_Data[[#This Row],[DeliveryMinutes]]&lt;=Dashboard!$X$5,1,0),0)</f>
        <v>1</v>
      </c>
      <c r="Y4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4" s="3">
        <f>IF(AND(Clean_Data[[#This Row],[Include]]=1,Clean_Data[[#This Row],[DeliveredFlag]]=1),1,0)</f>
        <v>1</v>
      </c>
      <c r="AA444" s="1">
        <f>IF(COUNTIF($D$2:D444,D444)=1,ROW()-1,ROWS(Clean_Data[OrderID])+1)</f>
        <v>443</v>
      </c>
      <c r="AB444" s="1">
        <f>IF(COUNTIF($F$2:F444,F444)=1,ROW()-1,ROWS(Clean_Data[OrderID])+1)</f>
        <v>901</v>
      </c>
      <c r="AC444" s="1">
        <f>IF(COUNTIF($G$2:G444,G444)=1,ROW()-1,ROWS(Clean_Data[OrderID])+1)</f>
        <v>901</v>
      </c>
      <c r="AD444" s="1">
        <f>IF(COUNTIF($H$2:H444,H444)=1,ROW()-1,ROWS(Clean_Data[OrderID])+1)</f>
        <v>901</v>
      </c>
      <c r="AE444" s="1">
        <f>IF(COUNTIF($V$2:V444,V444)=1,V444,ROWS(Clean_Data[OrderID])+1)</f>
        <v>901</v>
      </c>
      <c r="AF444" s="1">
        <f>IF(COUNTIF($U$2:U444,U444)=1,U444,ROWS(Clean_Data[OrderID])+1)</f>
        <v>901</v>
      </c>
      <c r="AG444" s="1">
        <f>IF(COUNTIF($E$2:E444,E444)=1,ROW()-1,ROWS(Clean_Data[OrderID])+1)</f>
        <v>901</v>
      </c>
    </row>
    <row r="445" spans="1:33" ht="20" customHeight="1">
      <c r="A445" s="3" t="s">
        <v>804</v>
      </c>
      <c r="B445" s="2">
        <v>46280</v>
      </c>
      <c r="C445" s="3">
        <v>8</v>
      </c>
      <c r="D445" s="3" t="s">
        <v>805</v>
      </c>
      <c r="E445" s="3" t="s">
        <v>91</v>
      </c>
      <c r="F445" s="3" t="s">
        <v>121</v>
      </c>
      <c r="G445" s="3" t="s">
        <v>135</v>
      </c>
      <c r="H445" s="3" t="s">
        <v>136</v>
      </c>
      <c r="I445" s="3">
        <v>1</v>
      </c>
      <c r="J445" s="11">
        <v>40</v>
      </c>
      <c r="K445" s="4">
        <v>0.15</v>
      </c>
      <c r="L445" s="3" t="s">
        <v>95</v>
      </c>
      <c r="M445" s="3">
        <v>22</v>
      </c>
      <c r="N445" s="3">
        <v>10</v>
      </c>
      <c r="O445" s="3">
        <v>5</v>
      </c>
      <c r="P445" s="11">
        <f>Clean_Data[[#This Row],[Quantity]]*Clean_Data[[#This Row],[UnitPrice]]</f>
        <v>40</v>
      </c>
      <c r="Q445" s="11">
        <f>ROUND(Clean_Data[[#This Row],[GrossSales]]*Clean_Data[[#This Row],[DiscountPct]],2)</f>
        <v>6</v>
      </c>
      <c r="R445" s="11">
        <f>IF(Clean_Data[[#This Row],[Status]]="Delivered",ROUND(Clean_Data[[#This Row],[GrossSales]]-Clean_Data[[#This Row],[DiscountAmount]],2),0)</f>
        <v>34</v>
      </c>
      <c r="S445" s="3" t="str">
        <f>IF(Clean_Data[[#This Row],[OrderHour]]&lt;6,"Night",IF(Clean_Data[[#This Row],[OrderHour]]&lt;12,"Morning",IF(Clean_Data[[#This Row],[OrderHour]]&lt;18,"Afternoon","Evening")))</f>
        <v>Morning</v>
      </c>
      <c r="T445" s="3" t="str">
        <f>TEXT(Clean_Data[[#This Row],[OrderDate]],"[$-409]ddd")</f>
        <v>Tue</v>
      </c>
      <c r="U445" s="3">
        <f>WEEKDAY(Clean_Data[[#This Row],[OrderDate]],2)</f>
        <v>2</v>
      </c>
      <c r="V445" s="3">
        <f>INT(Clean_Data[[#This Row],[OrderHour]]/6)+1</f>
        <v>2</v>
      </c>
      <c r="W445" s="3">
        <f>IF(Clean_Data[[#This Row],[Status]]="Delivered",1,0)</f>
        <v>1</v>
      </c>
      <c r="X445" s="3">
        <f>IF(Clean_Data[[#This Row],[Status]]="Delivered",IF(Clean_Data[[#This Row],[DeliveryMinutes]]&lt;=Dashboard!$X$5,1,0),0)</f>
        <v>1</v>
      </c>
      <c r="Y4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5" s="3">
        <f>IF(AND(Clean_Data[[#This Row],[Include]]=1,Clean_Data[[#This Row],[DeliveredFlag]]=1),1,0)</f>
        <v>1</v>
      </c>
      <c r="AA445" s="1">
        <f>IF(COUNTIF($D$2:D445,D445)=1,ROW()-1,ROWS(Clean_Data[OrderID])+1)</f>
        <v>444</v>
      </c>
      <c r="AB445" s="1">
        <f>IF(COUNTIF($F$2:F445,F445)=1,ROW()-1,ROWS(Clean_Data[OrderID])+1)</f>
        <v>901</v>
      </c>
      <c r="AC445" s="1">
        <f>IF(COUNTIF($G$2:G445,G445)=1,ROW()-1,ROWS(Clean_Data[OrderID])+1)</f>
        <v>901</v>
      </c>
      <c r="AD445" s="1">
        <f>IF(COUNTIF($H$2:H445,H445)=1,ROW()-1,ROWS(Clean_Data[OrderID])+1)</f>
        <v>901</v>
      </c>
      <c r="AE445" s="1">
        <f>IF(COUNTIF($V$2:V445,V445)=1,V445,ROWS(Clean_Data[OrderID])+1)</f>
        <v>901</v>
      </c>
      <c r="AF445" s="1">
        <f>IF(COUNTIF($U$2:U445,U445)=1,U445,ROWS(Clean_Data[OrderID])+1)</f>
        <v>901</v>
      </c>
      <c r="AG445" s="1">
        <f>IF(COUNTIF($E$2:E445,E445)=1,ROW()-1,ROWS(Clean_Data[OrderID])+1)</f>
        <v>901</v>
      </c>
    </row>
    <row r="446" spans="1:33" ht="20" customHeight="1">
      <c r="A446" s="3" t="s">
        <v>806</v>
      </c>
      <c r="B446" s="2">
        <v>46280</v>
      </c>
      <c r="C446" s="3">
        <v>6</v>
      </c>
      <c r="D446" s="3" t="s">
        <v>186</v>
      </c>
      <c r="E446" s="3" t="s">
        <v>117</v>
      </c>
      <c r="F446" s="3" t="s">
        <v>121</v>
      </c>
      <c r="G446" s="3" t="s">
        <v>135</v>
      </c>
      <c r="H446" s="3" t="s">
        <v>217</v>
      </c>
      <c r="I446" s="3">
        <v>4</v>
      </c>
      <c r="J446" s="11">
        <v>65</v>
      </c>
      <c r="K446" s="4">
        <v>0</v>
      </c>
      <c r="L446" s="3" t="s">
        <v>95</v>
      </c>
      <c r="M446" s="3">
        <v>15</v>
      </c>
      <c r="N446" s="3">
        <v>7</v>
      </c>
      <c r="O446" s="3">
        <v>5</v>
      </c>
      <c r="P446" s="11">
        <f>Clean_Data[[#This Row],[Quantity]]*Clean_Data[[#This Row],[UnitPrice]]</f>
        <v>260</v>
      </c>
      <c r="Q446" s="11">
        <f>ROUND(Clean_Data[[#This Row],[GrossSales]]*Clean_Data[[#This Row],[DiscountPct]],2)</f>
        <v>0</v>
      </c>
      <c r="R446" s="11">
        <f>IF(Clean_Data[[#This Row],[Status]]="Delivered",ROUND(Clean_Data[[#This Row],[GrossSales]]-Clean_Data[[#This Row],[DiscountAmount]],2),0)</f>
        <v>260</v>
      </c>
      <c r="S446" s="3" t="str">
        <f>IF(Clean_Data[[#This Row],[OrderHour]]&lt;6,"Night",IF(Clean_Data[[#This Row],[OrderHour]]&lt;12,"Morning",IF(Clean_Data[[#This Row],[OrderHour]]&lt;18,"Afternoon","Evening")))</f>
        <v>Morning</v>
      </c>
      <c r="T446" s="3" t="str">
        <f>TEXT(Clean_Data[[#This Row],[OrderDate]],"[$-409]ddd")</f>
        <v>Tue</v>
      </c>
      <c r="U446" s="3">
        <f>WEEKDAY(Clean_Data[[#This Row],[OrderDate]],2)</f>
        <v>2</v>
      </c>
      <c r="V446" s="3">
        <f>INT(Clean_Data[[#This Row],[OrderHour]]/6)+1</f>
        <v>2</v>
      </c>
      <c r="W446" s="3">
        <f>IF(Clean_Data[[#This Row],[Status]]="Delivered",1,0)</f>
        <v>1</v>
      </c>
      <c r="X446" s="3">
        <f>IF(Clean_Data[[#This Row],[Status]]="Delivered",IF(Clean_Data[[#This Row],[DeliveryMinutes]]&lt;=Dashboard!$X$5,1,0),0)</f>
        <v>1</v>
      </c>
      <c r="Y4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6" s="3">
        <f>IF(AND(Clean_Data[[#This Row],[Include]]=1,Clean_Data[[#This Row],[DeliveredFlag]]=1),1,0)</f>
        <v>1</v>
      </c>
      <c r="AA446" s="1">
        <f>IF(COUNTIF($D$2:D446,D446)=1,ROW()-1,ROWS(Clean_Data[OrderID])+1)</f>
        <v>901</v>
      </c>
      <c r="AB446" s="1">
        <f>IF(COUNTIF($F$2:F446,F446)=1,ROW()-1,ROWS(Clean_Data[OrderID])+1)</f>
        <v>901</v>
      </c>
      <c r="AC446" s="1">
        <f>IF(COUNTIF($G$2:G446,G446)=1,ROW()-1,ROWS(Clean_Data[OrderID])+1)</f>
        <v>901</v>
      </c>
      <c r="AD446" s="1">
        <f>IF(COUNTIF($H$2:H446,H446)=1,ROW()-1,ROWS(Clean_Data[OrderID])+1)</f>
        <v>901</v>
      </c>
      <c r="AE446" s="1">
        <f>IF(COUNTIF($V$2:V446,V446)=1,V446,ROWS(Clean_Data[OrderID])+1)</f>
        <v>901</v>
      </c>
      <c r="AF446" s="1">
        <f>IF(COUNTIF($U$2:U446,U446)=1,U446,ROWS(Clean_Data[OrderID])+1)</f>
        <v>901</v>
      </c>
      <c r="AG446" s="1">
        <f>IF(COUNTIF($E$2:E446,E446)=1,ROW()-1,ROWS(Clean_Data[OrderID])+1)</f>
        <v>901</v>
      </c>
    </row>
    <row r="447" spans="1:33" ht="20" customHeight="1">
      <c r="A447" s="3" t="s">
        <v>807</v>
      </c>
      <c r="B447" s="2">
        <v>46280</v>
      </c>
      <c r="C447" s="3">
        <v>20</v>
      </c>
      <c r="D447" s="3" t="s">
        <v>267</v>
      </c>
      <c r="E447" s="3" t="s">
        <v>91</v>
      </c>
      <c r="F447" s="3" t="s">
        <v>98</v>
      </c>
      <c r="G447" s="3" t="s">
        <v>135</v>
      </c>
      <c r="H447" s="3" t="s">
        <v>162</v>
      </c>
      <c r="I447" s="3">
        <v>5</v>
      </c>
      <c r="J447" s="11">
        <v>180</v>
      </c>
      <c r="K447" s="4">
        <v>0.1</v>
      </c>
      <c r="L447" s="3" t="s">
        <v>95</v>
      </c>
      <c r="M447" s="3">
        <v>26</v>
      </c>
      <c r="N447" s="3">
        <v>5</v>
      </c>
      <c r="O447" s="3">
        <v>4</v>
      </c>
      <c r="P447" s="11">
        <f>Clean_Data[[#This Row],[Quantity]]*Clean_Data[[#This Row],[UnitPrice]]</f>
        <v>900</v>
      </c>
      <c r="Q447" s="11">
        <f>ROUND(Clean_Data[[#This Row],[GrossSales]]*Clean_Data[[#This Row],[DiscountPct]],2)</f>
        <v>90</v>
      </c>
      <c r="R447" s="11">
        <f>IF(Clean_Data[[#This Row],[Status]]="Delivered",ROUND(Clean_Data[[#This Row],[GrossSales]]-Clean_Data[[#This Row],[DiscountAmount]],2),0)</f>
        <v>810</v>
      </c>
      <c r="S447" s="3" t="str">
        <f>IF(Clean_Data[[#This Row],[OrderHour]]&lt;6,"Night",IF(Clean_Data[[#This Row],[OrderHour]]&lt;12,"Morning",IF(Clean_Data[[#This Row],[OrderHour]]&lt;18,"Afternoon","Evening")))</f>
        <v>Evening</v>
      </c>
      <c r="T447" s="3" t="str">
        <f>TEXT(Clean_Data[[#This Row],[OrderDate]],"[$-409]ddd")</f>
        <v>Tue</v>
      </c>
      <c r="U447" s="3">
        <f>WEEKDAY(Clean_Data[[#This Row],[OrderDate]],2)</f>
        <v>2</v>
      </c>
      <c r="V447" s="3">
        <f>INT(Clean_Data[[#This Row],[OrderHour]]/6)+1</f>
        <v>4</v>
      </c>
      <c r="W447" s="3">
        <f>IF(Clean_Data[[#This Row],[Status]]="Delivered",1,0)</f>
        <v>1</v>
      </c>
      <c r="X447" s="3">
        <f>IF(Clean_Data[[#This Row],[Status]]="Delivered",IF(Clean_Data[[#This Row],[DeliveryMinutes]]&lt;=Dashboard!$X$5,1,0),0)</f>
        <v>1</v>
      </c>
      <c r="Y4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7" s="3">
        <f>IF(AND(Clean_Data[[#This Row],[Include]]=1,Clean_Data[[#This Row],[DeliveredFlag]]=1),1,0)</f>
        <v>1</v>
      </c>
      <c r="AA447" s="1">
        <f>IF(COUNTIF($D$2:D447,D447)=1,ROW()-1,ROWS(Clean_Data[OrderID])+1)</f>
        <v>901</v>
      </c>
      <c r="AB447" s="1">
        <f>IF(COUNTIF($F$2:F447,F447)=1,ROW()-1,ROWS(Clean_Data[OrderID])+1)</f>
        <v>901</v>
      </c>
      <c r="AC447" s="1">
        <f>IF(COUNTIF($G$2:G447,G447)=1,ROW()-1,ROWS(Clean_Data[OrderID])+1)</f>
        <v>901</v>
      </c>
      <c r="AD447" s="1">
        <f>IF(COUNTIF($H$2:H447,H447)=1,ROW()-1,ROWS(Clean_Data[OrderID])+1)</f>
        <v>901</v>
      </c>
      <c r="AE447" s="1">
        <f>IF(COUNTIF($V$2:V447,V447)=1,V447,ROWS(Clean_Data[OrderID])+1)</f>
        <v>901</v>
      </c>
      <c r="AF447" s="1">
        <f>IF(COUNTIF($U$2:U447,U447)=1,U447,ROWS(Clean_Data[OrderID])+1)</f>
        <v>901</v>
      </c>
      <c r="AG447" s="1">
        <f>IF(COUNTIF($E$2:E447,E447)=1,ROW()-1,ROWS(Clean_Data[OrderID])+1)</f>
        <v>901</v>
      </c>
    </row>
    <row r="448" spans="1:33" ht="20" customHeight="1">
      <c r="A448" s="3" t="s">
        <v>808</v>
      </c>
      <c r="B448" s="2">
        <v>46280</v>
      </c>
      <c r="C448" s="3">
        <v>17</v>
      </c>
      <c r="D448" s="3" t="s">
        <v>497</v>
      </c>
      <c r="E448" s="3" t="s">
        <v>91</v>
      </c>
      <c r="F448" s="3" t="s">
        <v>139</v>
      </c>
      <c r="G448" s="3" t="s">
        <v>135</v>
      </c>
      <c r="H448" s="3" t="s">
        <v>162</v>
      </c>
      <c r="I448" s="3">
        <v>2</v>
      </c>
      <c r="J448" s="11">
        <v>180</v>
      </c>
      <c r="K448" s="4">
        <v>0</v>
      </c>
      <c r="L448" s="3" t="s">
        <v>95</v>
      </c>
      <c r="M448" s="3">
        <v>35</v>
      </c>
      <c r="N448" s="3">
        <v>11</v>
      </c>
      <c r="O448" s="3">
        <v>4</v>
      </c>
      <c r="P448" s="11">
        <f>Clean_Data[[#This Row],[Quantity]]*Clean_Data[[#This Row],[UnitPrice]]</f>
        <v>360</v>
      </c>
      <c r="Q448" s="11">
        <f>ROUND(Clean_Data[[#This Row],[GrossSales]]*Clean_Data[[#This Row],[DiscountPct]],2)</f>
        <v>0</v>
      </c>
      <c r="R448" s="11">
        <f>IF(Clean_Data[[#This Row],[Status]]="Delivered",ROUND(Clean_Data[[#This Row],[GrossSales]]-Clean_Data[[#This Row],[DiscountAmount]],2),0)</f>
        <v>360</v>
      </c>
      <c r="S448" s="3" t="str">
        <f>IF(Clean_Data[[#This Row],[OrderHour]]&lt;6,"Night",IF(Clean_Data[[#This Row],[OrderHour]]&lt;12,"Morning",IF(Clean_Data[[#This Row],[OrderHour]]&lt;18,"Afternoon","Evening")))</f>
        <v>Afternoon</v>
      </c>
      <c r="T448" s="3" t="str">
        <f>TEXT(Clean_Data[[#This Row],[OrderDate]],"[$-409]ddd")</f>
        <v>Tue</v>
      </c>
      <c r="U448" s="3">
        <f>WEEKDAY(Clean_Data[[#This Row],[OrderDate]],2)</f>
        <v>2</v>
      </c>
      <c r="V448" s="3">
        <f>INT(Clean_Data[[#This Row],[OrderHour]]/6)+1</f>
        <v>3</v>
      </c>
      <c r="W448" s="3">
        <f>IF(Clean_Data[[#This Row],[Status]]="Delivered",1,0)</f>
        <v>1</v>
      </c>
      <c r="X448" s="3">
        <f>IF(Clean_Data[[#This Row],[Status]]="Delivered",IF(Clean_Data[[#This Row],[DeliveryMinutes]]&lt;=Dashboard!$X$5,1,0),0)</f>
        <v>0</v>
      </c>
      <c r="Y4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8" s="3">
        <f>IF(AND(Clean_Data[[#This Row],[Include]]=1,Clean_Data[[#This Row],[DeliveredFlag]]=1),1,0)</f>
        <v>1</v>
      </c>
      <c r="AA448" s="1">
        <f>IF(COUNTIF($D$2:D448,D448)=1,ROW()-1,ROWS(Clean_Data[OrderID])+1)</f>
        <v>901</v>
      </c>
      <c r="AB448" s="1">
        <f>IF(COUNTIF($F$2:F448,F448)=1,ROW()-1,ROWS(Clean_Data[OrderID])+1)</f>
        <v>901</v>
      </c>
      <c r="AC448" s="1">
        <f>IF(COUNTIF($G$2:G448,G448)=1,ROW()-1,ROWS(Clean_Data[OrderID])+1)</f>
        <v>901</v>
      </c>
      <c r="AD448" s="1">
        <f>IF(COUNTIF($H$2:H448,H448)=1,ROW()-1,ROWS(Clean_Data[OrderID])+1)</f>
        <v>901</v>
      </c>
      <c r="AE448" s="1">
        <f>IF(COUNTIF($V$2:V448,V448)=1,V448,ROWS(Clean_Data[OrderID])+1)</f>
        <v>901</v>
      </c>
      <c r="AF448" s="1">
        <f>IF(COUNTIF($U$2:U448,U448)=1,U448,ROWS(Clean_Data[OrderID])+1)</f>
        <v>901</v>
      </c>
      <c r="AG448" s="1">
        <f>IF(COUNTIF($E$2:E448,E448)=1,ROW()-1,ROWS(Clean_Data[OrderID])+1)</f>
        <v>901</v>
      </c>
    </row>
    <row r="449" spans="1:33" ht="20" customHeight="1">
      <c r="A449" s="3" t="s">
        <v>809</v>
      </c>
      <c r="B449" s="2">
        <v>46280</v>
      </c>
      <c r="C449" s="3">
        <v>18</v>
      </c>
      <c r="D449" s="3" t="s">
        <v>477</v>
      </c>
      <c r="E449" s="3" t="s">
        <v>91</v>
      </c>
      <c r="F449" s="3" t="s">
        <v>109</v>
      </c>
      <c r="G449" s="3" t="s">
        <v>135</v>
      </c>
      <c r="H449" s="3" t="s">
        <v>136</v>
      </c>
      <c r="I449" s="3">
        <v>5</v>
      </c>
      <c r="J449" s="11">
        <v>40</v>
      </c>
      <c r="K449" s="4">
        <v>0</v>
      </c>
      <c r="L449" s="3" t="s">
        <v>95</v>
      </c>
      <c r="M449" s="3">
        <v>18</v>
      </c>
      <c r="N449" s="3">
        <v>4</v>
      </c>
      <c r="O449" s="3">
        <v>4</v>
      </c>
      <c r="P449" s="11">
        <f>Clean_Data[[#This Row],[Quantity]]*Clean_Data[[#This Row],[UnitPrice]]</f>
        <v>200</v>
      </c>
      <c r="Q449" s="11">
        <f>ROUND(Clean_Data[[#This Row],[GrossSales]]*Clean_Data[[#This Row],[DiscountPct]],2)</f>
        <v>0</v>
      </c>
      <c r="R449" s="11">
        <f>IF(Clean_Data[[#This Row],[Status]]="Delivered",ROUND(Clean_Data[[#This Row],[GrossSales]]-Clean_Data[[#This Row],[DiscountAmount]],2),0)</f>
        <v>200</v>
      </c>
      <c r="S449" s="3" t="str">
        <f>IF(Clean_Data[[#This Row],[OrderHour]]&lt;6,"Night",IF(Clean_Data[[#This Row],[OrderHour]]&lt;12,"Morning",IF(Clean_Data[[#This Row],[OrderHour]]&lt;18,"Afternoon","Evening")))</f>
        <v>Evening</v>
      </c>
      <c r="T449" s="3" t="str">
        <f>TEXT(Clean_Data[[#This Row],[OrderDate]],"[$-409]ddd")</f>
        <v>Tue</v>
      </c>
      <c r="U449" s="3">
        <f>WEEKDAY(Clean_Data[[#This Row],[OrderDate]],2)</f>
        <v>2</v>
      </c>
      <c r="V449" s="3">
        <f>INT(Clean_Data[[#This Row],[OrderHour]]/6)+1</f>
        <v>4</v>
      </c>
      <c r="W449" s="3">
        <f>IF(Clean_Data[[#This Row],[Status]]="Delivered",1,0)</f>
        <v>1</v>
      </c>
      <c r="X449" s="3">
        <f>IF(Clean_Data[[#This Row],[Status]]="Delivered",IF(Clean_Data[[#This Row],[DeliveryMinutes]]&lt;=Dashboard!$X$5,1,0),0)</f>
        <v>1</v>
      </c>
      <c r="Y4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49" s="3">
        <f>IF(AND(Clean_Data[[#This Row],[Include]]=1,Clean_Data[[#This Row],[DeliveredFlag]]=1),1,0)</f>
        <v>1</v>
      </c>
      <c r="AA449" s="1">
        <f>IF(COUNTIF($D$2:D449,D449)=1,ROW()-1,ROWS(Clean_Data[OrderID])+1)</f>
        <v>901</v>
      </c>
      <c r="AB449" s="1">
        <f>IF(COUNTIF($F$2:F449,F449)=1,ROW()-1,ROWS(Clean_Data[OrderID])+1)</f>
        <v>901</v>
      </c>
      <c r="AC449" s="1">
        <f>IF(COUNTIF($G$2:G449,G449)=1,ROW()-1,ROWS(Clean_Data[OrderID])+1)</f>
        <v>901</v>
      </c>
      <c r="AD449" s="1">
        <f>IF(COUNTIF($H$2:H449,H449)=1,ROW()-1,ROWS(Clean_Data[OrderID])+1)</f>
        <v>901</v>
      </c>
      <c r="AE449" s="1">
        <f>IF(COUNTIF($V$2:V449,V449)=1,V449,ROWS(Clean_Data[OrderID])+1)</f>
        <v>901</v>
      </c>
      <c r="AF449" s="1">
        <f>IF(COUNTIF($U$2:U449,U449)=1,U449,ROWS(Clean_Data[OrderID])+1)</f>
        <v>901</v>
      </c>
      <c r="AG449" s="1">
        <f>IF(COUNTIF($E$2:E449,E449)=1,ROW()-1,ROWS(Clean_Data[OrderID])+1)</f>
        <v>901</v>
      </c>
    </row>
    <row r="450" spans="1:33" ht="20" customHeight="1">
      <c r="A450" s="3" t="s">
        <v>810</v>
      </c>
      <c r="B450" s="2">
        <v>46280</v>
      </c>
      <c r="C450" s="3">
        <v>7</v>
      </c>
      <c r="D450" s="3" t="s">
        <v>652</v>
      </c>
      <c r="E450" s="3" t="s">
        <v>91</v>
      </c>
      <c r="F450" s="3" t="s">
        <v>109</v>
      </c>
      <c r="G450" s="3" t="s">
        <v>110</v>
      </c>
      <c r="H450" s="3" t="s">
        <v>206</v>
      </c>
      <c r="I450" s="3">
        <v>3</v>
      </c>
      <c r="J450" s="11">
        <v>220</v>
      </c>
      <c r="K450" s="4">
        <v>0.1</v>
      </c>
      <c r="L450" s="3" t="s">
        <v>95</v>
      </c>
      <c r="M450" s="3">
        <v>24</v>
      </c>
      <c r="N450" s="3">
        <v>8</v>
      </c>
      <c r="O450" s="3">
        <v>5</v>
      </c>
      <c r="P450" s="11">
        <f>Clean_Data[[#This Row],[Quantity]]*Clean_Data[[#This Row],[UnitPrice]]</f>
        <v>660</v>
      </c>
      <c r="Q450" s="11">
        <f>ROUND(Clean_Data[[#This Row],[GrossSales]]*Clean_Data[[#This Row],[DiscountPct]],2)</f>
        <v>66</v>
      </c>
      <c r="R450" s="11">
        <f>IF(Clean_Data[[#This Row],[Status]]="Delivered",ROUND(Clean_Data[[#This Row],[GrossSales]]-Clean_Data[[#This Row],[DiscountAmount]],2),0)</f>
        <v>594</v>
      </c>
      <c r="S450" s="3" t="str">
        <f>IF(Clean_Data[[#This Row],[OrderHour]]&lt;6,"Night",IF(Clean_Data[[#This Row],[OrderHour]]&lt;12,"Morning",IF(Clean_Data[[#This Row],[OrderHour]]&lt;18,"Afternoon","Evening")))</f>
        <v>Morning</v>
      </c>
      <c r="T450" s="3" t="str">
        <f>TEXT(Clean_Data[[#This Row],[OrderDate]],"[$-409]ddd")</f>
        <v>Tue</v>
      </c>
      <c r="U450" s="3">
        <f>WEEKDAY(Clean_Data[[#This Row],[OrderDate]],2)</f>
        <v>2</v>
      </c>
      <c r="V450" s="3">
        <f>INT(Clean_Data[[#This Row],[OrderHour]]/6)+1</f>
        <v>2</v>
      </c>
      <c r="W450" s="3">
        <f>IF(Clean_Data[[#This Row],[Status]]="Delivered",1,0)</f>
        <v>1</v>
      </c>
      <c r="X450" s="3">
        <f>IF(Clean_Data[[#This Row],[Status]]="Delivered",IF(Clean_Data[[#This Row],[DeliveryMinutes]]&lt;=Dashboard!$X$5,1,0),0)</f>
        <v>1</v>
      </c>
      <c r="Y4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0" s="3">
        <f>IF(AND(Clean_Data[[#This Row],[Include]]=1,Clean_Data[[#This Row],[DeliveredFlag]]=1),1,0)</f>
        <v>1</v>
      </c>
      <c r="AA450" s="1">
        <f>IF(COUNTIF($D$2:D450,D450)=1,ROW()-1,ROWS(Clean_Data[OrderID])+1)</f>
        <v>901</v>
      </c>
      <c r="AB450" s="1">
        <f>IF(COUNTIF($F$2:F450,F450)=1,ROW()-1,ROWS(Clean_Data[OrderID])+1)</f>
        <v>901</v>
      </c>
      <c r="AC450" s="1">
        <f>IF(COUNTIF($G$2:G450,G450)=1,ROW()-1,ROWS(Clean_Data[OrderID])+1)</f>
        <v>901</v>
      </c>
      <c r="AD450" s="1">
        <f>IF(COUNTIF($H$2:H450,H450)=1,ROW()-1,ROWS(Clean_Data[OrderID])+1)</f>
        <v>901</v>
      </c>
      <c r="AE450" s="1">
        <f>IF(COUNTIF($V$2:V450,V450)=1,V450,ROWS(Clean_Data[OrderID])+1)</f>
        <v>901</v>
      </c>
      <c r="AF450" s="1">
        <f>IF(COUNTIF($U$2:U450,U450)=1,U450,ROWS(Clean_Data[OrderID])+1)</f>
        <v>901</v>
      </c>
      <c r="AG450" s="1">
        <f>IF(COUNTIF($E$2:E450,E450)=1,ROW()-1,ROWS(Clean_Data[OrderID])+1)</f>
        <v>901</v>
      </c>
    </row>
    <row r="451" spans="1:33" ht="20" customHeight="1">
      <c r="A451" s="3" t="s">
        <v>811</v>
      </c>
      <c r="B451" s="2">
        <v>46280</v>
      </c>
      <c r="C451" s="3">
        <v>19</v>
      </c>
      <c r="D451" s="3" t="s">
        <v>228</v>
      </c>
      <c r="E451" s="3" t="s">
        <v>91</v>
      </c>
      <c r="F451" s="3" t="s">
        <v>98</v>
      </c>
      <c r="G451" s="3" t="s">
        <v>135</v>
      </c>
      <c r="H451" s="3" t="s">
        <v>136</v>
      </c>
      <c r="I451" s="3">
        <v>4</v>
      </c>
      <c r="J451" s="11">
        <v>40</v>
      </c>
      <c r="K451" s="4">
        <v>0.15</v>
      </c>
      <c r="L451" s="3" t="s">
        <v>95</v>
      </c>
      <c r="M451" s="3">
        <v>24</v>
      </c>
      <c r="N451" s="3">
        <v>5</v>
      </c>
      <c r="O451" s="3">
        <v>5</v>
      </c>
      <c r="P451" s="11">
        <f>Clean_Data[[#This Row],[Quantity]]*Clean_Data[[#This Row],[UnitPrice]]</f>
        <v>160</v>
      </c>
      <c r="Q451" s="11">
        <f>ROUND(Clean_Data[[#This Row],[GrossSales]]*Clean_Data[[#This Row],[DiscountPct]],2)</f>
        <v>24</v>
      </c>
      <c r="R451" s="11">
        <f>IF(Clean_Data[[#This Row],[Status]]="Delivered",ROUND(Clean_Data[[#This Row],[GrossSales]]-Clean_Data[[#This Row],[DiscountAmount]],2),0)</f>
        <v>136</v>
      </c>
      <c r="S451" s="3" t="str">
        <f>IF(Clean_Data[[#This Row],[OrderHour]]&lt;6,"Night",IF(Clean_Data[[#This Row],[OrderHour]]&lt;12,"Morning",IF(Clean_Data[[#This Row],[OrderHour]]&lt;18,"Afternoon","Evening")))</f>
        <v>Evening</v>
      </c>
      <c r="T451" s="3" t="str">
        <f>TEXT(Clean_Data[[#This Row],[OrderDate]],"[$-409]ddd")</f>
        <v>Tue</v>
      </c>
      <c r="U451" s="3">
        <f>WEEKDAY(Clean_Data[[#This Row],[OrderDate]],2)</f>
        <v>2</v>
      </c>
      <c r="V451" s="3">
        <f>INT(Clean_Data[[#This Row],[OrderHour]]/6)+1</f>
        <v>4</v>
      </c>
      <c r="W451" s="3">
        <f>IF(Clean_Data[[#This Row],[Status]]="Delivered",1,0)</f>
        <v>1</v>
      </c>
      <c r="X451" s="3">
        <f>IF(Clean_Data[[#This Row],[Status]]="Delivered",IF(Clean_Data[[#This Row],[DeliveryMinutes]]&lt;=Dashboard!$X$5,1,0),0)</f>
        <v>1</v>
      </c>
      <c r="Y4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1" s="3">
        <f>IF(AND(Clean_Data[[#This Row],[Include]]=1,Clean_Data[[#This Row],[DeliveredFlag]]=1),1,0)</f>
        <v>1</v>
      </c>
      <c r="AA451" s="1">
        <f>IF(COUNTIF($D$2:D451,D451)=1,ROW()-1,ROWS(Clean_Data[OrderID])+1)</f>
        <v>901</v>
      </c>
      <c r="AB451" s="1">
        <f>IF(COUNTIF($F$2:F451,F451)=1,ROW()-1,ROWS(Clean_Data[OrderID])+1)</f>
        <v>901</v>
      </c>
      <c r="AC451" s="1">
        <f>IF(COUNTIF($G$2:G451,G451)=1,ROW()-1,ROWS(Clean_Data[OrderID])+1)</f>
        <v>901</v>
      </c>
      <c r="AD451" s="1">
        <f>IF(COUNTIF($H$2:H451,H451)=1,ROW()-1,ROWS(Clean_Data[OrderID])+1)</f>
        <v>901</v>
      </c>
      <c r="AE451" s="1">
        <f>IF(COUNTIF($V$2:V451,V451)=1,V451,ROWS(Clean_Data[OrderID])+1)</f>
        <v>901</v>
      </c>
      <c r="AF451" s="1">
        <f>IF(COUNTIF($U$2:U451,U451)=1,U451,ROWS(Clean_Data[OrderID])+1)</f>
        <v>901</v>
      </c>
      <c r="AG451" s="1">
        <f>IF(COUNTIF($E$2:E451,E451)=1,ROW()-1,ROWS(Clean_Data[OrderID])+1)</f>
        <v>901</v>
      </c>
    </row>
    <row r="452" spans="1:33" ht="20" customHeight="1">
      <c r="A452" s="3" t="s">
        <v>812</v>
      </c>
      <c r="B452" s="2">
        <v>46281</v>
      </c>
      <c r="C452" s="3">
        <v>22</v>
      </c>
      <c r="D452" s="3" t="s">
        <v>813</v>
      </c>
      <c r="E452" s="3" t="s">
        <v>117</v>
      </c>
      <c r="F452" s="3" t="s">
        <v>109</v>
      </c>
      <c r="G452" s="3" t="s">
        <v>110</v>
      </c>
      <c r="H452" s="3" t="s">
        <v>114</v>
      </c>
      <c r="I452" s="3">
        <v>1</v>
      </c>
      <c r="J452" s="11">
        <v>145</v>
      </c>
      <c r="K452" s="4">
        <v>0.15</v>
      </c>
      <c r="L452" s="3" t="s">
        <v>95</v>
      </c>
      <c r="M452" s="3">
        <v>13</v>
      </c>
      <c r="N452" s="3">
        <v>13</v>
      </c>
      <c r="O452" s="3">
        <v>4</v>
      </c>
      <c r="P452" s="11">
        <f>Clean_Data[[#This Row],[Quantity]]*Clean_Data[[#This Row],[UnitPrice]]</f>
        <v>145</v>
      </c>
      <c r="Q452" s="11">
        <f>ROUND(Clean_Data[[#This Row],[GrossSales]]*Clean_Data[[#This Row],[DiscountPct]],2)</f>
        <v>21.75</v>
      </c>
      <c r="R452" s="11">
        <f>IF(Clean_Data[[#This Row],[Status]]="Delivered",ROUND(Clean_Data[[#This Row],[GrossSales]]-Clean_Data[[#This Row],[DiscountAmount]],2),0)</f>
        <v>123.25</v>
      </c>
      <c r="S452" s="3" t="str">
        <f>IF(Clean_Data[[#This Row],[OrderHour]]&lt;6,"Night",IF(Clean_Data[[#This Row],[OrderHour]]&lt;12,"Morning",IF(Clean_Data[[#This Row],[OrderHour]]&lt;18,"Afternoon","Evening")))</f>
        <v>Evening</v>
      </c>
      <c r="T452" s="3" t="str">
        <f>TEXT(Clean_Data[[#This Row],[OrderDate]],"[$-409]ddd")</f>
        <v>Wed</v>
      </c>
      <c r="U452" s="3">
        <f>WEEKDAY(Clean_Data[[#This Row],[OrderDate]],2)</f>
        <v>3</v>
      </c>
      <c r="V452" s="3">
        <f>INT(Clean_Data[[#This Row],[OrderHour]]/6)+1</f>
        <v>4</v>
      </c>
      <c r="W452" s="3">
        <f>IF(Clean_Data[[#This Row],[Status]]="Delivered",1,0)</f>
        <v>1</v>
      </c>
      <c r="X452" s="3">
        <f>IF(Clean_Data[[#This Row],[Status]]="Delivered",IF(Clean_Data[[#This Row],[DeliveryMinutes]]&lt;=Dashboard!$X$5,1,0),0)</f>
        <v>1</v>
      </c>
      <c r="Y4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2" s="3">
        <f>IF(AND(Clean_Data[[#This Row],[Include]]=1,Clean_Data[[#This Row],[DeliveredFlag]]=1),1,0)</f>
        <v>1</v>
      </c>
      <c r="AA452" s="1">
        <f>IF(COUNTIF($D$2:D452,D452)=1,ROW()-1,ROWS(Clean_Data[OrderID])+1)</f>
        <v>451</v>
      </c>
      <c r="AB452" s="1">
        <f>IF(COUNTIF($F$2:F452,F452)=1,ROW()-1,ROWS(Clean_Data[OrderID])+1)</f>
        <v>901</v>
      </c>
      <c r="AC452" s="1">
        <f>IF(COUNTIF($G$2:G452,G452)=1,ROW()-1,ROWS(Clean_Data[OrderID])+1)</f>
        <v>901</v>
      </c>
      <c r="AD452" s="1">
        <f>IF(COUNTIF($H$2:H452,H452)=1,ROW()-1,ROWS(Clean_Data[OrderID])+1)</f>
        <v>901</v>
      </c>
      <c r="AE452" s="1">
        <f>IF(COUNTIF($V$2:V452,V452)=1,V452,ROWS(Clean_Data[OrderID])+1)</f>
        <v>901</v>
      </c>
      <c r="AF452" s="1">
        <f>IF(COUNTIF($U$2:U452,U452)=1,U452,ROWS(Clean_Data[OrderID])+1)</f>
        <v>901</v>
      </c>
      <c r="AG452" s="1">
        <f>IF(COUNTIF($E$2:E452,E452)=1,ROW()-1,ROWS(Clean_Data[OrderID])+1)</f>
        <v>901</v>
      </c>
    </row>
    <row r="453" spans="1:33" ht="20" customHeight="1">
      <c r="A453" s="3" t="s">
        <v>814</v>
      </c>
      <c r="B453" s="2">
        <v>46281</v>
      </c>
      <c r="C453" s="3">
        <v>20</v>
      </c>
      <c r="D453" s="3" t="s">
        <v>356</v>
      </c>
      <c r="E453" s="3" t="s">
        <v>91</v>
      </c>
      <c r="F453" s="3" t="s">
        <v>139</v>
      </c>
      <c r="G453" s="3" t="s">
        <v>135</v>
      </c>
      <c r="H453" s="3" t="s">
        <v>136</v>
      </c>
      <c r="I453" s="3">
        <v>3</v>
      </c>
      <c r="J453" s="11">
        <v>40</v>
      </c>
      <c r="K453" s="4">
        <v>0</v>
      </c>
      <c r="L453" s="3" t="s">
        <v>95</v>
      </c>
      <c r="M453" s="3">
        <v>35</v>
      </c>
      <c r="N453" s="3">
        <v>5</v>
      </c>
      <c r="O453" s="3">
        <v>3</v>
      </c>
      <c r="P453" s="11">
        <f>Clean_Data[[#This Row],[Quantity]]*Clean_Data[[#This Row],[UnitPrice]]</f>
        <v>120</v>
      </c>
      <c r="Q453" s="11">
        <f>ROUND(Clean_Data[[#This Row],[GrossSales]]*Clean_Data[[#This Row],[DiscountPct]],2)</f>
        <v>0</v>
      </c>
      <c r="R453" s="11">
        <f>IF(Clean_Data[[#This Row],[Status]]="Delivered",ROUND(Clean_Data[[#This Row],[GrossSales]]-Clean_Data[[#This Row],[DiscountAmount]],2),0)</f>
        <v>120</v>
      </c>
      <c r="S453" s="3" t="str">
        <f>IF(Clean_Data[[#This Row],[OrderHour]]&lt;6,"Night",IF(Clean_Data[[#This Row],[OrderHour]]&lt;12,"Morning",IF(Clean_Data[[#This Row],[OrderHour]]&lt;18,"Afternoon","Evening")))</f>
        <v>Evening</v>
      </c>
      <c r="T453" s="3" t="str">
        <f>TEXT(Clean_Data[[#This Row],[OrderDate]],"[$-409]ddd")</f>
        <v>Wed</v>
      </c>
      <c r="U453" s="3">
        <f>WEEKDAY(Clean_Data[[#This Row],[OrderDate]],2)</f>
        <v>3</v>
      </c>
      <c r="V453" s="3">
        <f>INT(Clean_Data[[#This Row],[OrderHour]]/6)+1</f>
        <v>4</v>
      </c>
      <c r="W453" s="3">
        <f>IF(Clean_Data[[#This Row],[Status]]="Delivered",1,0)</f>
        <v>1</v>
      </c>
      <c r="X453" s="3">
        <f>IF(Clean_Data[[#This Row],[Status]]="Delivered",IF(Clean_Data[[#This Row],[DeliveryMinutes]]&lt;=Dashboard!$X$5,1,0),0)</f>
        <v>0</v>
      </c>
      <c r="Y4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3" s="3">
        <f>IF(AND(Clean_Data[[#This Row],[Include]]=1,Clean_Data[[#This Row],[DeliveredFlag]]=1),1,0)</f>
        <v>1</v>
      </c>
      <c r="AA453" s="1">
        <f>IF(COUNTIF($D$2:D453,D453)=1,ROW()-1,ROWS(Clean_Data[OrderID])+1)</f>
        <v>901</v>
      </c>
      <c r="AB453" s="1">
        <f>IF(COUNTIF($F$2:F453,F453)=1,ROW()-1,ROWS(Clean_Data[OrderID])+1)</f>
        <v>901</v>
      </c>
      <c r="AC453" s="1">
        <f>IF(COUNTIF($G$2:G453,G453)=1,ROW()-1,ROWS(Clean_Data[OrderID])+1)</f>
        <v>901</v>
      </c>
      <c r="AD453" s="1">
        <f>IF(COUNTIF($H$2:H453,H453)=1,ROW()-1,ROWS(Clean_Data[OrderID])+1)</f>
        <v>901</v>
      </c>
      <c r="AE453" s="1">
        <f>IF(COUNTIF($V$2:V453,V453)=1,V453,ROWS(Clean_Data[OrderID])+1)</f>
        <v>901</v>
      </c>
      <c r="AF453" s="1">
        <f>IF(COUNTIF($U$2:U453,U453)=1,U453,ROWS(Clean_Data[OrderID])+1)</f>
        <v>901</v>
      </c>
      <c r="AG453" s="1">
        <f>IF(COUNTIF($E$2:E453,E453)=1,ROW()-1,ROWS(Clean_Data[OrderID])+1)</f>
        <v>901</v>
      </c>
    </row>
    <row r="454" spans="1:33" ht="20" customHeight="1">
      <c r="A454" s="3" t="s">
        <v>815</v>
      </c>
      <c r="B454" s="2">
        <v>46281</v>
      </c>
      <c r="C454" s="3">
        <v>22</v>
      </c>
      <c r="D454" s="3" t="s">
        <v>525</v>
      </c>
      <c r="E454" s="3" t="s">
        <v>91</v>
      </c>
      <c r="F454" s="3" t="s">
        <v>109</v>
      </c>
      <c r="G454" s="3" t="s">
        <v>99</v>
      </c>
      <c r="H454" s="3" t="s">
        <v>100</v>
      </c>
      <c r="I454" s="3">
        <v>1</v>
      </c>
      <c r="J454" s="11">
        <v>120</v>
      </c>
      <c r="K454" s="4">
        <v>0</v>
      </c>
      <c r="L454" s="3" t="s">
        <v>95</v>
      </c>
      <c r="M454" s="3">
        <v>21</v>
      </c>
      <c r="N454" s="3">
        <v>12</v>
      </c>
      <c r="O454" s="3">
        <v>5</v>
      </c>
      <c r="P454" s="11">
        <f>Clean_Data[[#This Row],[Quantity]]*Clean_Data[[#This Row],[UnitPrice]]</f>
        <v>120</v>
      </c>
      <c r="Q454" s="11">
        <f>ROUND(Clean_Data[[#This Row],[GrossSales]]*Clean_Data[[#This Row],[DiscountPct]],2)</f>
        <v>0</v>
      </c>
      <c r="R454" s="11">
        <f>IF(Clean_Data[[#This Row],[Status]]="Delivered",ROUND(Clean_Data[[#This Row],[GrossSales]]-Clean_Data[[#This Row],[DiscountAmount]],2),0)</f>
        <v>120</v>
      </c>
      <c r="S454" s="3" t="str">
        <f>IF(Clean_Data[[#This Row],[OrderHour]]&lt;6,"Night",IF(Clean_Data[[#This Row],[OrderHour]]&lt;12,"Morning",IF(Clean_Data[[#This Row],[OrderHour]]&lt;18,"Afternoon","Evening")))</f>
        <v>Evening</v>
      </c>
      <c r="T454" s="3" t="str">
        <f>TEXT(Clean_Data[[#This Row],[OrderDate]],"[$-409]ddd")</f>
        <v>Wed</v>
      </c>
      <c r="U454" s="3">
        <f>WEEKDAY(Clean_Data[[#This Row],[OrderDate]],2)</f>
        <v>3</v>
      </c>
      <c r="V454" s="3">
        <f>INT(Clean_Data[[#This Row],[OrderHour]]/6)+1</f>
        <v>4</v>
      </c>
      <c r="W454" s="3">
        <f>IF(Clean_Data[[#This Row],[Status]]="Delivered",1,0)</f>
        <v>1</v>
      </c>
      <c r="X454" s="3">
        <f>IF(Clean_Data[[#This Row],[Status]]="Delivered",IF(Clean_Data[[#This Row],[DeliveryMinutes]]&lt;=Dashboard!$X$5,1,0),0)</f>
        <v>1</v>
      </c>
      <c r="Y4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4" s="3">
        <f>IF(AND(Clean_Data[[#This Row],[Include]]=1,Clean_Data[[#This Row],[DeliveredFlag]]=1),1,0)</f>
        <v>1</v>
      </c>
      <c r="AA454" s="1">
        <f>IF(COUNTIF($D$2:D454,D454)=1,ROW()-1,ROWS(Clean_Data[OrderID])+1)</f>
        <v>901</v>
      </c>
      <c r="AB454" s="1">
        <f>IF(COUNTIF($F$2:F454,F454)=1,ROW()-1,ROWS(Clean_Data[OrderID])+1)</f>
        <v>901</v>
      </c>
      <c r="AC454" s="1">
        <f>IF(COUNTIF($G$2:G454,G454)=1,ROW()-1,ROWS(Clean_Data[OrderID])+1)</f>
        <v>901</v>
      </c>
      <c r="AD454" s="1">
        <f>IF(COUNTIF($H$2:H454,H454)=1,ROW()-1,ROWS(Clean_Data[OrderID])+1)</f>
        <v>901</v>
      </c>
      <c r="AE454" s="1">
        <f>IF(COUNTIF($V$2:V454,V454)=1,V454,ROWS(Clean_Data[OrderID])+1)</f>
        <v>901</v>
      </c>
      <c r="AF454" s="1">
        <f>IF(COUNTIF($U$2:U454,U454)=1,U454,ROWS(Clean_Data[OrderID])+1)</f>
        <v>901</v>
      </c>
      <c r="AG454" s="1">
        <f>IF(COUNTIF($E$2:E454,E454)=1,ROW()-1,ROWS(Clean_Data[OrderID])+1)</f>
        <v>901</v>
      </c>
    </row>
    <row r="455" spans="1:33" ht="20" customHeight="1">
      <c r="A455" s="3" t="s">
        <v>816</v>
      </c>
      <c r="B455" s="2">
        <v>46281</v>
      </c>
      <c r="C455" s="3">
        <v>8</v>
      </c>
      <c r="D455" s="3" t="s">
        <v>219</v>
      </c>
      <c r="E455" s="3" t="s">
        <v>91</v>
      </c>
      <c r="F455" s="3" t="s">
        <v>109</v>
      </c>
      <c r="G455" s="3" t="s">
        <v>135</v>
      </c>
      <c r="H455" s="3" t="s">
        <v>162</v>
      </c>
      <c r="I455" s="3">
        <v>6</v>
      </c>
      <c r="J455" s="11">
        <v>180</v>
      </c>
      <c r="K455" s="4">
        <v>0.15</v>
      </c>
      <c r="L455" s="3" t="s">
        <v>101</v>
      </c>
      <c r="M455" s="3"/>
      <c r="N455" s="3"/>
      <c r="O455" s="3"/>
      <c r="P455" s="11">
        <f>Clean_Data[[#This Row],[Quantity]]*Clean_Data[[#This Row],[UnitPrice]]</f>
        <v>1080</v>
      </c>
      <c r="Q455" s="11">
        <f>ROUND(Clean_Data[[#This Row],[GrossSales]]*Clean_Data[[#This Row],[DiscountPct]],2)</f>
        <v>162</v>
      </c>
      <c r="R455" s="11">
        <f>IF(Clean_Data[[#This Row],[Status]]="Delivered",ROUND(Clean_Data[[#This Row],[GrossSales]]-Clean_Data[[#This Row],[DiscountAmount]],2),0)</f>
        <v>0</v>
      </c>
      <c r="S455" s="3" t="str">
        <f>IF(Clean_Data[[#This Row],[OrderHour]]&lt;6,"Night",IF(Clean_Data[[#This Row],[OrderHour]]&lt;12,"Morning",IF(Clean_Data[[#This Row],[OrderHour]]&lt;18,"Afternoon","Evening")))</f>
        <v>Morning</v>
      </c>
      <c r="T455" s="3" t="str">
        <f>TEXT(Clean_Data[[#This Row],[OrderDate]],"[$-409]ddd")</f>
        <v>Wed</v>
      </c>
      <c r="U455" s="3">
        <f>WEEKDAY(Clean_Data[[#This Row],[OrderDate]],2)</f>
        <v>3</v>
      </c>
      <c r="V455" s="3">
        <f>INT(Clean_Data[[#This Row],[OrderHour]]/6)+1</f>
        <v>2</v>
      </c>
      <c r="W455" s="3">
        <f>IF(Clean_Data[[#This Row],[Status]]="Delivered",1,0)</f>
        <v>0</v>
      </c>
      <c r="X455" s="3">
        <f>IF(Clean_Data[[#This Row],[Status]]="Delivered",IF(Clean_Data[[#This Row],[DeliveryMinutes]]&lt;=Dashboard!$X$5,1,0),0)</f>
        <v>0</v>
      </c>
      <c r="Y4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5" s="3">
        <f>IF(AND(Clean_Data[[#This Row],[Include]]=1,Clean_Data[[#This Row],[DeliveredFlag]]=1),1,0)</f>
        <v>0</v>
      </c>
      <c r="AA455" s="1">
        <f>IF(COUNTIF($D$2:D455,D455)=1,ROW()-1,ROWS(Clean_Data[OrderID])+1)</f>
        <v>901</v>
      </c>
      <c r="AB455" s="1">
        <f>IF(COUNTIF($F$2:F455,F455)=1,ROW()-1,ROWS(Clean_Data[OrderID])+1)</f>
        <v>901</v>
      </c>
      <c r="AC455" s="1">
        <f>IF(COUNTIF($G$2:G455,G455)=1,ROW()-1,ROWS(Clean_Data[OrderID])+1)</f>
        <v>901</v>
      </c>
      <c r="AD455" s="1">
        <f>IF(COUNTIF($H$2:H455,H455)=1,ROW()-1,ROWS(Clean_Data[OrderID])+1)</f>
        <v>901</v>
      </c>
      <c r="AE455" s="1">
        <f>IF(COUNTIF($V$2:V455,V455)=1,V455,ROWS(Clean_Data[OrderID])+1)</f>
        <v>901</v>
      </c>
      <c r="AF455" s="1">
        <f>IF(COUNTIF($U$2:U455,U455)=1,U455,ROWS(Clean_Data[OrderID])+1)</f>
        <v>901</v>
      </c>
      <c r="AG455" s="1">
        <f>IF(COUNTIF($E$2:E455,E455)=1,ROW()-1,ROWS(Clean_Data[OrderID])+1)</f>
        <v>901</v>
      </c>
    </row>
    <row r="456" spans="1:33" ht="20" customHeight="1">
      <c r="A456" s="3" t="s">
        <v>817</v>
      </c>
      <c r="B456" s="2">
        <v>46281</v>
      </c>
      <c r="C456" s="3">
        <v>18</v>
      </c>
      <c r="D456" s="3" t="s">
        <v>167</v>
      </c>
      <c r="E456" s="3" t="s">
        <v>91</v>
      </c>
      <c r="F456" s="3" t="s">
        <v>121</v>
      </c>
      <c r="G456" s="3" t="s">
        <v>110</v>
      </c>
      <c r="H456" s="3" t="s">
        <v>114</v>
      </c>
      <c r="I456" s="3">
        <v>3</v>
      </c>
      <c r="J456" s="11">
        <v>145</v>
      </c>
      <c r="K456" s="4">
        <v>0</v>
      </c>
      <c r="L456" s="3" t="s">
        <v>95</v>
      </c>
      <c r="M456" s="3">
        <v>36</v>
      </c>
      <c r="N456" s="3">
        <v>15</v>
      </c>
      <c r="O456" s="3">
        <v>3</v>
      </c>
      <c r="P456" s="11">
        <f>Clean_Data[[#This Row],[Quantity]]*Clean_Data[[#This Row],[UnitPrice]]</f>
        <v>435</v>
      </c>
      <c r="Q456" s="11">
        <f>ROUND(Clean_Data[[#This Row],[GrossSales]]*Clean_Data[[#This Row],[DiscountPct]],2)</f>
        <v>0</v>
      </c>
      <c r="R456" s="11">
        <f>IF(Clean_Data[[#This Row],[Status]]="Delivered",ROUND(Clean_Data[[#This Row],[GrossSales]]-Clean_Data[[#This Row],[DiscountAmount]],2),0)</f>
        <v>435</v>
      </c>
      <c r="S456" s="3" t="str">
        <f>IF(Clean_Data[[#This Row],[OrderHour]]&lt;6,"Night",IF(Clean_Data[[#This Row],[OrderHour]]&lt;12,"Morning",IF(Clean_Data[[#This Row],[OrderHour]]&lt;18,"Afternoon","Evening")))</f>
        <v>Evening</v>
      </c>
      <c r="T456" s="3" t="str">
        <f>TEXT(Clean_Data[[#This Row],[OrderDate]],"[$-409]ddd")</f>
        <v>Wed</v>
      </c>
      <c r="U456" s="3">
        <f>WEEKDAY(Clean_Data[[#This Row],[OrderDate]],2)</f>
        <v>3</v>
      </c>
      <c r="V456" s="3">
        <f>INT(Clean_Data[[#This Row],[OrderHour]]/6)+1</f>
        <v>4</v>
      </c>
      <c r="W456" s="3">
        <f>IF(Clean_Data[[#This Row],[Status]]="Delivered",1,0)</f>
        <v>1</v>
      </c>
      <c r="X456" s="3">
        <f>IF(Clean_Data[[#This Row],[Status]]="Delivered",IF(Clean_Data[[#This Row],[DeliveryMinutes]]&lt;=Dashboard!$X$5,1,0),0)</f>
        <v>0</v>
      </c>
      <c r="Y4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6" s="3">
        <f>IF(AND(Clean_Data[[#This Row],[Include]]=1,Clean_Data[[#This Row],[DeliveredFlag]]=1),1,0)</f>
        <v>1</v>
      </c>
      <c r="AA456" s="1">
        <f>IF(COUNTIF($D$2:D456,D456)=1,ROW()-1,ROWS(Clean_Data[OrderID])+1)</f>
        <v>901</v>
      </c>
      <c r="AB456" s="1">
        <f>IF(COUNTIF($F$2:F456,F456)=1,ROW()-1,ROWS(Clean_Data[OrderID])+1)</f>
        <v>901</v>
      </c>
      <c r="AC456" s="1">
        <f>IF(COUNTIF($G$2:G456,G456)=1,ROW()-1,ROWS(Clean_Data[OrderID])+1)</f>
        <v>901</v>
      </c>
      <c r="AD456" s="1">
        <f>IF(COUNTIF($H$2:H456,H456)=1,ROW()-1,ROWS(Clean_Data[OrderID])+1)</f>
        <v>901</v>
      </c>
      <c r="AE456" s="1">
        <f>IF(COUNTIF($V$2:V456,V456)=1,V456,ROWS(Clean_Data[OrderID])+1)</f>
        <v>901</v>
      </c>
      <c r="AF456" s="1">
        <f>IF(COUNTIF($U$2:U456,U456)=1,U456,ROWS(Clean_Data[OrderID])+1)</f>
        <v>901</v>
      </c>
      <c r="AG456" s="1">
        <f>IF(COUNTIF($E$2:E456,E456)=1,ROW()-1,ROWS(Clean_Data[OrderID])+1)</f>
        <v>901</v>
      </c>
    </row>
    <row r="457" spans="1:33" ht="20" customHeight="1">
      <c r="A457" s="3" t="s">
        <v>818</v>
      </c>
      <c r="B457" s="2">
        <v>46281</v>
      </c>
      <c r="C457" s="3">
        <v>11</v>
      </c>
      <c r="D457" s="3" t="s">
        <v>423</v>
      </c>
      <c r="E457" s="3" t="s">
        <v>91</v>
      </c>
      <c r="F457" s="3" t="s">
        <v>92</v>
      </c>
      <c r="G457" s="3" t="s">
        <v>99</v>
      </c>
      <c r="H457" s="3" t="s">
        <v>130</v>
      </c>
      <c r="I457" s="3">
        <v>2</v>
      </c>
      <c r="J457" s="11">
        <v>85</v>
      </c>
      <c r="K457" s="4">
        <v>0.05</v>
      </c>
      <c r="L457" s="3" t="s">
        <v>95</v>
      </c>
      <c r="M457" s="3">
        <v>32</v>
      </c>
      <c r="N457" s="3">
        <v>5</v>
      </c>
      <c r="O457" s="3">
        <v>4</v>
      </c>
      <c r="P457" s="11">
        <f>Clean_Data[[#This Row],[Quantity]]*Clean_Data[[#This Row],[UnitPrice]]</f>
        <v>170</v>
      </c>
      <c r="Q457" s="11">
        <f>ROUND(Clean_Data[[#This Row],[GrossSales]]*Clean_Data[[#This Row],[DiscountPct]],2)</f>
        <v>8.5</v>
      </c>
      <c r="R457" s="11">
        <f>IF(Clean_Data[[#This Row],[Status]]="Delivered",ROUND(Clean_Data[[#This Row],[GrossSales]]-Clean_Data[[#This Row],[DiscountAmount]],2),0)</f>
        <v>161.5</v>
      </c>
      <c r="S457" s="3" t="str">
        <f>IF(Clean_Data[[#This Row],[OrderHour]]&lt;6,"Night",IF(Clean_Data[[#This Row],[OrderHour]]&lt;12,"Morning",IF(Clean_Data[[#This Row],[OrderHour]]&lt;18,"Afternoon","Evening")))</f>
        <v>Morning</v>
      </c>
      <c r="T457" s="3" t="str">
        <f>TEXT(Clean_Data[[#This Row],[OrderDate]],"[$-409]ddd")</f>
        <v>Wed</v>
      </c>
      <c r="U457" s="3">
        <f>WEEKDAY(Clean_Data[[#This Row],[OrderDate]],2)</f>
        <v>3</v>
      </c>
      <c r="V457" s="3">
        <f>INT(Clean_Data[[#This Row],[OrderHour]]/6)+1</f>
        <v>2</v>
      </c>
      <c r="W457" s="3">
        <f>IF(Clean_Data[[#This Row],[Status]]="Delivered",1,0)</f>
        <v>1</v>
      </c>
      <c r="X457" s="3">
        <f>IF(Clean_Data[[#This Row],[Status]]="Delivered",IF(Clean_Data[[#This Row],[DeliveryMinutes]]&lt;=Dashboard!$X$5,1,0),0)</f>
        <v>0</v>
      </c>
      <c r="Y4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7" s="3">
        <f>IF(AND(Clean_Data[[#This Row],[Include]]=1,Clean_Data[[#This Row],[DeliveredFlag]]=1),1,0)</f>
        <v>1</v>
      </c>
      <c r="AA457" s="1">
        <f>IF(COUNTIF($D$2:D457,D457)=1,ROW()-1,ROWS(Clean_Data[OrderID])+1)</f>
        <v>901</v>
      </c>
      <c r="AB457" s="1">
        <f>IF(COUNTIF($F$2:F457,F457)=1,ROW()-1,ROWS(Clean_Data[OrderID])+1)</f>
        <v>901</v>
      </c>
      <c r="AC457" s="1">
        <f>IF(COUNTIF($G$2:G457,G457)=1,ROW()-1,ROWS(Clean_Data[OrderID])+1)</f>
        <v>901</v>
      </c>
      <c r="AD457" s="1">
        <f>IF(COUNTIF($H$2:H457,H457)=1,ROW()-1,ROWS(Clean_Data[OrderID])+1)</f>
        <v>901</v>
      </c>
      <c r="AE457" s="1">
        <f>IF(COUNTIF($V$2:V457,V457)=1,V457,ROWS(Clean_Data[OrderID])+1)</f>
        <v>901</v>
      </c>
      <c r="AF457" s="1">
        <f>IF(COUNTIF($U$2:U457,U457)=1,U457,ROWS(Clean_Data[OrderID])+1)</f>
        <v>901</v>
      </c>
      <c r="AG457" s="1">
        <f>IF(COUNTIF($E$2:E457,E457)=1,ROW()-1,ROWS(Clean_Data[OrderID])+1)</f>
        <v>901</v>
      </c>
    </row>
    <row r="458" spans="1:33" ht="20" customHeight="1">
      <c r="A458" s="3" t="s">
        <v>819</v>
      </c>
      <c r="B458" s="2">
        <v>46281</v>
      </c>
      <c r="C458" s="3">
        <v>11</v>
      </c>
      <c r="D458" s="3" t="s">
        <v>312</v>
      </c>
      <c r="E458" s="3" t="s">
        <v>91</v>
      </c>
      <c r="F458" s="3" t="s">
        <v>98</v>
      </c>
      <c r="G458" s="3" t="s">
        <v>99</v>
      </c>
      <c r="H458" s="3" t="s">
        <v>130</v>
      </c>
      <c r="I458" s="3">
        <v>3</v>
      </c>
      <c r="J458" s="11">
        <v>85</v>
      </c>
      <c r="K458" s="4">
        <v>0</v>
      </c>
      <c r="L458" s="3" t="s">
        <v>95</v>
      </c>
      <c r="M458" s="3">
        <v>21</v>
      </c>
      <c r="N458" s="3">
        <v>10</v>
      </c>
      <c r="O458" s="3">
        <v>5</v>
      </c>
      <c r="P458" s="11">
        <f>Clean_Data[[#This Row],[Quantity]]*Clean_Data[[#This Row],[UnitPrice]]</f>
        <v>255</v>
      </c>
      <c r="Q458" s="11">
        <f>ROUND(Clean_Data[[#This Row],[GrossSales]]*Clean_Data[[#This Row],[DiscountPct]],2)</f>
        <v>0</v>
      </c>
      <c r="R458" s="11">
        <f>IF(Clean_Data[[#This Row],[Status]]="Delivered",ROUND(Clean_Data[[#This Row],[GrossSales]]-Clean_Data[[#This Row],[DiscountAmount]],2),0)</f>
        <v>255</v>
      </c>
      <c r="S458" s="3" t="str">
        <f>IF(Clean_Data[[#This Row],[OrderHour]]&lt;6,"Night",IF(Clean_Data[[#This Row],[OrderHour]]&lt;12,"Morning",IF(Clean_Data[[#This Row],[OrderHour]]&lt;18,"Afternoon","Evening")))</f>
        <v>Morning</v>
      </c>
      <c r="T458" s="3" t="str">
        <f>TEXT(Clean_Data[[#This Row],[OrderDate]],"[$-409]ddd")</f>
        <v>Wed</v>
      </c>
      <c r="U458" s="3">
        <f>WEEKDAY(Clean_Data[[#This Row],[OrderDate]],2)</f>
        <v>3</v>
      </c>
      <c r="V458" s="3">
        <f>INT(Clean_Data[[#This Row],[OrderHour]]/6)+1</f>
        <v>2</v>
      </c>
      <c r="W458" s="3">
        <f>IF(Clean_Data[[#This Row],[Status]]="Delivered",1,0)</f>
        <v>1</v>
      </c>
      <c r="X458" s="3">
        <f>IF(Clean_Data[[#This Row],[Status]]="Delivered",IF(Clean_Data[[#This Row],[DeliveryMinutes]]&lt;=Dashboard!$X$5,1,0),0)</f>
        <v>1</v>
      </c>
      <c r="Y4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8" s="3">
        <f>IF(AND(Clean_Data[[#This Row],[Include]]=1,Clean_Data[[#This Row],[DeliveredFlag]]=1),1,0)</f>
        <v>1</v>
      </c>
      <c r="AA458" s="1">
        <f>IF(COUNTIF($D$2:D458,D458)=1,ROW()-1,ROWS(Clean_Data[OrderID])+1)</f>
        <v>901</v>
      </c>
      <c r="AB458" s="1">
        <f>IF(COUNTIF($F$2:F458,F458)=1,ROW()-1,ROWS(Clean_Data[OrderID])+1)</f>
        <v>901</v>
      </c>
      <c r="AC458" s="1">
        <f>IF(COUNTIF($G$2:G458,G458)=1,ROW()-1,ROWS(Clean_Data[OrderID])+1)</f>
        <v>901</v>
      </c>
      <c r="AD458" s="1">
        <f>IF(COUNTIF($H$2:H458,H458)=1,ROW()-1,ROWS(Clean_Data[OrderID])+1)</f>
        <v>901</v>
      </c>
      <c r="AE458" s="1">
        <f>IF(COUNTIF($V$2:V458,V458)=1,V458,ROWS(Clean_Data[OrderID])+1)</f>
        <v>901</v>
      </c>
      <c r="AF458" s="1">
        <f>IF(COUNTIF($U$2:U458,U458)=1,U458,ROWS(Clean_Data[OrderID])+1)</f>
        <v>901</v>
      </c>
      <c r="AG458" s="1">
        <f>IF(COUNTIF($E$2:E458,E458)=1,ROW()-1,ROWS(Clean_Data[OrderID])+1)</f>
        <v>901</v>
      </c>
    </row>
    <row r="459" spans="1:33" ht="20" customHeight="1">
      <c r="A459" s="3" t="s">
        <v>820</v>
      </c>
      <c r="B459" s="2">
        <v>46281</v>
      </c>
      <c r="C459" s="3">
        <v>16</v>
      </c>
      <c r="D459" s="3" t="s">
        <v>436</v>
      </c>
      <c r="E459" s="3" t="s">
        <v>117</v>
      </c>
      <c r="F459" s="3" t="s">
        <v>139</v>
      </c>
      <c r="G459" s="3" t="s">
        <v>110</v>
      </c>
      <c r="H459" s="3" t="s">
        <v>206</v>
      </c>
      <c r="I459" s="3">
        <v>5</v>
      </c>
      <c r="J459" s="11">
        <v>220</v>
      </c>
      <c r="K459" s="4">
        <v>0</v>
      </c>
      <c r="L459" s="3" t="s">
        <v>95</v>
      </c>
      <c r="M459" s="3">
        <v>30</v>
      </c>
      <c r="N459" s="3">
        <v>8</v>
      </c>
      <c r="O459" s="3">
        <v>4</v>
      </c>
      <c r="P459" s="11">
        <f>Clean_Data[[#This Row],[Quantity]]*Clean_Data[[#This Row],[UnitPrice]]</f>
        <v>1100</v>
      </c>
      <c r="Q459" s="11">
        <f>ROUND(Clean_Data[[#This Row],[GrossSales]]*Clean_Data[[#This Row],[DiscountPct]],2)</f>
        <v>0</v>
      </c>
      <c r="R459" s="11">
        <f>IF(Clean_Data[[#This Row],[Status]]="Delivered",ROUND(Clean_Data[[#This Row],[GrossSales]]-Clean_Data[[#This Row],[DiscountAmount]],2),0)</f>
        <v>1100</v>
      </c>
      <c r="S459" s="3" t="str">
        <f>IF(Clean_Data[[#This Row],[OrderHour]]&lt;6,"Night",IF(Clean_Data[[#This Row],[OrderHour]]&lt;12,"Morning",IF(Clean_Data[[#This Row],[OrderHour]]&lt;18,"Afternoon","Evening")))</f>
        <v>Afternoon</v>
      </c>
      <c r="T459" s="3" t="str">
        <f>TEXT(Clean_Data[[#This Row],[OrderDate]],"[$-409]ddd")</f>
        <v>Wed</v>
      </c>
      <c r="U459" s="3">
        <f>WEEKDAY(Clean_Data[[#This Row],[OrderDate]],2)</f>
        <v>3</v>
      </c>
      <c r="V459" s="3">
        <f>INT(Clean_Data[[#This Row],[OrderHour]]/6)+1</f>
        <v>3</v>
      </c>
      <c r="W459" s="3">
        <f>IF(Clean_Data[[#This Row],[Status]]="Delivered",1,0)</f>
        <v>1</v>
      </c>
      <c r="X459" s="3">
        <f>IF(Clean_Data[[#This Row],[Status]]="Delivered",IF(Clean_Data[[#This Row],[DeliveryMinutes]]&lt;=Dashboard!$X$5,1,0),0)</f>
        <v>1</v>
      </c>
      <c r="Y4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59" s="3">
        <f>IF(AND(Clean_Data[[#This Row],[Include]]=1,Clean_Data[[#This Row],[DeliveredFlag]]=1),1,0)</f>
        <v>1</v>
      </c>
      <c r="AA459" s="1">
        <f>IF(COUNTIF($D$2:D459,D459)=1,ROW()-1,ROWS(Clean_Data[OrderID])+1)</f>
        <v>901</v>
      </c>
      <c r="AB459" s="1">
        <f>IF(COUNTIF($F$2:F459,F459)=1,ROW()-1,ROWS(Clean_Data[OrderID])+1)</f>
        <v>901</v>
      </c>
      <c r="AC459" s="1">
        <f>IF(COUNTIF($G$2:G459,G459)=1,ROW()-1,ROWS(Clean_Data[OrderID])+1)</f>
        <v>901</v>
      </c>
      <c r="AD459" s="1">
        <f>IF(COUNTIF($H$2:H459,H459)=1,ROW()-1,ROWS(Clean_Data[OrderID])+1)</f>
        <v>901</v>
      </c>
      <c r="AE459" s="1">
        <f>IF(COUNTIF($V$2:V459,V459)=1,V459,ROWS(Clean_Data[OrderID])+1)</f>
        <v>901</v>
      </c>
      <c r="AF459" s="1">
        <f>IF(COUNTIF($U$2:U459,U459)=1,U459,ROWS(Clean_Data[OrderID])+1)</f>
        <v>901</v>
      </c>
      <c r="AG459" s="1">
        <f>IF(COUNTIF($E$2:E459,E459)=1,ROW()-1,ROWS(Clean_Data[OrderID])+1)</f>
        <v>901</v>
      </c>
    </row>
    <row r="460" spans="1:33" ht="20" customHeight="1">
      <c r="A460" s="3" t="s">
        <v>821</v>
      </c>
      <c r="B460" s="2">
        <v>46281</v>
      </c>
      <c r="C460" s="3">
        <v>17</v>
      </c>
      <c r="D460" s="3" t="s">
        <v>462</v>
      </c>
      <c r="E460" s="3" t="s">
        <v>91</v>
      </c>
      <c r="F460" s="3" t="s">
        <v>121</v>
      </c>
      <c r="G460" s="3" t="s">
        <v>99</v>
      </c>
      <c r="H460" s="3" t="s">
        <v>100</v>
      </c>
      <c r="I460" s="3">
        <v>6</v>
      </c>
      <c r="J460" s="11">
        <v>120</v>
      </c>
      <c r="K460" s="4">
        <v>0</v>
      </c>
      <c r="L460" s="3" t="s">
        <v>95</v>
      </c>
      <c r="M460" s="3">
        <v>19</v>
      </c>
      <c r="N460" s="3">
        <v>5</v>
      </c>
      <c r="O460" s="3">
        <v>3</v>
      </c>
      <c r="P460" s="11">
        <f>Clean_Data[[#This Row],[Quantity]]*Clean_Data[[#This Row],[UnitPrice]]</f>
        <v>720</v>
      </c>
      <c r="Q460" s="11">
        <f>ROUND(Clean_Data[[#This Row],[GrossSales]]*Clean_Data[[#This Row],[DiscountPct]],2)</f>
        <v>0</v>
      </c>
      <c r="R460" s="11">
        <f>IF(Clean_Data[[#This Row],[Status]]="Delivered",ROUND(Clean_Data[[#This Row],[GrossSales]]-Clean_Data[[#This Row],[DiscountAmount]],2),0)</f>
        <v>720</v>
      </c>
      <c r="S460" s="3" t="str">
        <f>IF(Clean_Data[[#This Row],[OrderHour]]&lt;6,"Night",IF(Clean_Data[[#This Row],[OrderHour]]&lt;12,"Morning",IF(Clean_Data[[#This Row],[OrderHour]]&lt;18,"Afternoon","Evening")))</f>
        <v>Afternoon</v>
      </c>
      <c r="T460" s="3" t="str">
        <f>TEXT(Clean_Data[[#This Row],[OrderDate]],"[$-409]ddd")</f>
        <v>Wed</v>
      </c>
      <c r="U460" s="3">
        <f>WEEKDAY(Clean_Data[[#This Row],[OrderDate]],2)</f>
        <v>3</v>
      </c>
      <c r="V460" s="3">
        <f>INT(Clean_Data[[#This Row],[OrderHour]]/6)+1</f>
        <v>3</v>
      </c>
      <c r="W460" s="3">
        <f>IF(Clean_Data[[#This Row],[Status]]="Delivered",1,0)</f>
        <v>1</v>
      </c>
      <c r="X460" s="3">
        <f>IF(Clean_Data[[#This Row],[Status]]="Delivered",IF(Clean_Data[[#This Row],[DeliveryMinutes]]&lt;=Dashboard!$X$5,1,0),0)</f>
        <v>1</v>
      </c>
      <c r="Y4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0" s="3">
        <f>IF(AND(Clean_Data[[#This Row],[Include]]=1,Clean_Data[[#This Row],[DeliveredFlag]]=1),1,0)</f>
        <v>1</v>
      </c>
      <c r="AA460" s="1">
        <f>IF(COUNTIF($D$2:D460,D460)=1,ROW()-1,ROWS(Clean_Data[OrderID])+1)</f>
        <v>901</v>
      </c>
      <c r="AB460" s="1">
        <f>IF(COUNTIF($F$2:F460,F460)=1,ROW()-1,ROWS(Clean_Data[OrderID])+1)</f>
        <v>901</v>
      </c>
      <c r="AC460" s="1">
        <f>IF(COUNTIF($G$2:G460,G460)=1,ROW()-1,ROWS(Clean_Data[OrderID])+1)</f>
        <v>901</v>
      </c>
      <c r="AD460" s="1">
        <f>IF(COUNTIF($H$2:H460,H460)=1,ROW()-1,ROWS(Clean_Data[OrderID])+1)</f>
        <v>901</v>
      </c>
      <c r="AE460" s="1">
        <f>IF(COUNTIF($V$2:V460,V460)=1,V460,ROWS(Clean_Data[OrderID])+1)</f>
        <v>901</v>
      </c>
      <c r="AF460" s="1">
        <f>IF(COUNTIF($U$2:U460,U460)=1,U460,ROWS(Clean_Data[OrderID])+1)</f>
        <v>901</v>
      </c>
      <c r="AG460" s="1">
        <f>IF(COUNTIF($E$2:E460,E460)=1,ROW()-1,ROWS(Clean_Data[OrderID])+1)</f>
        <v>901</v>
      </c>
    </row>
    <row r="461" spans="1:33" ht="20" customHeight="1">
      <c r="A461" s="3" t="s">
        <v>822</v>
      </c>
      <c r="B461" s="2">
        <v>46281</v>
      </c>
      <c r="C461" s="3">
        <v>19</v>
      </c>
      <c r="D461" s="3" t="s">
        <v>823</v>
      </c>
      <c r="E461" s="3" t="s">
        <v>91</v>
      </c>
      <c r="F461" s="3" t="s">
        <v>139</v>
      </c>
      <c r="G461" s="3" t="s">
        <v>110</v>
      </c>
      <c r="H461" s="3" t="s">
        <v>114</v>
      </c>
      <c r="I461" s="3">
        <v>2</v>
      </c>
      <c r="J461" s="11">
        <v>145</v>
      </c>
      <c r="K461" s="4">
        <v>0</v>
      </c>
      <c r="L461" s="3" t="s">
        <v>95</v>
      </c>
      <c r="M461" s="3">
        <v>37</v>
      </c>
      <c r="N461" s="3">
        <v>9</v>
      </c>
      <c r="O461" s="3">
        <v>4</v>
      </c>
      <c r="P461" s="11">
        <f>Clean_Data[[#This Row],[Quantity]]*Clean_Data[[#This Row],[UnitPrice]]</f>
        <v>290</v>
      </c>
      <c r="Q461" s="11">
        <f>ROUND(Clean_Data[[#This Row],[GrossSales]]*Clean_Data[[#This Row],[DiscountPct]],2)</f>
        <v>0</v>
      </c>
      <c r="R461" s="11">
        <f>IF(Clean_Data[[#This Row],[Status]]="Delivered",ROUND(Clean_Data[[#This Row],[GrossSales]]-Clean_Data[[#This Row],[DiscountAmount]],2),0)</f>
        <v>290</v>
      </c>
      <c r="S461" s="3" t="str">
        <f>IF(Clean_Data[[#This Row],[OrderHour]]&lt;6,"Night",IF(Clean_Data[[#This Row],[OrderHour]]&lt;12,"Morning",IF(Clean_Data[[#This Row],[OrderHour]]&lt;18,"Afternoon","Evening")))</f>
        <v>Evening</v>
      </c>
      <c r="T461" s="3" t="str">
        <f>TEXT(Clean_Data[[#This Row],[OrderDate]],"[$-409]ddd")</f>
        <v>Wed</v>
      </c>
      <c r="U461" s="3">
        <f>WEEKDAY(Clean_Data[[#This Row],[OrderDate]],2)</f>
        <v>3</v>
      </c>
      <c r="V461" s="3">
        <f>INT(Clean_Data[[#This Row],[OrderHour]]/6)+1</f>
        <v>4</v>
      </c>
      <c r="W461" s="3">
        <f>IF(Clean_Data[[#This Row],[Status]]="Delivered",1,0)</f>
        <v>1</v>
      </c>
      <c r="X461" s="3">
        <f>IF(Clean_Data[[#This Row],[Status]]="Delivered",IF(Clean_Data[[#This Row],[DeliveryMinutes]]&lt;=Dashboard!$X$5,1,0),0)</f>
        <v>0</v>
      </c>
      <c r="Y4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1" s="3">
        <f>IF(AND(Clean_Data[[#This Row],[Include]]=1,Clean_Data[[#This Row],[DeliveredFlag]]=1),1,0)</f>
        <v>1</v>
      </c>
      <c r="AA461" s="1">
        <f>IF(COUNTIF($D$2:D461,D461)=1,ROW()-1,ROWS(Clean_Data[OrderID])+1)</f>
        <v>460</v>
      </c>
      <c r="AB461" s="1">
        <f>IF(COUNTIF($F$2:F461,F461)=1,ROW()-1,ROWS(Clean_Data[OrderID])+1)</f>
        <v>901</v>
      </c>
      <c r="AC461" s="1">
        <f>IF(COUNTIF($G$2:G461,G461)=1,ROW()-1,ROWS(Clean_Data[OrderID])+1)</f>
        <v>901</v>
      </c>
      <c r="AD461" s="1">
        <f>IF(COUNTIF($H$2:H461,H461)=1,ROW()-1,ROWS(Clean_Data[OrderID])+1)</f>
        <v>901</v>
      </c>
      <c r="AE461" s="1">
        <f>IF(COUNTIF($V$2:V461,V461)=1,V461,ROWS(Clean_Data[OrderID])+1)</f>
        <v>901</v>
      </c>
      <c r="AF461" s="1">
        <f>IF(COUNTIF($U$2:U461,U461)=1,U461,ROWS(Clean_Data[OrderID])+1)</f>
        <v>901</v>
      </c>
      <c r="AG461" s="1">
        <f>IF(COUNTIF($E$2:E461,E461)=1,ROW()-1,ROWS(Clean_Data[OrderID])+1)</f>
        <v>901</v>
      </c>
    </row>
    <row r="462" spans="1:33" ht="20" customHeight="1">
      <c r="A462" s="3" t="s">
        <v>824</v>
      </c>
      <c r="B462" s="2">
        <v>46281</v>
      </c>
      <c r="C462" s="3">
        <v>18</v>
      </c>
      <c r="D462" s="3" t="s">
        <v>825</v>
      </c>
      <c r="E462" s="3" t="s">
        <v>117</v>
      </c>
      <c r="F462" s="3" t="s">
        <v>109</v>
      </c>
      <c r="G462" s="3" t="s">
        <v>110</v>
      </c>
      <c r="H462" s="3" t="s">
        <v>111</v>
      </c>
      <c r="I462" s="3">
        <v>2</v>
      </c>
      <c r="J462" s="11">
        <v>115</v>
      </c>
      <c r="K462" s="4">
        <v>0</v>
      </c>
      <c r="L462" s="3" t="s">
        <v>95</v>
      </c>
      <c r="M462" s="3">
        <v>34</v>
      </c>
      <c r="N462" s="3">
        <v>10</v>
      </c>
      <c r="O462" s="3">
        <v>4</v>
      </c>
      <c r="P462" s="11">
        <f>Clean_Data[[#This Row],[Quantity]]*Clean_Data[[#This Row],[UnitPrice]]</f>
        <v>230</v>
      </c>
      <c r="Q462" s="11">
        <f>ROUND(Clean_Data[[#This Row],[GrossSales]]*Clean_Data[[#This Row],[DiscountPct]],2)</f>
        <v>0</v>
      </c>
      <c r="R462" s="11">
        <f>IF(Clean_Data[[#This Row],[Status]]="Delivered",ROUND(Clean_Data[[#This Row],[GrossSales]]-Clean_Data[[#This Row],[DiscountAmount]],2),0)</f>
        <v>230</v>
      </c>
      <c r="S462" s="3" t="str">
        <f>IF(Clean_Data[[#This Row],[OrderHour]]&lt;6,"Night",IF(Clean_Data[[#This Row],[OrderHour]]&lt;12,"Morning",IF(Clean_Data[[#This Row],[OrderHour]]&lt;18,"Afternoon","Evening")))</f>
        <v>Evening</v>
      </c>
      <c r="T462" s="3" t="str">
        <f>TEXT(Clean_Data[[#This Row],[OrderDate]],"[$-409]ddd")</f>
        <v>Wed</v>
      </c>
      <c r="U462" s="3">
        <f>WEEKDAY(Clean_Data[[#This Row],[OrderDate]],2)</f>
        <v>3</v>
      </c>
      <c r="V462" s="3">
        <f>INT(Clean_Data[[#This Row],[OrderHour]]/6)+1</f>
        <v>4</v>
      </c>
      <c r="W462" s="3">
        <f>IF(Clean_Data[[#This Row],[Status]]="Delivered",1,0)</f>
        <v>1</v>
      </c>
      <c r="X462" s="3">
        <f>IF(Clean_Data[[#This Row],[Status]]="Delivered",IF(Clean_Data[[#This Row],[DeliveryMinutes]]&lt;=Dashboard!$X$5,1,0),0)</f>
        <v>0</v>
      </c>
      <c r="Y4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2" s="3">
        <f>IF(AND(Clean_Data[[#This Row],[Include]]=1,Clean_Data[[#This Row],[DeliveredFlag]]=1),1,0)</f>
        <v>1</v>
      </c>
      <c r="AA462" s="1">
        <f>IF(COUNTIF($D$2:D462,D462)=1,ROW()-1,ROWS(Clean_Data[OrderID])+1)</f>
        <v>461</v>
      </c>
      <c r="AB462" s="1">
        <f>IF(COUNTIF($F$2:F462,F462)=1,ROW()-1,ROWS(Clean_Data[OrderID])+1)</f>
        <v>901</v>
      </c>
      <c r="AC462" s="1">
        <f>IF(COUNTIF($G$2:G462,G462)=1,ROW()-1,ROWS(Clean_Data[OrderID])+1)</f>
        <v>901</v>
      </c>
      <c r="AD462" s="1">
        <f>IF(COUNTIF($H$2:H462,H462)=1,ROW()-1,ROWS(Clean_Data[OrderID])+1)</f>
        <v>901</v>
      </c>
      <c r="AE462" s="1">
        <f>IF(COUNTIF($V$2:V462,V462)=1,V462,ROWS(Clean_Data[OrderID])+1)</f>
        <v>901</v>
      </c>
      <c r="AF462" s="1">
        <f>IF(COUNTIF($U$2:U462,U462)=1,U462,ROWS(Clean_Data[OrderID])+1)</f>
        <v>901</v>
      </c>
      <c r="AG462" s="1">
        <f>IF(COUNTIF($E$2:E462,E462)=1,ROW()-1,ROWS(Clean_Data[OrderID])+1)</f>
        <v>901</v>
      </c>
    </row>
    <row r="463" spans="1:33" ht="20" customHeight="1">
      <c r="A463" s="3" t="s">
        <v>826</v>
      </c>
      <c r="B463" s="2">
        <v>46281</v>
      </c>
      <c r="C463" s="3">
        <v>16</v>
      </c>
      <c r="D463" s="3" t="s">
        <v>250</v>
      </c>
      <c r="E463" s="3" t="s">
        <v>91</v>
      </c>
      <c r="F463" s="3" t="s">
        <v>92</v>
      </c>
      <c r="G463" s="3" t="s">
        <v>99</v>
      </c>
      <c r="H463" s="3" t="s">
        <v>100</v>
      </c>
      <c r="I463" s="3">
        <v>5</v>
      </c>
      <c r="J463" s="11">
        <v>120</v>
      </c>
      <c r="K463" s="4">
        <v>0</v>
      </c>
      <c r="L463" s="3" t="s">
        <v>95</v>
      </c>
      <c r="M463" s="3">
        <v>34</v>
      </c>
      <c r="N463" s="3">
        <v>8</v>
      </c>
      <c r="O463" s="3">
        <v>4</v>
      </c>
      <c r="P463" s="11">
        <f>Clean_Data[[#This Row],[Quantity]]*Clean_Data[[#This Row],[UnitPrice]]</f>
        <v>600</v>
      </c>
      <c r="Q463" s="11">
        <f>ROUND(Clean_Data[[#This Row],[GrossSales]]*Clean_Data[[#This Row],[DiscountPct]],2)</f>
        <v>0</v>
      </c>
      <c r="R463" s="11">
        <f>IF(Clean_Data[[#This Row],[Status]]="Delivered",ROUND(Clean_Data[[#This Row],[GrossSales]]-Clean_Data[[#This Row],[DiscountAmount]],2),0)</f>
        <v>600</v>
      </c>
      <c r="S463" s="3" t="str">
        <f>IF(Clean_Data[[#This Row],[OrderHour]]&lt;6,"Night",IF(Clean_Data[[#This Row],[OrderHour]]&lt;12,"Morning",IF(Clean_Data[[#This Row],[OrderHour]]&lt;18,"Afternoon","Evening")))</f>
        <v>Afternoon</v>
      </c>
      <c r="T463" s="3" t="str">
        <f>TEXT(Clean_Data[[#This Row],[OrderDate]],"[$-409]ddd")</f>
        <v>Wed</v>
      </c>
      <c r="U463" s="3">
        <f>WEEKDAY(Clean_Data[[#This Row],[OrderDate]],2)</f>
        <v>3</v>
      </c>
      <c r="V463" s="3">
        <f>INT(Clean_Data[[#This Row],[OrderHour]]/6)+1</f>
        <v>3</v>
      </c>
      <c r="W463" s="3">
        <f>IF(Clean_Data[[#This Row],[Status]]="Delivered",1,0)</f>
        <v>1</v>
      </c>
      <c r="X463" s="3">
        <f>IF(Clean_Data[[#This Row],[Status]]="Delivered",IF(Clean_Data[[#This Row],[DeliveryMinutes]]&lt;=Dashboard!$X$5,1,0),0)</f>
        <v>0</v>
      </c>
      <c r="Y4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3" s="3">
        <f>IF(AND(Clean_Data[[#This Row],[Include]]=1,Clean_Data[[#This Row],[DeliveredFlag]]=1),1,0)</f>
        <v>1</v>
      </c>
      <c r="AA463" s="1">
        <f>IF(COUNTIF($D$2:D463,D463)=1,ROW()-1,ROWS(Clean_Data[OrderID])+1)</f>
        <v>901</v>
      </c>
      <c r="AB463" s="1">
        <f>IF(COUNTIF($F$2:F463,F463)=1,ROW()-1,ROWS(Clean_Data[OrderID])+1)</f>
        <v>901</v>
      </c>
      <c r="AC463" s="1">
        <f>IF(COUNTIF($G$2:G463,G463)=1,ROW()-1,ROWS(Clean_Data[OrderID])+1)</f>
        <v>901</v>
      </c>
      <c r="AD463" s="1">
        <f>IF(COUNTIF($H$2:H463,H463)=1,ROW()-1,ROWS(Clean_Data[OrderID])+1)</f>
        <v>901</v>
      </c>
      <c r="AE463" s="1">
        <f>IF(COUNTIF($V$2:V463,V463)=1,V463,ROWS(Clean_Data[OrderID])+1)</f>
        <v>901</v>
      </c>
      <c r="AF463" s="1">
        <f>IF(COUNTIF($U$2:U463,U463)=1,U463,ROWS(Clean_Data[OrderID])+1)</f>
        <v>901</v>
      </c>
      <c r="AG463" s="1">
        <f>IF(COUNTIF($E$2:E463,E463)=1,ROW()-1,ROWS(Clean_Data[OrderID])+1)</f>
        <v>901</v>
      </c>
    </row>
    <row r="464" spans="1:33" ht="20" customHeight="1">
      <c r="A464" s="3" t="s">
        <v>827</v>
      </c>
      <c r="B464" s="2">
        <v>46281</v>
      </c>
      <c r="C464" s="3">
        <v>22</v>
      </c>
      <c r="D464" s="3" t="s">
        <v>742</v>
      </c>
      <c r="E464" s="3" t="s">
        <v>91</v>
      </c>
      <c r="F464" s="3" t="s">
        <v>98</v>
      </c>
      <c r="G464" s="3" t="s">
        <v>99</v>
      </c>
      <c r="H464" s="3" t="s">
        <v>130</v>
      </c>
      <c r="I464" s="3">
        <v>2</v>
      </c>
      <c r="J464" s="11">
        <v>85</v>
      </c>
      <c r="K464" s="4">
        <v>0</v>
      </c>
      <c r="L464" s="3" t="s">
        <v>95</v>
      </c>
      <c r="M464" s="3">
        <v>32</v>
      </c>
      <c r="N464" s="3">
        <v>15</v>
      </c>
      <c r="O464" s="3">
        <v>5</v>
      </c>
      <c r="P464" s="11">
        <f>Clean_Data[[#This Row],[Quantity]]*Clean_Data[[#This Row],[UnitPrice]]</f>
        <v>170</v>
      </c>
      <c r="Q464" s="11">
        <f>ROUND(Clean_Data[[#This Row],[GrossSales]]*Clean_Data[[#This Row],[DiscountPct]],2)</f>
        <v>0</v>
      </c>
      <c r="R464" s="11">
        <f>IF(Clean_Data[[#This Row],[Status]]="Delivered",ROUND(Clean_Data[[#This Row],[GrossSales]]-Clean_Data[[#This Row],[DiscountAmount]],2),0)</f>
        <v>170</v>
      </c>
      <c r="S464" s="3" t="str">
        <f>IF(Clean_Data[[#This Row],[OrderHour]]&lt;6,"Night",IF(Clean_Data[[#This Row],[OrderHour]]&lt;12,"Morning",IF(Clean_Data[[#This Row],[OrderHour]]&lt;18,"Afternoon","Evening")))</f>
        <v>Evening</v>
      </c>
      <c r="T464" s="3" t="str">
        <f>TEXT(Clean_Data[[#This Row],[OrderDate]],"[$-409]ddd")</f>
        <v>Wed</v>
      </c>
      <c r="U464" s="3">
        <f>WEEKDAY(Clean_Data[[#This Row],[OrderDate]],2)</f>
        <v>3</v>
      </c>
      <c r="V464" s="3">
        <f>INT(Clean_Data[[#This Row],[OrderHour]]/6)+1</f>
        <v>4</v>
      </c>
      <c r="W464" s="3">
        <f>IF(Clean_Data[[#This Row],[Status]]="Delivered",1,0)</f>
        <v>1</v>
      </c>
      <c r="X464" s="3">
        <f>IF(Clean_Data[[#This Row],[Status]]="Delivered",IF(Clean_Data[[#This Row],[DeliveryMinutes]]&lt;=Dashboard!$X$5,1,0),0)</f>
        <v>0</v>
      </c>
      <c r="Y4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4" s="3">
        <f>IF(AND(Clean_Data[[#This Row],[Include]]=1,Clean_Data[[#This Row],[DeliveredFlag]]=1),1,0)</f>
        <v>1</v>
      </c>
      <c r="AA464" s="1">
        <f>IF(COUNTIF($D$2:D464,D464)=1,ROW()-1,ROWS(Clean_Data[OrderID])+1)</f>
        <v>901</v>
      </c>
      <c r="AB464" s="1">
        <f>IF(COUNTIF($F$2:F464,F464)=1,ROW()-1,ROWS(Clean_Data[OrderID])+1)</f>
        <v>901</v>
      </c>
      <c r="AC464" s="1">
        <f>IF(COUNTIF($G$2:G464,G464)=1,ROW()-1,ROWS(Clean_Data[OrderID])+1)</f>
        <v>901</v>
      </c>
      <c r="AD464" s="1">
        <f>IF(COUNTIF($H$2:H464,H464)=1,ROW()-1,ROWS(Clean_Data[OrderID])+1)</f>
        <v>901</v>
      </c>
      <c r="AE464" s="1">
        <f>IF(COUNTIF($V$2:V464,V464)=1,V464,ROWS(Clean_Data[OrderID])+1)</f>
        <v>901</v>
      </c>
      <c r="AF464" s="1">
        <f>IF(COUNTIF($U$2:U464,U464)=1,U464,ROWS(Clean_Data[OrderID])+1)</f>
        <v>901</v>
      </c>
      <c r="AG464" s="1">
        <f>IF(COUNTIF($E$2:E464,E464)=1,ROW()-1,ROWS(Clean_Data[OrderID])+1)</f>
        <v>901</v>
      </c>
    </row>
    <row r="465" spans="1:33" ht="20" customHeight="1">
      <c r="A465" s="3" t="s">
        <v>828</v>
      </c>
      <c r="B465" s="2">
        <v>46281</v>
      </c>
      <c r="C465" s="3">
        <v>11</v>
      </c>
      <c r="D465" s="3" t="s">
        <v>829</v>
      </c>
      <c r="E465" s="3" t="s">
        <v>91</v>
      </c>
      <c r="F465" s="3" t="s">
        <v>121</v>
      </c>
      <c r="G465" s="3" t="s">
        <v>93</v>
      </c>
      <c r="H465" s="3" t="s">
        <v>94</v>
      </c>
      <c r="I465" s="3">
        <v>1</v>
      </c>
      <c r="J465" s="11">
        <v>95</v>
      </c>
      <c r="K465" s="4">
        <v>0</v>
      </c>
      <c r="L465" s="3" t="s">
        <v>95</v>
      </c>
      <c r="M465" s="3">
        <v>24</v>
      </c>
      <c r="N465" s="3">
        <v>5</v>
      </c>
      <c r="O465" s="3">
        <v>4</v>
      </c>
      <c r="P465" s="11">
        <f>Clean_Data[[#This Row],[Quantity]]*Clean_Data[[#This Row],[UnitPrice]]</f>
        <v>95</v>
      </c>
      <c r="Q465" s="11">
        <f>ROUND(Clean_Data[[#This Row],[GrossSales]]*Clean_Data[[#This Row],[DiscountPct]],2)</f>
        <v>0</v>
      </c>
      <c r="R465" s="11">
        <f>IF(Clean_Data[[#This Row],[Status]]="Delivered",ROUND(Clean_Data[[#This Row],[GrossSales]]-Clean_Data[[#This Row],[DiscountAmount]],2),0)</f>
        <v>95</v>
      </c>
      <c r="S465" s="3" t="str">
        <f>IF(Clean_Data[[#This Row],[OrderHour]]&lt;6,"Night",IF(Clean_Data[[#This Row],[OrderHour]]&lt;12,"Morning",IF(Clean_Data[[#This Row],[OrderHour]]&lt;18,"Afternoon","Evening")))</f>
        <v>Morning</v>
      </c>
      <c r="T465" s="3" t="str">
        <f>TEXT(Clean_Data[[#This Row],[OrderDate]],"[$-409]ddd")</f>
        <v>Wed</v>
      </c>
      <c r="U465" s="3">
        <f>WEEKDAY(Clean_Data[[#This Row],[OrderDate]],2)</f>
        <v>3</v>
      </c>
      <c r="V465" s="3">
        <f>INT(Clean_Data[[#This Row],[OrderHour]]/6)+1</f>
        <v>2</v>
      </c>
      <c r="W465" s="3">
        <f>IF(Clean_Data[[#This Row],[Status]]="Delivered",1,0)</f>
        <v>1</v>
      </c>
      <c r="X465" s="3">
        <f>IF(Clean_Data[[#This Row],[Status]]="Delivered",IF(Clean_Data[[#This Row],[DeliveryMinutes]]&lt;=Dashboard!$X$5,1,0),0)</f>
        <v>1</v>
      </c>
      <c r="Y4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5" s="3">
        <f>IF(AND(Clean_Data[[#This Row],[Include]]=1,Clean_Data[[#This Row],[DeliveredFlag]]=1),1,0)</f>
        <v>1</v>
      </c>
      <c r="AA465" s="1">
        <f>IF(COUNTIF($D$2:D465,D465)=1,ROW()-1,ROWS(Clean_Data[OrderID])+1)</f>
        <v>464</v>
      </c>
      <c r="AB465" s="1">
        <f>IF(COUNTIF($F$2:F465,F465)=1,ROW()-1,ROWS(Clean_Data[OrderID])+1)</f>
        <v>901</v>
      </c>
      <c r="AC465" s="1">
        <f>IF(COUNTIF($G$2:G465,G465)=1,ROW()-1,ROWS(Clean_Data[OrderID])+1)</f>
        <v>901</v>
      </c>
      <c r="AD465" s="1">
        <f>IF(COUNTIF($H$2:H465,H465)=1,ROW()-1,ROWS(Clean_Data[OrderID])+1)</f>
        <v>901</v>
      </c>
      <c r="AE465" s="1">
        <f>IF(COUNTIF($V$2:V465,V465)=1,V465,ROWS(Clean_Data[OrderID])+1)</f>
        <v>901</v>
      </c>
      <c r="AF465" s="1">
        <f>IF(COUNTIF($U$2:U465,U465)=1,U465,ROWS(Clean_Data[OrderID])+1)</f>
        <v>901</v>
      </c>
      <c r="AG465" s="1">
        <f>IF(COUNTIF($E$2:E465,E465)=1,ROW()-1,ROWS(Clean_Data[OrderID])+1)</f>
        <v>901</v>
      </c>
    </row>
    <row r="466" spans="1:33" ht="20" customHeight="1">
      <c r="A466" s="3" t="s">
        <v>830</v>
      </c>
      <c r="B466" s="2">
        <v>46281</v>
      </c>
      <c r="C466" s="3">
        <v>19</v>
      </c>
      <c r="D466" s="3" t="s">
        <v>831</v>
      </c>
      <c r="E466" s="3" t="s">
        <v>91</v>
      </c>
      <c r="F466" s="3" t="s">
        <v>109</v>
      </c>
      <c r="G466" s="3" t="s">
        <v>99</v>
      </c>
      <c r="H466" s="3" t="s">
        <v>130</v>
      </c>
      <c r="I466" s="3">
        <v>5</v>
      </c>
      <c r="J466" s="11">
        <v>85</v>
      </c>
      <c r="K466" s="4">
        <v>0</v>
      </c>
      <c r="L466" s="3" t="s">
        <v>95</v>
      </c>
      <c r="M466" s="3">
        <v>27</v>
      </c>
      <c r="N466" s="3">
        <v>9</v>
      </c>
      <c r="O466" s="3">
        <v>3</v>
      </c>
      <c r="P466" s="11">
        <f>Clean_Data[[#This Row],[Quantity]]*Clean_Data[[#This Row],[UnitPrice]]</f>
        <v>425</v>
      </c>
      <c r="Q466" s="11">
        <f>ROUND(Clean_Data[[#This Row],[GrossSales]]*Clean_Data[[#This Row],[DiscountPct]],2)</f>
        <v>0</v>
      </c>
      <c r="R466" s="11">
        <f>IF(Clean_Data[[#This Row],[Status]]="Delivered",ROUND(Clean_Data[[#This Row],[GrossSales]]-Clean_Data[[#This Row],[DiscountAmount]],2),0)</f>
        <v>425</v>
      </c>
      <c r="S466" s="3" t="str">
        <f>IF(Clean_Data[[#This Row],[OrderHour]]&lt;6,"Night",IF(Clean_Data[[#This Row],[OrderHour]]&lt;12,"Morning",IF(Clean_Data[[#This Row],[OrderHour]]&lt;18,"Afternoon","Evening")))</f>
        <v>Evening</v>
      </c>
      <c r="T466" s="3" t="str">
        <f>TEXT(Clean_Data[[#This Row],[OrderDate]],"[$-409]ddd")</f>
        <v>Wed</v>
      </c>
      <c r="U466" s="3">
        <f>WEEKDAY(Clean_Data[[#This Row],[OrderDate]],2)</f>
        <v>3</v>
      </c>
      <c r="V466" s="3">
        <f>INT(Clean_Data[[#This Row],[OrderHour]]/6)+1</f>
        <v>4</v>
      </c>
      <c r="W466" s="3">
        <f>IF(Clean_Data[[#This Row],[Status]]="Delivered",1,0)</f>
        <v>1</v>
      </c>
      <c r="X466" s="3">
        <f>IF(Clean_Data[[#This Row],[Status]]="Delivered",IF(Clean_Data[[#This Row],[DeliveryMinutes]]&lt;=Dashboard!$X$5,1,0),0)</f>
        <v>1</v>
      </c>
      <c r="Y4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6" s="3">
        <f>IF(AND(Clean_Data[[#This Row],[Include]]=1,Clean_Data[[#This Row],[DeliveredFlag]]=1),1,0)</f>
        <v>1</v>
      </c>
      <c r="AA466" s="1">
        <f>IF(COUNTIF($D$2:D466,D466)=1,ROW()-1,ROWS(Clean_Data[OrderID])+1)</f>
        <v>465</v>
      </c>
      <c r="AB466" s="1">
        <f>IF(COUNTIF($F$2:F466,F466)=1,ROW()-1,ROWS(Clean_Data[OrderID])+1)</f>
        <v>901</v>
      </c>
      <c r="AC466" s="1">
        <f>IF(COUNTIF($G$2:G466,G466)=1,ROW()-1,ROWS(Clean_Data[OrderID])+1)</f>
        <v>901</v>
      </c>
      <c r="AD466" s="1">
        <f>IF(COUNTIF($H$2:H466,H466)=1,ROW()-1,ROWS(Clean_Data[OrderID])+1)</f>
        <v>901</v>
      </c>
      <c r="AE466" s="1">
        <f>IF(COUNTIF($V$2:V466,V466)=1,V466,ROWS(Clean_Data[OrderID])+1)</f>
        <v>901</v>
      </c>
      <c r="AF466" s="1">
        <f>IF(COUNTIF($U$2:U466,U466)=1,U466,ROWS(Clean_Data[OrderID])+1)</f>
        <v>901</v>
      </c>
      <c r="AG466" s="1">
        <f>IF(COUNTIF($E$2:E466,E466)=1,ROW()-1,ROWS(Clean_Data[OrderID])+1)</f>
        <v>901</v>
      </c>
    </row>
    <row r="467" spans="1:33" ht="20" customHeight="1">
      <c r="A467" s="3" t="s">
        <v>832</v>
      </c>
      <c r="B467" s="2">
        <v>46281</v>
      </c>
      <c r="C467" s="3">
        <v>14</v>
      </c>
      <c r="D467" s="3" t="s">
        <v>833</v>
      </c>
      <c r="E467" s="3" t="s">
        <v>91</v>
      </c>
      <c r="F467" s="3" t="s">
        <v>92</v>
      </c>
      <c r="G467" s="3" t="s">
        <v>93</v>
      </c>
      <c r="H467" s="3" t="s">
        <v>94</v>
      </c>
      <c r="I467" s="3">
        <v>4</v>
      </c>
      <c r="J467" s="11">
        <v>95</v>
      </c>
      <c r="K467" s="4">
        <v>0</v>
      </c>
      <c r="L467" s="3" t="s">
        <v>95</v>
      </c>
      <c r="M467" s="3">
        <v>30</v>
      </c>
      <c r="N467" s="3">
        <v>8</v>
      </c>
      <c r="O467" s="3">
        <v>5</v>
      </c>
      <c r="P467" s="11">
        <f>Clean_Data[[#This Row],[Quantity]]*Clean_Data[[#This Row],[UnitPrice]]</f>
        <v>380</v>
      </c>
      <c r="Q467" s="11">
        <f>ROUND(Clean_Data[[#This Row],[GrossSales]]*Clean_Data[[#This Row],[DiscountPct]],2)</f>
        <v>0</v>
      </c>
      <c r="R467" s="11">
        <f>IF(Clean_Data[[#This Row],[Status]]="Delivered",ROUND(Clean_Data[[#This Row],[GrossSales]]-Clean_Data[[#This Row],[DiscountAmount]],2),0)</f>
        <v>380</v>
      </c>
      <c r="S467" s="3" t="str">
        <f>IF(Clean_Data[[#This Row],[OrderHour]]&lt;6,"Night",IF(Clean_Data[[#This Row],[OrderHour]]&lt;12,"Morning",IF(Clean_Data[[#This Row],[OrderHour]]&lt;18,"Afternoon","Evening")))</f>
        <v>Afternoon</v>
      </c>
      <c r="T467" s="3" t="str">
        <f>TEXT(Clean_Data[[#This Row],[OrderDate]],"[$-409]ddd")</f>
        <v>Wed</v>
      </c>
      <c r="U467" s="3">
        <f>WEEKDAY(Clean_Data[[#This Row],[OrderDate]],2)</f>
        <v>3</v>
      </c>
      <c r="V467" s="3">
        <f>INT(Clean_Data[[#This Row],[OrderHour]]/6)+1</f>
        <v>3</v>
      </c>
      <c r="W467" s="3">
        <f>IF(Clean_Data[[#This Row],[Status]]="Delivered",1,0)</f>
        <v>1</v>
      </c>
      <c r="X467" s="3">
        <f>IF(Clean_Data[[#This Row],[Status]]="Delivered",IF(Clean_Data[[#This Row],[DeliveryMinutes]]&lt;=Dashboard!$X$5,1,0),0)</f>
        <v>1</v>
      </c>
      <c r="Y4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7" s="3">
        <f>IF(AND(Clean_Data[[#This Row],[Include]]=1,Clean_Data[[#This Row],[DeliveredFlag]]=1),1,0)</f>
        <v>1</v>
      </c>
      <c r="AA467" s="1">
        <f>IF(COUNTIF($D$2:D467,D467)=1,ROW()-1,ROWS(Clean_Data[OrderID])+1)</f>
        <v>466</v>
      </c>
      <c r="AB467" s="1">
        <f>IF(COUNTIF($F$2:F467,F467)=1,ROW()-1,ROWS(Clean_Data[OrderID])+1)</f>
        <v>901</v>
      </c>
      <c r="AC467" s="1">
        <f>IF(COUNTIF($G$2:G467,G467)=1,ROW()-1,ROWS(Clean_Data[OrderID])+1)</f>
        <v>901</v>
      </c>
      <c r="AD467" s="1">
        <f>IF(COUNTIF($H$2:H467,H467)=1,ROW()-1,ROWS(Clean_Data[OrderID])+1)</f>
        <v>901</v>
      </c>
      <c r="AE467" s="1">
        <f>IF(COUNTIF($V$2:V467,V467)=1,V467,ROWS(Clean_Data[OrderID])+1)</f>
        <v>901</v>
      </c>
      <c r="AF467" s="1">
        <f>IF(COUNTIF($U$2:U467,U467)=1,U467,ROWS(Clean_Data[OrderID])+1)</f>
        <v>901</v>
      </c>
      <c r="AG467" s="1">
        <f>IF(COUNTIF($E$2:E467,E467)=1,ROW()-1,ROWS(Clean_Data[OrderID])+1)</f>
        <v>901</v>
      </c>
    </row>
    <row r="468" spans="1:33" ht="20" customHeight="1">
      <c r="A468" s="3" t="s">
        <v>834</v>
      </c>
      <c r="B468" s="2">
        <v>46281</v>
      </c>
      <c r="C468" s="3">
        <v>20</v>
      </c>
      <c r="D468" s="3" t="s">
        <v>454</v>
      </c>
      <c r="E468" s="3" t="s">
        <v>91</v>
      </c>
      <c r="F468" s="3" t="s">
        <v>98</v>
      </c>
      <c r="G468" s="3" t="s">
        <v>110</v>
      </c>
      <c r="H468" s="3" t="s">
        <v>111</v>
      </c>
      <c r="I468" s="3">
        <v>4</v>
      </c>
      <c r="J468" s="11">
        <v>115</v>
      </c>
      <c r="K468" s="4">
        <v>0.05</v>
      </c>
      <c r="L468" s="3" t="s">
        <v>95</v>
      </c>
      <c r="M468" s="3">
        <v>28</v>
      </c>
      <c r="N468" s="3">
        <v>11</v>
      </c>
      <c r="O468" s="3">
        <v>5</v>
      </c>
      <c r="P468" s="11">
        <f>Clean_Data[[#This Row],[Quantity]]*Clean_Data[[#This Row],[UnitPrice]]</f>
        <v>460</v>
      </c>
      <c r="Q468" s="11">
        <f>ROUND(Clean_Data[[#This Row],[GrossSales]]*Clean_Data[[#This Row],[DiscountPct]],2)</f>
        <v>23</v>
      </c>
      <c r="R468" s="11">
        <f>IF(Clean_Data[[#This Row],[Status]]="Delivered",ROUND(Clean_Data[[#This Row],[GrossSales]]-Clean_Data[[#This Row],[DiscountAmount]],2),0)</f>
        <v>437</v>
      </c>
      <c r="S468" s="3" t="str">
        <f>IF(Clean_Data[[#This Row],[OrderHour]]&lt;6,"Night",IF(Clean_Data[[#This Row],[OrderHour]]&lt;12,"Morning",IF(Clean_Data[[#This Row],[OrderHour]]&lt;18,"Afternoon","Evening")))</f>
        <v>Evening</v>
      </c>
      <c r="T468" s="3" t="str">
        <f>TEXT(Clean_Data[[#This Row],[OrderDate]],"[$-409]ddd")</f>
        <v>Wed</v>
      </c>
      <c r="U468" s="3">
        <f>WEEKDAY(Clean_Data[[#This Row],[OrderDate]],2)</f>
        <v>3</v>
      </c>
      <c r="V468" s="3">
        <f>INT(Clean_Data[[#This Row],[OrderHour]]/6)+1</f>
        <v>4</v>
      </c>
      <c r="W468" s="3">
        <f>IF(Clean_Data[[#This Row],[Status]]="Delivered",1,0)</f>
        <v>1</v>
      </c>
      <c r="X468" s="3">
        <f>IF(Clean_Data[[#This Row],[Status]]="Delivered",IF(Clean_Data[[#This Row],[DeliveryMinutes]]&lt;=Dashboard!$X$5,1,0),0)</f>
        <v>1</v>
      </c>
      <c r="Y4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8" s="3">
        <f>IF(AND(Clean_Data[[#This Row],[Include]]=1,Clean_Data[[#This Row],[DeliveredFlag]]=1),1,0)</f>
        <v>1</v>
      </c>
      <c r="AA468" s="1">
        <f>IF(COUNTIF($D$2:D468,D468)=1,ROW()-1,ROWS(Clean_Data[OrderID])+1)</f>
        <v>901</v>
      </c>
      <c r="AB468" s="1">
        <f>IF(COUNTIF($F$2:F468,F468)=1,ROW()-1,ROWS(Clean_Data[OrderID])+1)</f>
        <v>901</v>
      </c>
      <c r="AC468" s="1">
        <f>IF(COUNTIF($G$2:G468,G468)=1,ROW()-1,ROWS(Clean_Data[OrderID])+1)</f>
        <v>901</v>
      </c>
      <c r="AD468" s="1">
        <f>IF(COUNTIF($H$2:H468,H468)=1,ROW()-1,ROWS(Clean_Data[OrderID])+1)</f>
        <v>901</v>
      </c>
      <c r="AE468" s="1">
        <f>IF(COUNTIF($V$2:V468,V468)=1,V468,ROWS(Clean_Data[OrderID])+1)</f>
        <v>901</v>
      </c>
      <c r="AF468" s="1">
        <f>IF(COUNTIF($U$2:U468,U468)=1,U468,ROWS(Clean_Data[OrderID])+1)</f>
        <v>901</v>
      </c>
      <c r="AG468" s="1">
        <f>IF(COUNTIF($E$2:E468,E468)=1,ROW()-1,ROWS(Clean_Data[OrderID])+1)</f>
        <v>901</v>
      </c>
    </row>
    <row r="469" spans="1:33" ht="20" customHeight="1">
      <c r="A469" s="3" t="s">
        <v>835</v>
      </c>
      <c r="B469" s="2">
        <v>46281</v>
      </c>
      <c r="C469" s="3">
        <v>20</v>
      </c>
      <c r="D469" s="3" t="s">
        <v>754</v>
      </c>
      <c r="E469" s="3" t="s">
        <v>91</v>
      </c>
      <c r="F469" s="3" t="s">
        <v>98</v>
      </c>
      <c r="G469" s="3" t="s">
        <v>110</v>
      </c>
      <c r="H469" s="3" t="s">
        <v>111</v>
      </c>
      <c r="I469" s="3">
        <v>4</v>
      </c>
      <c r="J469" s="11">
        <v>115</v>
      </c>
      <c r="K469" s="4">
        <v>0.1</v>
      </c>
      <c r="L469" s="3" t="s">
        <v>95</v>
      </c>
      <c r="M469" s="3">
        <v>16</v>
      </c>
      <c r="N469" s="3">
        <v>13</v>
      </c>
      <c r="O469" s="3">
        <v>4</v>
      </c>
      <c r="P469" s="11">
        <f>Clean_Data[[#This Row],[Quantity]]*Clean_Data[[#This Row],[UnitPrice]]</f>
        <v>460</v>
      </c>
      <c r="Q469" s="11">
        <f>ROUND(Clean_Data[[#This Row],[GrossSales]]*Clean_Data[[#This Row],[DiscountPct]],2)</f>
        <v>46</v>
      </c>
      <c r="R469" s="11">
        <f>IF(Clean_Data[[#This Row],[Status]]="Delivered",ROUND(Clean_Data[[#This Row],[GrossSales]]-Clean_Data[[#This Row],[DiscountAmount]],2),0)</f>
        <v>414</v>
      </c>
      <c r="S469" s="3" t="str">
        <f>IF(Clean_Data[[#This Row],[OrderHour]]&lt;6,"Night",IF(Clean_Data[[#This Row],[OrderHour]]&lt;12,"Morning",IF(Clean_Data[[#This Row],[OrderHour]]&lt;18,"Afternoon","Evening")))</f>
        <v>Evening</v>
      </c>
      <c r="T469" s="3" t="str">
        <f>TEXT(Clean_Data[[#This Row],[OrderDate]],"[$-409]ddd")</f>
        <v>Wed</v>
      </c>
      <c r="U469" s="3">
        <f>WEEKDAY(Clean_Data[[#This Row],[OrderDate]],2)</f>
        <v>3</v>
      </c>
      <c r="V469" s="3">
        <f>INT(Clean_Data[[#This Row],[OrderHour]]/6)+1</f>
        <v>4</v>
      </c>
      <c r="W469" s="3">
        <f>IF(Clean_Data[[#This Row],[Status]]="Delivered",1,0)</f>
        <v>1</v>
      </c>
      <c r="X469" s="3">
        <f>IF(Clean_Data[[#This Row],[Status]]="Delivered",IF(Clean_Data[[#This Row],[DeliveryMinutes]]&lt;=Dashboard!$X$5,1,0),0)</f>
        <v>1</v>
      </c>
      <c r="Y4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69" s="3">
        <f>IF(AND(Clean_Data[[#This Row],[Include]]=1,Clean_Data[[#This Row],[DeliveredFlag]]=1),1,0)</f>
        <v>1</v>
      </c>
      <c r="AA469" s="1">
        <f>IF(COUNTIF($D$2:D469,D469)=1,ROW()-1,ROWS(Clean_Data[OrderID])+1)</f>
        <v>901</v>
      </c>
      <c r="AB469" s="1">
        <f>IF(COUNTIF($F$2:F469,F469)=1,ROW()-1,ROWS(Clean_Data[OrderID])+1)</f>
        <v>901</v>
      </c>
      <c r="AC469" s="1">
        <f>IF(COUNTIF($G$2:G469,G469)=1,ROW()-1,ROWS(Clean_Data[OrderID])+1)</f>
        <v>901</v>
      </c>
      <c r="AD469" s="1">
        <f>IF(COUNTIF($H$2:H469,H469)=1,ROW()-1,ROWS(Clean_Data[OrderID])+1)</f>
        <v>901</v>
      </c>
      <c r="AE469" s="1">
        <f>IF(COUNTIF($V$2:V469,V469)=1,V469,ROWS(Clean_Data[OrderID])+1)</f>
        <v>901</v>
      </c>
      <c r="AF469" s="1">
        <f>IF(COUNTIF($U$2:U469,U469)=1,U469,ROWS(Clean_Data[OrderID])+1)</f>
        <v>901</v>
      </c>
      <c r="AG469" s="1">
        <f>IF(COUNTIF($E$2:E469,E469)=1,ROW()-1,ROWS(Clean_Data[OrderID])+1)</f>
        <v>901</v>
      </c>
    </row>
    <row r="470" spans="1:33" ht="20" customHeight="1">
      <c r="A470" s="3" t="s">
        <v>836</v>
      </c>
      <c r="B470" s="2">
        <v>46281</v>
      </c>
      <c r="C470" s="3">
        <v>9</v>
      </c>
      <c r="D470" s="3" t="s">
        <v>314</v>
      </c>
      <c r="E470" s="3" t="s">
        <v>117</v>
      </c>
      <c r="F470" s="3" t="s">
        <v>139</v>
      </c>
      <c r="G470" s="3" t="s">
        <v>122</v>
      </c>
      <c r="H470" s="3" t="s">
        <v>123</v>
      </c>
      <c r="I470" s="3">
        <v>6</v>
      </c>
      <c r="J470" s="11">
        <v>45</v>
      </c>
      <c r="K470" s="4">
        <v>0</v>
      </c>
      <c r="L470" s="3" t="s">
        <v>95</v>
      </c>
      <c r="M470" s="3">
        <v>26</v>
      </c>
      <c r="N470" s="3">
        <v>14</v>
      </c>
      <c r="O470" s="3">
        <v>4</v>
      </c>
      <c r="P470" s="11">
        <f>Clean_Data[[#This Row],[Quantity]]*Clean_Data[[#This Row],[UnitPrice]]</f>
        <v>270</v>
      </c>
      <c r="Q470" s="11">
        <f>ROUND(Clean_Data[[#This Row],[GrossSales]]*Clean_Data[[#This Row],[DiscountPct]],2)</f>
        <v>0</v>
      </c>
      <c r="R470" s="11">
        <f>IF(Clean_Data[[#This Row],[Status]]="Delivered",ROUND(Clean_Data[[#This Row],[GrossSales]]-Clean_Data[[#This Row],[DiscountAmount]],2),0)</f>
        <v>270</v>
      </c>
      <c r="S470" s="3" t="str">
        <f>IF(Clean_Data[[#This Row],[OrderHour]]&lt;6,"Night",IF(Clean_Data[[#This Row],[OrderHour]]&lt;12,"Morning",IF(Clean_Data[[#This Row],[OrderHour]]&lt;18,"Afternoon","Evening")))</f>
        <v>Morning</v>
      </c>
      <c r="T470" s="3" t="str">
        <f>TEXT(Clean_Data[[#This Row],[OrderDate]],"[$-409]ddd")</f>
        <v>Wed</v>
      </c>
      <c r="U470" s="3">
        <f>WEEKDAY(Clean_Data[[#This Row],[OrderDate]],2)</f>
        <v>3</v>
      </c>
      <c r="V470" s="3">
        <f>INT(Clean_Data[[#This Row],[OrderHour]]/6)+1</f>
        <v>2</v>
      </c>
      <c r="W470" s="3">
        <f>IF(Clean_Data[[#This Row],[Status]]="Delivered",1,0)</f>
        <v>1</v>
      </c>
      <c r="X470" s="3">
        <f>IF(Clean_Data[[#This Row],[Status]]="Delivered",IF(Clean_Data[[#This Row],[DeliveryMinutes]]&lt;=Dashboard!$X$5,1,0),0)</f>
        <v>1</v>
      </c>
      <c r="Y4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0" s="3">
        <f>IF(AND(Clean_Data[[#This Row],[Include]]=1,Clean_Data[[#This Row],[DeliveredFlag]]=1),1,0)</f>
        <v>1</v>
      </c>
      <c r="AA470" s="1">
        <f>IF(COUNTIF($D$2:D470,D470)=1,ROW()-1,ROWS(Clean_Data[OrderID])+1)</f>
        <v>901</v>
      </c>
      <c r="AB470" s="1">
        <f>IF(COUNTIF($F$2:F470,F470)=1,ROW()-1,ROWS(Clean_Data[OrderID])+1)</f>
        <v>901</v>
      </c>
      <c r="AC470" s="1">
        <f>IF(COUNTIF($G$2:G470,G470)=1,ROW()-1,ROWS(Clean_Data[OrderID])+1)</f>
        <v>901</v>
      </c>
      <c r="AD470" s="1">
        <f>IF(COUNTIF($H$2:H470,H470)=1,ROW()-1,ROWS(Clean_Data[OrderID])+1)</f>
        <v>901</v>
      </c>
      <c r="AE470" s="1">
        <f>IF(COUNTIF($V$2:V470,V470)=1,V470,ROWS(Clean_Data[OrderID])+1)</f>
        <v>901</v>
      </c>
      <c r="AF470" s="1">
        <f>IF(COUNTIF($U$2:U470,U470)=1,U470,ROWS(Clean_Data[OrderID])+1)</f>
        <v>901</v>
      </c>
      <c r="AG470" s="1">
        <f>IF(COUNTIF($E$2:E470,E470)=1,ROW()-1,ROWS(Clean_Data[OrderID])+1)</f>
        <v>901</v>
      </c>
    </row>
    <row r="471" spans="1:33" ht="20" customHeight="1">
      <c r="A471" s="3" t="s">
        <v>837</v>
      </c>
      <c r="B471" s="2">
        <v>46281</v>
      </c>
      <c r="C471" s="3">
        <v>16</v>
      </c>
      <c r="D471" s="3" t="s">
        <v>414</v>
      </c>
      <c r="E471" s="3" t="s">
        <v>117</v>
      </c>
      <c r="F471" s="3" t="s">
        <v>98</v>
      </c>
      <c r="G471" s="3" t="s">
        <v>110</v>
      </c>
      <c r="H471" s="3" t="s">
        <v>206</v>
      </c>
      <c r="I471" s="3">
        <v>4</v>
      </c>
      <c r="J471" s="11">
        <v>220</v>
      </c>
      <c r="K471" s="4">
        <v>0</v>
      </c>
      <c r="L471" s="3" t="s">
        <v>95</v>
      </c>
      <c r="M471" s="3">
        <v>28</v>
      </c>
      <c r="N471" s="3">
        <v>12</v>
      </c>
      <c r="O471" s="3">
        <v>4</v>
      </c>
      <c r="P471" s="11">
        <f>Clean_Data[[#This Row],[Quantity]]*Clean_Data[[#This Row],[UnitPrice]]</f>
        <v>880</v>
      </c>
      <c r="Q471" s="11">
        <f>ROUND(Clean_Data[[#This Row],[GrossSales]]*Clean_Data[[#This Row],[DiscountPct]],2)</f>
        <v>0</v>
      </c>
      <c r="R471" s="11">
        <f>IF(Clean_Data[[#This Row],[Status]]="Delivered",ROUND(Clean_Data[[#This Row],[GrossSales]]-Clean_Data[[#This Row],[DiscountAmount]],2),0)</f>
        <v>880</v>
      </c>
      <c r="S471" s="3" t="str">
        <f>IF(Clean_Data[[#This Row],[OrderHour]]&lt;6,"Night",IF(Clean_Data[[#This Row],[OrderHour]]&lt;12,"Morning",IF(Clean_Data[[#This Row],[OrderHour]]&lt;18,"Afternoon","Evening")))</f>
        <v>Afternoon</v>
      </c>
      <c r="T471" s="3" t="str">
        <f>TEXT(Clean_Data[[#This Row],[OrderDate]],"[$-409]ddd")</f>
        <v>Wed</v>
      </c>
      <c r="U471" s="3">
        <f>WEEKDAY(Clean_Data[[#This Row],[OrderDate]],2)</f>
        <v>3</v>
      </c>
      <c r="V471" s="3">
        <f>INT(Clean_Data[[#This Row],[OrderHour]]/6)+1</f>
        <v>3</v>
      </c>
      <c r="W471" s="3">
        <f>IF(Clean_Data[[#This Row],[Status]]="Delivered",1,0)</f>
        <v>1</v>
      </c>
      <c r="X471" s="3">
        <f>IF(Clean_Data[[#This Row],[Status]]="Delivered",IF(Clean_Data[[#This Row],[DeliveryMinutes]]&lt;=Dashboard!$X$5,1,0),0)</f>
        <v>1</v>
      </c>
      <c r="Y4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1" s="3">
        <f>IF(AND(Clean_Data[[#This Row],[Include]]=1,Clean_Data[[#This Row],[DeliveredFlag]]=1),1,0)</f>
        <v>1</v>
      </c>
      <c r="AA471" s="1">
        <f>IF(COUNTIF($D$2:D471,D471)=1,ROW()-1,ROWS(Clean_Data[OrderID])+1)</f>
        <v>901</v>
      </c>
      <c r="AB471" s="1">
        <f>IF(COUNTIF($F$2:F471,F471)=1,ROW()-1,ROWS(Clean_Data[OrderID])+1)</f>
        <v>901</v>
      </c>
      <c r="AC471" s="1">
        <f>IF(COUNTIF($G$2:G471,G471)=1,ROW()-1,ROWS(Clean_Data[OrderID])+1)</f>
        <v>901</v>
      </c>
      <c r="AD471" s="1">
        <f>IF(COUNTIF($H$2:H471,H471)=1,ROW()-1,ROWS(Clean_Data[OrderID])+1)</f>
        <v>901</v>
      </c>
      <c r="AE471" s="1">
        <f>IF(COUNTIF($V$2:V471,V471)=1,V471,ROWS(Clean_Data[OrderID])+1)</f>
        <v>901</v>
      </c>
      <c r="AF471" s="1">
        <f>IF(COUNTIF($U$2:U471,U471)=1,U471,ROWS(Clean_Data[OrderID])+1)</f>
        <v>901</v>
      </c>
      <c r="AG471" s="1">
        <f>IF(COUNTIF($E$2:E471,E471)=1,ROW()-1,ROWS(Clean_Data[OrderID])+1)</f>
        <v>901</v>
      </c>
    </row>
    <row r="472" spans="1:33" ht="20" customHeight="1">
      <c r="A472" s="3" t="s">
        <v>838</v>
      </c>
      <c r="B472" s="2">
        <v>46281</v>
      </c>
      <c r="C472" s="3">
        <v>13</v>
      </c>
      <c r="D472" s="3" t="s">
        <v>477</v>
      </c>
      <c r="E472" s="3" t="s">
        <v>91</v>
      </c>
      <c r="F472" s="3" t="s">
        <v>139</v>
      </c>
      <c r="G472" s="3" t="s">
        <v>99</v>
      </c>
      <c r="H472" s="3" t="s">
        <v>104</v>
      </c>
      <c r="I472" s="3">
        <v>2</v>
      </c>
      <c r="J472" s="11">
        <v>240</v>
      </c>
      <c r="K472" s="4">
        <v>0.1</v>
      </c>
      <c r="L472" s="3" t="s">
        <v>95</v>
      </c>
      <c r="M472" s="3">
        <v>37</v>
      </c>
      <c r="N472" s="3">
        <v>8</v>
      </c>
      <c r="O472" s="3">
        <v>4</v>
      </c>
      <c r="P472" s="11">
        <f>Clean_Data[[#This Row],[Quantity]]*Clean_Data[[#This Row],[UnitPrice]]</f>
        <v>480</v>
      </c>
      <c r="Q472" s="11">
        <f>ROUND(Clean_Data[[#This Row],[GrossSales]]*Clean_Data[[#This Row],[DiscountPct]],2)</f>
        <v>48</v>
      </c>
      <c r="R472" s="11">
        <f>IF(Clean_Data[[#This Row],[Status]]="Delivered",ROUND(Clean_Data[[#This Row],[GrossSales]]-Clean_Data[[#This Row],[DiscountAmount]],2),0)</f>
        <v>432</v>
      </c>
      <c r="S472" s="3" t="str">
        <f>IF(Clean_Data[[#This Row],[OrderHour]]&lt;6,"Night",IF(Clean_Data[[#This Row],[OrderHour]]&lt;12,"Morning",IF(Clean_Data[[#This Row],[OrderHour]]&lt;18,"Afternoon","Evening")))</f>
        <v>Afternoon</v>
      </c>
      <c r="T472" s="3" t="str">
        <f>TEXT(Clean_Data[[#This Row],[OrderDate]],"[$-409]ddd")</f>
        <v>Wed</v>
      </c>
      <c r="U472" s="3">
        <f>WEEKDAY(Clean_Data[[#This Row],[OrderDate]],2)</f>
        <v>3</v>
      </c>
      <c r="V472" s="3">
        <f>INT(Clean_Data[[#This Row],[OrderHour]]/6)+1</f>
        <v>3</v>
      </c>
      <c r="W472" s="3">
        <f>IF(Clean_Data[[#This Row],[Status]]="Delivered",1,0)</f>
        <v>1</v>
      </c>
      <c r="X472" s="3">
        <f>IF(Clean_Data[[#This Row],[Status]]="Delivered",IF(Clean_Data[[#This Row],[DeliveryMinutes]]&lt;=Dashboard!$X$5,1,0),0)</f>
        <v>0</v>
      </c>
      <c r="Y4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2" s="3">
        <f>IF(AND(Clean_Data[[#This Row],[Include]]=1,Clean_Data[[#This Row],[DeliveredFlag]]=1),1,0)</f>
        <v>1</v>
      </c>
      <c r="AA472" s="1">
        <f>IF(COUNTIF($D$2:D472,D472)=1,ROW()-1,ROWS(Clean_Data[OrderID])+1)</f>
        <v>901</v>
      </c>
      <c r="AB472" s="1">
        <f>IF(COUNTIF($F$2:F472,F472)=1,ROW()-1,ROWS(Clean_Data[OrderID])+1)</f>
        <v>901</v>
      </c>
      <c r="AC472" s="1">
        <f>IF(COUNTIF($G$2:G472,G472)=1,ROW()-1,ROWS(Clean_Data[OrderID])+1)</f>
        <v>901</v>
      </c>
      <c r="AD472" s="1">
        <f>IF(COUNTIF($H$2:H472,H472)=1,ROW()-1,ROWS(Clean_Data[OrderID])+1)</f>
        <v>901</v>
      </c>
      <c r="AE472" s="1">
        <f>IF(COUNTIF($V$2:V472,V472)=1,V472,ROWS(Clean_Data[OrderID])+1)</f>
        <v>901</v>
      </c>
      <c r="AF472" s="1">
        <f>IF(COUNTIF($U$2:U472,U472)=1,U472,ROWS(Clean_Data[OrderID])+1)</f>
        <v>901</v>
      </c>
      <c r="AG472" s="1">
        <f>IF(COUNTIF($E$2:E472,E472)=1,ROW()-1,ROWS(Clean_Data[OrderID])+1)</f>
        <v>901</v>
      </c>
    </row>
    <row r="473" spans="1:33" ht="20" customHeight="1">
      <c r="A473" s="3" t="s">
        <v>839</v>
      </c>
      <c r="B473" s="2">
        <v>46281</v>
      </c>
      <c r="C473" s="3">
        <v>8</v>
      </c>
      <c r="D473" s="3" t="s">
        <v>421</v>
      </c>
      <c r="E473" s="3" t="s">
        <v>117</v>
      </c>
      <c r="F473" s="3" t="s">
        <v>92</v>
      </c>
      <c r="G473" s="3" t="s">
        <v>174</v>
      </c>
      <c r="H473" s="3" t="s">
        <v>175</v>
      </c>
      <c r="I473" s="3">
        <v>4</v>
      </c>
      <c r="J473" s="11">
        <v>155</v>
      </c>
      <c r="K473" s="4">
        <v>0</v>
      </c>
      <c r="L473" s="3" t="s">
        <v>95</v>
      </c>
      <c r="M473" s="3">
        <v>30</v>
      </c>
      <c r="N473" s="3">
        <v>5</v>
      </c>
      <c r="O473" s="3">
        <v>4</v>
      </c>
      <c r="P473" s="11">
        <f>Clean_Data[[#This Row],[Quantity]]*Clean_Data[[#This Row],[UnitPrice]]</f>
        <v>620</v>
      </c>
      <c r="Q473" s="11">
        <f>ROUND(Clean_Data[[#This Row],[GrossSales]]*Clean_Data[[#This Row],[DiscountPct]],2)</f>
        <v>0</v>
      </c>
      <c r="R473" s="11">
        <f>IF(Clean_Data[[#This Row],[Status]]="Delivered",ROUND(Clean_Data[[#This Row],[GrossSales]]-Clean_Data[[#This Row],[DiscountAmount]],2),0)</f>
        <v>620</v>
      </c>
      <c r="S473" s="3" t="str">
        <f>IF(Clean_Data[[#This Row],[OrderHour]]&lt;6,"Night",IF(Clean_Data[[#This Row],[OrderHour]]&lt;12,"Morning",IF(Clean_Data[[#This Row],[OrderHour]]&lt;18,"Afternoon","Evening")))</f>
        <v>Morning</v>
      </c>
      <c r="T473" s="3" t="str">
        <f>TEXT(Clean_Data[[#This Row],[OrderDate]],"[$-409]ddd")</f>
        <v>Wed</v>
      </c>
      <c r="U473" s="3">
        <f>WEEKDAY(Clean_Data[[#This Row],[OrderDate]],2)</f>
        <v>3</v>
      </c>
      <c r="V473" s="3">
        <f>INT(Clean_Data[[#This Row],[OrderHour]]/6)+1</f>
        <v>2</v>
      </c>
      <c r="W473" s="3">
        <f>IF(Clean_Data[[#This Row],[Status]]="Delivered",1,0)</f>
        <v>1</v>
      </c>
      <c r="X473" s="3">
        <f>IF(Clean_Data[[#This Row],[Status]]="Delivered",IF(Clean_Data[[#This Row],[DeliveryMinutes]]&lt;=Dashboard!$X$5,1,0),0)</f>
        <v>1</v>
      </c>
      <c r="Y4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3" s="3">
        <f>IF(AND(Clean_Data[[#This Row],[Include]]=1,Clean_Data[[#This Row],[DeliveredFlag]]=1),1,0)</f>
        <v>1</v>
      </c>
      <c r="AA473" s="1">
        <f>IF(COUNTIF($D$2:D473,D473)=1,ROW()-1,ROWS(Clean_Data[OrderID])+1)</f>
        <v>901</v>
      </c>
      <c r="AB473" s="1">
        <f>IF(COUNTIF($F$2:F473,F473)=1,ROW()-1,ROWS(Clean_Data[OrderID])+1)</f>
        <v>901</v>
      </c>
      <c r="AC473" s="1">
        <f>IF(COUNTIF($G$2:G473,G473)=1,ROW()-1,ROWS(Clean_Data[OrderID])+1)</f>
        <v>901</v>
      </c>
      <c r="AD473" s="1">
        <f>IF(COUNTIF($H$2:H473,H473)=1,ROW()-1,ROWS(Clean_Data[OrderID])+1)</f>
        <v>901</v>
      </c>
      <c r="AE473" s="1">
        <f>IF(COUNTIF($V$2:V473,V473)=1,V473,ROWS(Clean_Data[OrderID])+1)</f>
        <v>901</v>
      </c>
      <c r="AF473" s="1">
        <f>IF(COUNTIF($U$2:U473,U473)=1,U473,ROWS(Clean_Data[OrderID])+1)</f>
        <v>901</v>
      </c>
      <c r="AG473" s="1">
        <f>IF(COUNTIF($E$2:E473,E473)=1,ROW()-1,ROWS(Clean_Data[OrderID])+1)</f>
        <v>901</v>
      </c>
    </row>
    <row r="474" spans="1:33" ht="20" customHeight="1">
      <c r="A474" s="3" t="s">
        <v>840</v>
      </c>
      <c r="B474" s="2">
        <v>46281</v>
      </c>
      <c r="C474" s="3">
        <v>19</v>
      </c>
      <c r="D474" s="3" t="s">
        <v>411</v>
      </c>
      <c r="E474" s="3" t="s">
        <v>91</v>
      </c>
      <c r="F474" s="3" t="s">
        <v>121</v>
      </c>
      <c r="G474" s="3" t="s">
        <v>93</v>
      </c>
      <c r="H474" s="3" t="s">
        <v>146</v>
      </c>
      <c r="I474" s="3">
        <v>4</v>
      </c>
      <c r="J474" s="11">
        <v>110</v>
      </c>
      <c r="K474" s="4">
        <v>0.1</v>
      </c>
      <c r="L474" s="3" t="s">
        <v>95</v>
      </c>
      <c r="M474" s="3">
        <v>36</v>
      </c>
      <c r="N474" s="3">
        <v>8</v>
      </c>
      <c r="O474" s="3">
        <v>5</v>
      </c>
      <c r="P474" s="11">
        <f>Clean_Data[[#This Row],[Quantity]]*Clean_Data[[#This Row],[UnitPrice]]</f>
        <v>440</v>
      </c>
      <c r="Q474" s="11">
        <f>ROUND(Clean_Data[[#This Row],[GrossSales]]*Clean_Data[[#This Row],[DiscountPct]],2)</f>
        <v>44</v>
      </c>
      <c r="R474" s="11">
        <f>IF(Clean_Data[[#This Row],[Status]]="Delivered",ROUND(Clean_Data[[#This Row],[GrossSales]]-Clean_Data[[#This Row],[DiscountAmount]],2),0)</f>
        <v>396</v>
      </c>
      <c r="S474" s="3" t="str">
        <f>IF(Clean_Data[[#This Row],[OrderHour]]&lt;6,"Night",IF(Clean_Data[[#This Row],[OrderHour]]&lt;12,"Morning",IF(Clean_Data[[#This Row],[OrderHour]]&lt;18,"Afternoon","Evening")))</f>
        <v>Evening</v>
      </c>
      <c r="T474" s="3" t="str">
        <f>TEXT(Clean_Data[[#This Row],[OrderDate]],"[$-409]ddd")</f>
        <v>Wed</v>
      </c>
      <c r="U474" s="3">
        <f>WEEKDAY(Clean_Data[[#This Row],[OrderDate]],2)</f>
        <v>3</v>
      </c>
      <c r="V474" s="3">
        <f>INT(Clean_Data[[#This Row],[OrderHour]]/6)+1</f>
        <v>4</v>
      </c>
      <c r="W474" s="3">
        <f>IF(Clean_Data[[#This Row],[Status]]="Delivered",1,0)</f>
        <v>1</v>
      </c>
      <c r="X474" s="3">
        <f>IF(Clean_Data[[#This Row],[Status]]="Delivered",IF(Clean_Data[[#This Row],[DeliveryMinutes]]&lt;=Dashboard!$X$5,1,0),0)</f>
        <v>0</v>
      </c>
      <c r="Y4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4" s="3">
        <f>IF(AND(Clean_Data[[#This Row],[Include]]=1,Clean_Data[[#This Row],[DeliveredFlag]]=1),1,0)</f>
        <v>1</v>
      </c>
      <c r="AA474" s="1">
        <f>IF(COUNTIF($D$2:D474,D474)=1,ROW()-1,ROWS(Clean_Data[OrderID])+1)</f>
        <v>901</v>
      </c>
      <c r="AB474" s="1">
        <f>IF(COUNTIF($F$2:F474,F474)=1,ROW()-1,ROWS(Clean_Data[OrderID])+1)</f>
        <v>901</v>
      </c>
      <c r="AC474" s="1">
        <f>IF(COUNTIF($G$2:G474,G474)=1,ROW()-1,ROWS(Clean_Data[OrderID])+1)</f>
        <v>901</v>
      </c>
      <c r="AD474" s="1">
        <f>IF(COUNTIF($H$2:H474,H474)=1,ROW()-1,ROWS(Clean_Data[OrderID])+1)</f>
        <v>901</v>
      </c>
      <c r="AE474" s="1">
        <f>IF(COUNTIF($V$2:V474,V474)=1,V474,ROWS(Clean_Data[OrderID])+1)</f>
        <v>901</v>
      </c>
      <c r="AF474" s="1">
        <f>IF(COUNTIF($U$2:U474,U474)=1,U474,ROWS(Clean_Data[OrderID])+1)</f>
        <v>901</v>
      </c>
      <c r="AG474" s="1">
        <f>IF(COUNTIF($E$2:E474,E474)=1,ROW()-1,ROWS(Clean_Data[OrderID])+1)</f>
        <v>901</v>
      </c>
    </row>
    <row r="475" spans="1:33" ht="20" customHeight="1">
      <c r="A475" s="3" t="s">
        <v>841</v>
      </c>
      <c r="B475" s="2">
        <v>46281</v>
      </c>
      <c r="C475" s="3">
        <v>9</v>
      </c>
      <c r="D475" s="3" t="s">
        <v>228</v>
      </c>
      <c r="E475" s="3" t="s">
        <v>91</v>
      </c>
      <c r="F475" s="3" t="s">
        <v>121</v>
      </c>
      <c r="G475" s="3" t="s">
        <v>135</v>
      </c>
      <c r="H475" s="3" t="s">
        <v>136</v>
      </c>
      <c r="I475" s="3">
        <v>5</v>
      </c>
      <c r="J475" s="11">
        <v>40</v>
      </c>
      <c r="K475" s="4">
        <v>0</v>
      </c>
      <c r="L475" s="3" t="s">
        <v>101</v>
      </c>
      <c r="M475" s="3"/>
      <c r="N475" s="3"/>
      <c r="O475" s="3"/>
      <c r="P475" s="11">
        <f>Clean_Data[[#This Row],[Quantity]]*Clean_Data[[#This Row],[UnitPrice]]</f>
        <v>200</v>
      </c>
      <c r="Q475" s="11">
        <f>ROUND(Clean_Data[[#This Row],[GrossSales]]*Clean_Data[[#This Row],[DiscountPct]],2)</f>
        <v>0</v>
      </c>
      <c r="R475" s="11">
        <f>IF(Clean_Data[[#This Row],[Status]]="Delivered",ROUND(Clean_Data[[#This Row],[GrossSales]]-Clean_Data[[#This Row],[DiscountAmount]],2),0)</f>
        <v>0</v>
      </c>
      <c r="S475" s="3" t="str">
        <f>IF(Clean_Data[[#This Row],[OrderHour]]&lt;6,"Night",IF(Clean_Data[[#This Row],[OrderHour]]&lt;12,"Morning",IF(Clean_Data[[#This Row],[OrderHour]]&lt;18,"Afternoon","Evening")))</f>
        <v>Morning</v>
      </c>
      <c r="T475" s="3" t="str">
        <f>TEXT(Clean_Data[[#This Row],[OrderDate]],"[$-409]ddd")</f>
        <v>Wed</v>
      </c>
      <c r="U475" s="3">
        <f>WEEKDAY(Clean_Data[[#This Row],[OrderDate]],2)</f>
        <v>3</v>
      </c>
      <c r="V475" s="3">
        <f>INT(Clean_Data[[#This Row],[OrderHour]]/6)+1</f>
        <v>2</v>
      </c>
      <c r="W475" s="3">
        <f>IF(Clean_Data[[#This Row],[Status]]="Delivered",1,0)</f>
        <v>0</v>
      </c>
      <c r="X475" s="3">
        <f>IF(Clean_Data[[#This Row],[Status]]="Delivered",IF(Clean_Data[[#This Row],[DeliveryMinutes]]&lt;=Dashboard!$X$5,1,0),0)</f>
        <v>0</v>
      </c>
      <c r="Y4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5" s="3">
        <f>IF(AND(Clean_Data[[#This Row],[Include]]=1,Clean_Data[[#This Row],[DeliveredFlag]]=1),1,0)</f>
        <v>0</v>
      </c>
      <c r="AA475" s="1">
        <f>IF(COUNTIF($D$2:D475,D475)=1,ROW()-1,ROWS(Clean_Data[OrderID])+1)</f>
        <v>901</v>
      </c>
      <c r="AB475" s="1">
        <f>IF(COUNTIF($F$2:F475,F475)=1,ROW()-1,ROWS(Clean_Data[OrderID])+1)</f>
        <v>901</v>
      </c>
      <c r="AC475" s="1">
        <f>IF(COUNTIF($G$2:G475,G475)=1,ROW()-1,ROWS(Clean_Data[OrderID])+1)</f>
        <v>901</v>
      </c>
      <c r="AD475" s="1">
        <f>IF(COUNTIF($H$2:H475,H475)=1,ROW()-1,ROWS(Clean_Data[OrderID])+1)</f>
        <v>901</v>
      </c>
      <c r="AE475" s="1">
        <f>IF(COUNTIF($V$2:V475,V475)=1,V475,ROWS(Clean_Data[OrderID])+1)</f>
        <v>901</v>
      </c>
      <c r="AF475" s="1">
        <f>IF(COUNTIF($U$2:U475,U475)=1,U475,ROWS(Clean_Data[OrderID])+1)</f>
        <v>901</v>
      </c>
      <c r="AG475" s="1">
        <f>IF(COUNTIF($E$2:E475,E475)=1,ROW()-1,ROWS(Clean_Data[OrderID])+1)</f>
        <v>901</v>
      </c>
    </row>
    <row r="476" spans="1:33" ht="20" customHeight="1">
      <c r="A476" s="3" t="s">
        <v>842</v>
      </c>
      <c r="B476" s="2">
        <v>46281</v>
      </c>
      <c r="C476" s="3">
        <v>18</v>
      </c>
      <c r="D476" s="3" t="s">
        <v>619</v>
      </c>
      <c r="E476" s="3" t="s">
        <v>117</v>
      </c>
      <c r="F476" s="3" t="s">
        <v>98</v>
      </c>
      <c r="G476" s="3" t="s">
        <v>93</v>
      </c>
      <c r="H476" s="3" t="s">
        <v>146</v>
      </c>
      <c r="I476" s="3">
        <v>5</v>
      </c>
      <c r="J476" s="11">
        <v>110</v>
      </c>
      <c r="K476" s="4">
        <v>0</v>
      </c>
      <c r="L476" s="3" t="s">
        <v>95</v>
      </c>
      <c r="M476" s="3">
        <v>26</v>
      </c>
      <c r="N476" s="3">
        <v>6</v>
      </c>
      <c r="O476" s="3">
        <v>4</v>
      </c>
      <c r="P476" s="11">
        <f>Clean_Data[[#This Row],[Quantity]]*Clean_Data[[#This Row],[UnitPrice]]</f>
        <v>550</v>
      </c>
      <c r="Q476" s="11">
        <f>ROUND(Clean_Data[[#This Row],[GrossSales]]*Clean_Data[[#This Row],[DiscountPct]],2)</f>
        <v>0</v>
      </c>
      <c r="R476" s="11">
        <f>IF(Clean_Data[[#This Row],[Status]]="Delivered",ROUND(Clean_Data[[#This Row],[GrossSales]]-Clean_Data[[#This Row],[DiscountAmount]],2),0)</f>
        <v>550</v>
      </c>
      <c r="S476" s="3" t="str">
        <f>IF(Clean_Data[[#This Row],[OrderHour]]&lt;6,"Night",IF(Clean_Data[[#This Row],[OrderHour]]&lt;12,"Morning",IF(Clean_Data[[#This Row],[OrderHour]]&lt;18,"Afternoon","Evening")))</f>
        <v>Evening</v>
      </c>
      <c r="T476" s="3" t="str">
        <f>TEXT(Clean_Data[[#This Row],[OrderDate]],"[$-409]ddd")</f>
        <v>Wed</v>
      </c>
      <c r="U476" s="3">
        <f>WEEKDAY(Clean_Data[[#This Row],[OrderDate]],2)</f>
        <v>3</v>
      </c>
      <c r="V476" s="3">
        <f>INT(Clean_Data[[#This Row],[OrderHour]]/6)+1</f>
        <v>4</v>
      </c>
      <c r="W476" s="3">
        <f>IF(Clean_Data[[#This Row],[Status]]="Delivered",1,0)</f>
        <v>1</v>
      </c>
      <c r="X476" s="3">
        <f>IF(Clean_Data[[#This Row],[Status]]="Delivered",IF(Clean_Data[[#This Row],[DeliveryMinutes]]&lt;=Dashboard!$X$5,1,0),0)</f>
        <v>1</v>
      </c>
      <c r="Y4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6" s="3">
        <f>IF(AND(Clean_Data[[#This Row],[Include]]=1,Clean_Data[[#This Row],[DeliveredFlag]]=1),1,0)</f>
        <v>1</v>
      </c>
      <c r="AA476" s="1">
        <f>IF(COUNTIF($D$2:D476,D476)=1,ROW()-1,ROWS(Clean_Data[OrderID])+1)</f>
        <v>901</v>
      </c>
      <c r="AB476" s="1">
        <f>IF(COUNTIF($F$2:F476,F476)=1,ROW()-1,ROWS(Clean_Data[OrderID])+1)</f>
        <v>901</v>
      </c>
      <c r="AC476" s="1">
        <f>IF(COUNTIF($G$2:G476,G476)=1,ROW()-1,ROWS(Clean_Data[OrderID])+1)</f>
        <v>901</v>
      </c>
      <c r="AD476" s="1">
        <f>IF(COUNTIF($H$2:H476,H476)=1,ROW()-1,ROWS(Clean_Data[OrderID])+1)</f>
        <v>901</v>
      </c>
      <c r="AE476" s="1">
        <f>IF(COUNTIF($V$2:V476,V476)=1,V476,ROWS(Clean_Data[OrderID])+1)</f>
        <v>901</v>
      </c>
      <c r="AF476" s="1">
        <f>IF(COUNTIF($U$2:U476,U476)=1,U476,ROWS(Clean_Data[OrderID])+1)</f>
        <v>901</v>
      </c>
      <c r="AG476" s="1">
        <f>IF(COUNTIF($E$2:E476,E476)=1,ROW()-1,ROWS(Clean_Data[OrderID])+1)</f>
        <v>901</v>
      </c>
    </row>
    <row r="477" spans="1:33" ht="20" customHeight="1">
      <c r="A477" s="3" t="s">
        <v>843</v>
      </c>
      <c r="B477" s="2">
        <v>46281</v>
      </c>
      <c r="C477" s="3">
        <v>21</v>
      </c>
      <c r="D477" s="3" t="s">
        <v>537</v>
      </c>
      <c r="E477" s="3" t="s">
        <v>91</v>
      </c>
      <c r="F477" s="3" t="s">
        <v>139</v>
      </c>
      <c r="G477" s="3" t="s">
        <v>135</v>
      </c>
      <c r="H477" s="3" t="s">
        <v>217</v>
      </c>
      <c r="I477" s="3">
        <v>1</v>
      </c>
      <c r="J477" s="11">
        <v>65</v>
      </c>
      <c r="K477" s="4">
        <v>0</v>
      </c>
      <c r="L477" s="3" t="s">
        <v>95</v>
      </c>
      <c r="M477" s="3">
        <v>17</v>
      </c>
      <c r="N477" s="3">
        <v>12</v>
      </c>
      <c r="O477" s="3">
        <v>4</v>
      </c>
      <c r="P477" s="11">
        <f>Clean_Data[[#This Row],[Quantity]]*Clean_Data[[#This Row],[UnitPrice]]</f>
        <v>65</v>
      </c>
      <c r="Q477" s="11">
        <f>ROUND(Clean_Data[[#This Row],[GrossSales]]*Clean_Data[[#This Row],[DiscountPct]],2)</f>
        <v>0</v>
      </c>
      <c r="R477" s="11">
        <f>IF(Clean_Data[[#This Row],[Status]]="Delivered",ROUND(Clean_Data[[#This Row],[GrossSales]]-Clean_Data[[#This Row],[DiscountAmount]],2),0)</f>
        <v>65</v>
      </c>
      <c r="S477" s="3" t="str">
        <f>IF(Clean_Data[[#This Row],[OrderHour]]&lt;6,"Night",IF(Clean_Data[[#This Row],[OrderHour]]&lt;12,"Morning",IF(Clean_Data[[#This Row],[OrderHour]]&lt;18,"Afternoon","Evening")))</f>
        <v>Evening</v>
      </c>
      <c r="T477" s="3" t="str">
        <f>TEXT(Clean_Data[[#This Row],[OrderDate]],"[$-409]ddd")</f>
        <v>Wed</v>
      </c>
      <c r="U477" s="3">
        <f>WEEKDAY(Clean_Data[[#This Row],[OrderDate]],2)</f>
        <v>3</v>
      </c>
      <c r="V477" s="3">
        <f>INT(Clean_Data[[#This Row],[OrderHour]]/6)+1</f>
        <v>4</v>
      </c>
      <c r="W477" s="3">
        <f>IF(Clean_Data[[#This Row],[Status]]="Delivered",1,0)</f>
        <v>1</v>
      </c>
      <c r="X477" s="3">
        <f>IF(Clean_Data[[#This Row],[Status]]="Delivered",IF(Clean_Data[[#This Row],[DeliveryMinutes]]&lt;=Dashboard!$X$5,1,0),0)</f>
        <v>1</v>
      </c>
      <c r="Y4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7" s="3">
        <f>IF(AND(Clean_Data[[#This Row],[Include]]=1,Clean_Data[[#This Row],[DeliveredFlag]]=1),1,0)</f>
        <v>1</v>
      </c>
      <c r="AA477" s="1">
        <f>IF(COUNTIF($D$2:D477,D477)=1,ROW()-1,ROWS(Clean_Data[OrderID])+1)</f>
        <v>901</v>
      </c>
      <c r="AB477" s="1">
        <f>IF(COUNTIF($F$2:F477,F477)=1,ROW()-1,ROWS(Clean_Data[OrderID])+1)</f>
        <v>901</v>
      </c>
      <c r="AC477" s="1">
        <f>IF(COUNTIF($G$2:G477,G477)=1,ROW()-1,ROWS(Clean_Data[OrderID])+1)</f>
        <v>901</v>
      </c>
      <c r="AD477" s="1">
        <f>IF(COUNTIF($H$2:H477,H477)=1,ROW()-1,ROWS(Clean_Data[OrderID])+1)</f>
        <v>901</v>
      </c>
      <c r="AE477" s="1">
        <f>IF(COUNTIF($V$2:V477,V477)=1,V477,ROWS(Clean_Data[OrderID])+1)</f>
        <v>901</v>
      </c>
      <c r="AF477" s="1">
        <f>IF(COUNTIF($U$2:U477,U477)=1,U477,ROWS(Clean_Data[OrderID])+1)</f>
        <v>901</v>
      </c>
      <c r="AG477" s="1">
        <f>IF(COUNTIF($E$2:E477,E477)=1,ROW()-1,ROWS(Clean_Data[OrderID])+1)</f>
        <v>901</v>
      </c>
    </row>
    <row r="478" spans="1:33" ht="20" customHeight="1">
      <c r="A478" s="3" t="s">
        <v>844</v>
      </c>
      <c r="B478" s="2">
        <v>46281</v>
      </c>
      <c r="C478" s="3">
        <v>8</v>
      </c>
      <c r="D478" s="3" t="s">
        <v>845</v>
      </c>
      <c r="E478" s="3" t="s">
        <v>91</v>
      </c>
      <c r="F478" s="3" t="s">
        <v>92</v>
      </c>
      <c r="G478" s="3" t="s">
        <v>122</v>
      </c>
      <c r="H478" s="3" t="s">
        <v>123</v>
      </c>
      <c r="I478" s="3">
        <v>6</v>
      </c>
      <c r="J478" s="11">
        <v>45</v>
      </c>
      <c r="K478" s="4">
        <v>0</v>
      </c>
      <c r="L478" s="3" t="s">
        <v>95</v>
      </c>
      <c r="M478" s="3">
        <v>24</v>
      </c>
      <c r="N478" s="3">
        <v>7</v>
      </c>
      <c r="O478" s="3">
        <v>5</v>
      </c>
      <c r="P478" s="11">
        <f>Clean_Data[[#This Row],[Quantity]]*Clean_Data[[#This Row],[UnitPrice]]</f>
        <v>270</v>
      </c>
      <c r="Q478" s="11">
        <f>ROUND(Clean_Data[[#This Row],[GrossSales]]*Clean_Data[[#This Row],[DiscountPct]],2)</f>
        <v>0</v>
      </c>
      <c r="R478" s="11">
        <f>IF(Clean_Data[[#This Row],[Status]]="Delivered",ROUND(Clean_Data[[#This Row],[GrossSales]]-Clean_Data[[#This Row],[DiscountAmount]],2),0)</f>
        <v>270</v>
      </c>
      <c r="S478" s="3" t="str">
        <f>IF(Clean_Data[[#This Row],[OrderHour]]&lt;6,"Night",IF(Clean_Data[[#This Row],[OrderHour]]&lt;12,"Morning",IF(Clean_Data[[#This Row],[OrderHour]]&lt;18,"Afternoon","Evening")))</f>
        <v>Morning</v>
      </c>
      <c r="T478" s="3" t="str">
        <f>TEXT(Clean_Data[[#This Row],[OrderDate]],"[$-409]ddd")</f>
        <v>Wed</v>
      </c>
      <c r="U478" s="3">
        <f>WEEKDAY(Clean_Data[[#This Row],[OrderDate]],2)</f>
        <v>3</v>
      </c>
      <c r="V478" s="3">
        <f>INT(Clean_Data[[#This Row],[OrderHour]]/6)+1</f>
        <v>2</v>
      </c>
      <c r="W478" s="3">
        <f>IF(Clean_Data[[#This Row],[Status]]="Delivered",1,0)</f>
        <v>1</v>
      </c>
      <c r="X478" s="3">
        <f>IF(Clean_Data[[#This Row],[Status]]="Delivered",IF(Clean_Data[[#This Row],[DeliveryMinutes]]&lt;=Dashboard!$X$5,1,0),0)</f>
        <v>1</v>
      </c>
      <c r="Y4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8" s="3">
        <f>IF(AND(Clean_Data[[#This Row],[Include]]=1,Clean_Data[[#This Row],[DeliveredFlag]]=1),1,0)</f>
        <v>1</v>
      </c>
      <c r="AA478" s="1">
        <f>IF(COUNTIF($D$2:D478,D478)=1,ROW()-1,ROWS(Clean_Data[OrderID])+1)</f>
        <v>477</v>
      </c>
      <c r="AB478" s="1">
        <f>IF(COUNTIF($F$2:F478,F478)=1,ROW()-1,ROWS(Clean_Data[OrderID])+1)</f>
        <v>901</v>
      </c>
      <c r="AC478" s="1">
        <f>IF(COUNTIF($G$2:G478,G478)=1,ROW()-1,ROWS(Clean_Data[OrderID])+1)</f>
        <v>901</v>
      </c>
      <c r="AD478" s="1">
        <f>IF(COUNTIF($H$2:H478,H478)=1,ROW()-1,ROWS(Clean_Data[OrderID])+1)</f>
        <v>901</v>
      </c>
      <c r="AE478" s="1">
        <f>IF(COUNTIF($V$2:V478,V478)=1,V478,ROWS(Clean_Data[OrderID])+1)</f>
        <v>901</v>
      </c>
      <c r="AF478" s="1">
        <f>IF(COUNTIF($U$2:U478,U478)=1,U478,ROWS(Clean_Data[OrderID])+1)</f>
        <v>901</v>
      </c>
      <c r="AG478" s="1">
        <f>IF(COUNTIF($E$2:E478,E478)=1,ROW()-1,ROWS(Clean_Data[OrderID])+1)</f>
        <v>901</v>
      </c>
    </row>
    <row r="479" spans="1:33" ht="20" customHeight="1">
      <c r="A479" s="3" t="s">
        <v>846</v>
      </c>
      <c r="B479" s="2">
        <v>46281</v>
      </c>
      <c r="C479" s="3">
        <v>12</v>
      </c>
      <c r="D479" s="3" t="s">
        <v>287</v>
      </c>
      <c r="E479" s="3" t="s">
        <v>91</v>
      </c>
      <c r="F479" s="3" t="s">
        <v>98</v>
      </c>
      <c r="G479" s="3" t="s">
        <v>99</v>
      </c>
      <c r="H479" s="3" t="s">
        <v>130</v>
      </c>
      <c r="I479" s="3">
        <v>2</v>
      </c>
      <c r="J479" s="11">
        <v>85</v>
      </c>
      <c r="K479" s="4">
        <v>0</v>
      </c>
      <c r="L479" s="3" t="s">
        <v>95</v>
      </c>
      <c r="M479" s="3">
        <v>32</v>
      </c>
      <c r="N479" s="3">
        <v>11</v>
      </c>
      <c r="O479" s="3">
        <v>4</v>
      </c>
      <c r="P479" s="11">
        <f>Clean_Data[[#This Row],[Quantity]]*Clean_Data[[#This Row],[UnitPrice]]</f>
        <v>170</v>
      </c>
      <c r="Q479" s="11">
        <f>ROUND(Clean_Data[[#This Row],[GrossSales]]*Clean_Data[[#This Row],[DiscountPct]],2)</f>
        <v>0</v>
      </c>
      <c r="R479" s="11">
        <f>IF(Clean_Data[[#This Row],[Status]]="Delivered",ROUND(Clean_Data[[#This Row],[GrossSales]]-Clean_Data[[#This Row],[DiscountAmount]],2),0)</f>
        <v>170</v>
      </c>
      <c r="S479" s="3" t="str">
        <f>IF(Clean_Data[[#This Row],[OrderHour]]&lt;6,"Night",IF(Clean_Data[[#This Row],[OrderHour]]&lt;12,"Morning",IF(Clean_Data[[#This Row],[OrderHour]]&lt;18,"Afternoon","Evening")))</f>
        <v>Afternoon</v>
      </c>
      <c r="T479" s="3" t="str">
        <f>TEXT(Clean_Data[[#This Row],[OrderDate]],"[$-409]ddd")</f>
        <v>Wed</v>
      </c>
      <c r="U479" s="3">
        <f>WEEKDAY(Clean_Data[[#This Row],[OrderDate]],2)</f>
        <v>3</v>
      </c>
      <c r="V479" s="3">
        <f>INT(Clean_Data[[#This Row],[OrderHour]]/6)+1</f>
        <v>3</v>
      </c>
      <c r="W479" s="3">
        <f>IF(Clean_Data[[#This Row],[Status]]="Delivered",1,0)</f>
        <v>1</v>
      </c>
      <c r="X479" s="3">
        <f>IF(Clean_Data[[#This Row],[Status]]="Delivered",IF(Clean_Data[[#This Row],[DeliveryMinutes]]&lt;=Dashboard!$X$5,1,0),0)</f>
        <v>0</v>
      </c>
      <c r="Y4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79" s="3">
        <f>IF(AND(Clean_Data[[#This Row],[Include]]=1,Clean_Data[[#This Row],[DeliveredFlag]]=1),1,0)</f>
        <v>1</v>
      </c>
      <c r="AA479" s="1">
        <f>IF(COUNTIF($D$2:D479,D479)=1,ROW()-1,ROWS(Clean_Data[OrderID])+1)</f>
        <v>901</v>
      </c>
      <c r="AB479" s="1">
        <f>IF(COUNTIF($F$2:F479,F479)=1,ROW()-1,ROWS(Clean_Data[OrderID])+1)</f>
        <v>901</v>
      </c>
      <c r="AC479" s="1">
        <f>IF(COUNTIF($G$2:G479,G479)=1,ROW()-1,ROWS(Clean_Data[OrderID])+1)</f>
        <v>901</v>
      </c>
      <c r="AD479" s="1">
        <f>IF(COUNTIF($H$2:H479,H479)=1,ROW()-1,ROWS(Clean_Data[OrderID])+1)</f>
        <v>901</v>
      </c>
      <c r="AE479" s="1">
        <f>IF(COUNTIF($V$2:V479,V479)=1,V479,ROWS(Clean_Data[OrderID])+1)</f>
        <v>901</v>
      </c>
      <c r="AF479" s="1">
        <f>IF(COUNTIF($U$2:U479,U479)=1,U479,ROWS(Clean_Data[OrderID])+1)</f>
        <v>901</v>
      </c>
      <c r="AG479" s="1">
        <f>IF(COUNTIF($E$2:E479,E479)=1,ROW()-1,ROWS(Clean_Data[OrderID])+1)</f>
        <v>901</v>
      </c>
    </row>
    <row r="480" spans="1:33" ht="20" customHeight="1">
      <c r="A480" s="3" t="s">
        <v>847</v>
      </c>
      <c r="B480" s="2">
        <v>46281</v>
      </c>
      <c r="C480" s="3">
        <v>13</v>
      </c>
      <c r="D480" s="3" t="s">
        <v>374</v>
      </c>
      <c r="E480" s="3" t="s">
        <v>91</v>
      </c>
      <c r="F480" s="3" t="s">
        <v>139</v>
      </c>
      <c r="G480" s="3" t="s">
        <v>135</v>
      </c>
      <c r="H480" s="3" t="s">
        <v>162</v>
      </c>
      <c r="I480" s="3">
        <v>5</v>
      </c>
      <c r="J480" s="11">
        <v>180</v>
      </c>
      <c r="K480" s="4">
        <v>0.05</v>
      </c>
      <c r="L480" s="3" t="s">
        <v>95</v>
      </c>
      <c r="M480" s="3">
        <v>35</v>
      </c>
      <c r="N480" s="3">
        <v>13</v>
      </c>
      <c r="O480" s="3">
        <v>5</v>
      </c>
      <c r="P480" s="11">
        <f>Clean_Data[[#This Row],[Quantity]]*Clean_Data[[#This Row],[UnitPrice]]</f>
        <v>900</v>
      </c>
      <c r="Q480" s="11">
        <f>ROUND(Clean_Data[[#This Row],[GrossSales]]*Clean_Data[[#This Row],[DiscountPct]],2)</f>
        <v>45</v>
      </c>
      <c r="R480" s="11">
        <f>IF(Clean_Data[[#This Row],[Status]]="Delivered",ROUND(Clean_Data[[#This Row],[GrossSales]]-Clean_Data[[#This Row],[DiscountAmount]],2),0)</f>
        <v>855</v>
      </c>
      <c r="S480" s="3" t="str">
        <f>IF(Clean_Data[[#This Row],[OrderHour]]&lt;6,"Night",IF(Clean_Data[[#This Row],[OrderHour]]&lt;12,"Morning",IF(Clean_Data[[#This Row],[OrderHour]]&lt;18,"Afternoon","Evening")))</f>
        <v>Afternoon</v>
      </c>
      <c r="T480" s="3" t="str">
        <f>TEXT(Clean_Data[[#This Row],[OrderDate]],"[$-409]ddd")</f>
        <v>Wed</v>
      </c>
      <c r="U480" s="3">
        <f>WEEKDAY(Clean_Data[[#This Row],[OrderDate]],2)</f>
        <v>3</v>
      </c>
      <c r="V480" s="3">
        <f>INT(Clean_Data[[#This Row],[OrderHour]]/6)+1</f>
        <v>3</v>
      </c>
      <c r="W480" s="3">
        <f>IF(Clean_Data[[#This Row],[Status]]="Delivered",1,0)</f>
        <v>1</v>
      </c>
      <c r="X480" s="3">
        <f>IF(Clean_Data[[#This Row],[Status]]="Delivered",IF(Clean_Data[[#This Row],[DeliveryMinutes]]&lt;=Dashboard!$X$5,1,0),0)</f>
        <v>0</v>
      </c>
      <c r="Y4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0" s="3">
        <f>IF(AND(Clean_Data[[#This Row],[Include]]=1,Clean_Data[[#This Row],[DeliveredFlag]]=1),1,0)</f>
        <v>1</v>
      </c>
      <c r="AA480" s="1">
        <f>IF(COUNTIF($D$2:D480,D480)=1,ROW()-1,ROWS(Clean_Data[OrderID])+1)</f>
        <v>901</v>
      </c>
      <c r="AB480" s="1">
        <f>IF(COUNTIF($F$2:F480,F480)=1,ROW()-1,ROWS(Clean_Data[OrderID])+1)</f>
        <v>901</v>
      </c>
      <c r="AC480" s="1">
        <f>IF(COUNTIF($G$2:G480,G480)=1,ROW()-1,ROWS(Clean_Data[OrderID])+1)</f>
        <v>901</v>
      </c>
      <c r="AD480" s="1">
        <f>IF(COUNTIF($H$2:H480,H480)=1,ROW()-1,ROWS(Clean_Data[OrderID])+1)</f>
        <v>901</v>
      </c>
      <c r="AE480" s="1">
        <f>IF(COUNTIF($V$2:V480,V480)=1,V480,ROWS(Clean_Data[OrderID])+1)</f>
        <v>901</v>
      </c>
      <c r="AF480" s="1">
        <f>IF(COUNTIF($U$2:U480,U480)=1,U480,ROWS(Clean_Data[OrderID])+1)</f>
        <v>901</v>
      </c>
      <c r="AG480" s="1">
        <f>IF(COUNTIF($E$2:E480,E480)=1,ROW()-1,ROWS(Clean_Data[OrderID])+1)</f>
        <v>901</v>
      </c>
    </row>
    <row r="481" spans="1:33" ht="20" customHeight="1">
      <c r="A481" s="3" t="s">
        <v>848</v>
      </c>
      <c r="B481" s="2">
        <v>46281</v>
      </c>
      <c r="C481" s="3">
        <v>12</v>
      </c>
      <c r="D481" s="3" t="s">
        <v>408</v>
      </c>
      <c r="E481" s="3" t="s">
        <v>117</v>
      </c>
      <c r="F481" s="3" t="s">
        <v>92</v>
      </c>
      <c r="G481" s="3" t="s">
        <v>122</v>
      </c>
      <c r="H481" s="3" t="s">
        <v>153</v>
      </c>
      <c r="I481" s="3">
        <v>3</v>
      </c>
      <c r="J481" s="11">
        <v>130</v>
      </c>
      <c r="K481" s="4">
        <v>0</v>
      </c>
      <c r="L481" s="3" t="s">
        <v>95</v>
      </c>
      <c r="M481" s="3">
        <v>22</v>
      </c>
      <c r="N481" s="3">
        <v>4</v>
      </c>
      <c r="O481" s="3">
        <v>5</v>
      </c>
      <c r="P481" s="11">
        <f>Clean_Data[[#This Row],[Quantity]]*Clean_Data[[#This Row],[UnitPrice]]</f>
        <v>390</v>
      </c>
      <c r="Q481" s="11">
        <f>ROUND(Clean_Data[[#This Row],[GrossSales]]*Clean_Data[[#This Row],[DiscountPct]],2)</f>
        <v>0</v>
      </c>
      <c r="R481" s="11">
        <f>IF(Clean_Data[[#This Row],[Status]]="Delivered",ROUND(Clean_Data[[#This Row],[GrossSales]]-Clean_Data[[#This Row],[DiscountAmount]],2),0)</f>
        <v>390</v>
      </c>
      <c r="S481" s="3" t="str">
        <f>IF(Clean_Data[[#This Row],[OrderHour]]&lt;6,"Night",IF(Clean_Data[[#This Row],[OrderHour]]&lt;12,"Morning",IF(Clean_Data[[#This Row],[OrderHour]]&lt;18,"Afternoon","Evening")))</f>
        <v>Afternoon</v>
      </c>
      <c r="T481" s="3" t="str">
        <f>TEXT(Clean_Data[[#This Row],[OrderDate]],"[$-409]ddd")</f>
        <v>Wed</v>
      </c>
      <c r="U481" s="3">
        <f>WEEKDAY(Clean_Data[[#This Row],[OrderDate]],2)</f>
        <v>3</v>
      </c>
      <c r="V481" s="3">
        <f>INT(Clean_Data[[#This Row],[OrderHour]]/6)+1</f>
        <v>3</v>
      </c>
      <c r="W481" s="3">
        <f>IF(Clean_Data[[#This Row],[Status]]="Delivered",1,0)</f>
        <v>1</v>
      </c>
      <c r="X481" s="3">
        <f>IF(Clean_Data[[#This Row],[Status]]="Delivered",IF(Clean_Data[[#This Row],[DeliveryMinutes]]&lt;=Dashboard!$X$5,1,0),0)</f>
        <v>1</v>
      </c>
      <c r="Y4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1" s="3">
        <f>IF(AND(Clean_Data[[#This Row],[Include]]=1,Clean_Data[[#This Row],[DeliveredFlag]]=1),1,0)</f>
        <v>1</v>
      </c>
      <c r="AA481" s="1">
        <f>IF(COUNTIF($D$2:D481,D481)=1,ROW()-1,ROWS(Clean_Data[OrderID])+1)</f>
        <v>901</v>
      </c>
      <c r="AB481" s="1">
        <f>IF(COUNTIF($F$2:F481,F481)=1,ROW()-1,ROWS(Clean_Data[OrderID])+1)</f>
        <v>901</v>
      </c>
      <c r="AC481" s="1">
        <f>IF(COUNTIF($G$2:G481,G481)=1,ROW()-1,ROWS(Clean_Data[OrderID])+1)</f>
        <v>901</v>
      </c>
      <c r="AD481" s="1">
        <f>IF(COUNTIF($H$2:H481,H481)=1,ROW()-1,ROWS(Clean_Data[OrderID])+1)</f>
        <v>901</v>
      </c>
      <c r="AE481" s="1">
        <f>IF(COUNTIF($V$2:V481,V481)=1,V481,ROWS(Clean_Data[OrderID])+1)</f>
        <v>901</v>
      </c>
      <c r="AF481" s="1">
        <f>IF(COUNTIF($U$2:U481,U481)=1,U481,ROWS(Clean_Data[OrderID])+1)</f>
        <v>901</v>
      </c>
      <c r="AG481" s="1">
        <f>IF(COUNTIF($E$2:E481,E481)=1,ROW()-1,ROWS(Clean_Data[OrderID])+1)</f>
        <v>901</v>
      </c>
    </row>
    <row r="482" spans="1:33" ht="20" customHeight="1">
      <c r="A482" s="3" t="s">
        <v>849</v>
      </c>
      <c r="B482" s="2">
        <v>46282</v>
      </c>
      <c r="C482" s="3">
        <v>8</v>
      </c>
      <c r="D482" s="3" t="s">
        <v>850</v>
      </c>
      <c r="E482" s="3" t="s">
        <v>91</v>
      </c>
      <c r="F482" s="3" t="s">
        <v>121</v>
      </c>
      <c r="G482" s="3" t="s">
        <v>99</v>
      </c>
      <c r="H482" s="3" t="s">
        <v>104</v>
      </c>
      <c r="I482" s="3">
        <v>6</v>
      </c>
      <c r="J482" s="11">
        <v>240</v>
      </c>
      <c r="K482" s="4">
        <v>0</v>
      </c>
      <c r="L482" s="3" t="s">
        <v>95</v>
      </c>
      <c r="M482" s="3">
        <v>15</v>
      </c>
      <c r="N482" s="3">
        <v>6</v>
      </c>
      <c r="O482" s="3">
        <v>4</v>
      </c>
      <c r="P482" s="11">
        <f>Clean_Data[[#This Row],[Quantity]]*Clean_Data[[#This Row],[UnitPrice]]</f>
        <v>1440</v>
      </c>
      <c r="Q482" s="11">
        <f>ROUND(Clean_Data[[#This Row],[GrossSales]]*Clean_Data[[#This Row],[DiscountPct]],2)</f>
        <v>0</v>
      </c>
      <c r="R482" s="11">
        <f>IF(Clean_Data[[#This Row],[Status]]="Delivered",ROUND(Clean_Data[[#This Row],[GrossSales]]-Clean_Data[[#This Row],[DiscountAmount]],2),0)</f>
        <v>1440</v>
      </c>
      <c r="S482" s="3" t="str">
        <f>IF(Clean_Data[[#This Row],[OrderHour]]&lt;6,"Night",IF(Clean_Data[[#This Row],[OrderHour]]&lt;12,"Morning",IF(Clean_Data[[#This Row],[OrderHour]]&lt;18,"Afternoon","Evening")))</f>
        <v>Morning</v>
      </c>
      <c r="T482" s="3" t="str">
        <f>TEXT(Clean_Data[[#This Row],[OrderDate]],"[$-409]ddd")</f>
        <v>Thu</v>
      </c>
      <c r="U482" s="3">
        <f>WEEKDAY(Clean_Data[[#This Row],[OrderDate]],2)</f>
        <v>4</v>
      </c>
      <c r="V482" s="3">
        <f>INT(Clean_Data[[#This Row],[OrderHour]]/6)+1</f>
        <v>2</v>
      </c>
      <c r="W482" s="3">
        <f>IF(Clean_Data[[#This Row],[Status]]="Delivered",1,0)</f>
        <v>1</v>
      </c>
      <c r="X482" s="3">
        <f>IF(Clean_Data[[#This Row],[Status]]="Delivered",IF(Clean_Data[[#This Row],[DeliveryMinutes]]&lt;=Dashboard!$X$5,1,0),0)</f>
        <v>1</v>
      </c>
      <c r="Y4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2" s="3">
        <f>IF(AND(Clean_Data[[#This Row],[Include]]=1,Clean_Data[[#This Row],[DeliveredFlag]]=1),1,0)</f>
        <v>1</v>
      </c>
      <c r="AA482" s="1">
        <f>IF(COUNTIF($D$2:D482,D482)=1,ROW()-1,ROWS(Clean_Data[OrderID])+1)</f>
        <v>481</v>
      </c>
      <c r="AB482" s="1">
        <f>IF(COUNTIF($F$2:F482,F482)=1,ROW()-1,ROWS(Clean_Data[OrderID])+1)</f>
        <v>901</v>
      </c>
      <c r="AC482" s="1">
        <f>IF(COUNTIF($G$2:G482,G482)=1,ROW()-1,ROWS(Clean_Data[OrderID])+1)</f>
        <v>901</v>
      </c>
      <c r="AD482" s="1">
        <f>IF(COUNTIF($H$2:H482,H482)=1,ROW()-1,ROWS(Clean_Data[OrderID])+1)</f>
        <v>901</v>
      </c>
      <c r="AE482" s="1">
        <f>IF(COUNTIF($V$2:V482,V482)=1,V482,ROWS(Clean_Data[OrderID])+1)</f>
        <v>901</v>
      </c>
      <c r="AF482" s="1">
        <f>IF(COUNTIF($U$2:U482,U482)=1,U482,ROWS(Clean_Data[OrderID])+1)</f>
        <v>901</v>
      </c>
      <c r="AG482" s="1">
        <f>IF(COUNTIF($E$2:E482,E482)=1,ROW()-1,ROWS(Clean_Data[OrderID])+1)</f>
        <v>901</v>
      </c>
    </row>
    <row r="483" spans="1:33" ht="20" customHeight="1">
      <c r="A483" s="3" t="s">
        <v>851</v>
      </c>
      <c r="B483" s="2">
        <v>46282</v>
      </c>
      <c r="C483" s="3">
        <v>19</v>
      </c>
      <c r="D483" s="3" t="s">
        <v>226</v>
      </c>
      <c r="E483" s="3" t="s">
        <v>91</v>
      </c>
      <c r="F483" s="3" t="s">
        <v>98</v>
      </c>
      <c r="G483" s="3" t="s">
        <v>93</v>
      </c>
      <c r="H483" s="3" t="s">
        <v>118</v>
      </c>
      <c r="I483" s="3">
        <v>5</v>
      </c>
      <c r="J483" s="11">
        <v>45</v>
      </c>
      <c r="K483" s="4">
        <v>0.05</v>
      </c>
      <c r="L483" s="3" t="s">
        <v>95</v>
      </c>
      <c r="M483" s="3">
        <v>31</v>
      </c>
      <c r="N483" s="3">
        <v>5</v>
      </c>
      <c r="O483" s="3">
        <v>5</v>
      </c>
      <c r="P483" s="11">
        <f>Clean_Data[[#This Row],[Quantity]]*Clean_Data[[#This Row],[UnitPrice]]</f>
        <v>225</v>
      </c>
      <c r="Q483" s="11">
        <f>ROUND(Clean_Data[[#This Row],[GrossSales]]*Clean_Data[[#This Row],[DiscountPct]],2)</f>
        <v>11.25</v>
      </c>
      <c r="R483" s="11">
        <f>IF(Clean_Data[[#This Row],[Status]]="Delivered",ROUND(Clean_Data[[#This Row],[GrossSales]]-Clean_Data[[#This Row],[DiscountAmount]],2),0)</f>
        <v>213.75</v>
      </c>
      <c r="S483" s="3" t="str">
        <f>IF(Clean_Data[[#This Row],[OrderHour]]&lt;6,"Night",IF(Clean_Data[[#This Row],[OrderHour]]&lt;12,"Morning",IF(Clean_Data[[#This Row],[OrderHour]]&lt;18,"Afternoon","Evening")))</f>
        <v>Evening</v>
      </c>
      <c r="T483" s="3" t="str">
        <f>TEXT(Clean_Data[[#This Row],[OrderDate]],"[$-409]ddd")</f>
        <v>Thu</v>
      </c>
      <c r="U483" s="3">
        <f>WEEKDAY(Clean_Data[[#This Row],[OrderDate]],2)</f>
        <v>4</v>
      </c>
      <c r="V483" s="3">
        <f>INT(Clean_Data[[#This Row],[OrderHour]]/6)+1</f>
        <v>4</v>
      </c>
      <c r="W483" s="3">
        <f>IF(Clean_Data[[#This Row],[Status]]="Delivered",1,0)</f>
        <v>1</v>
      </c>
      <c r="X483" s="3">
        <f>IF(Clean_Data[[#This Row],[Status]]="Delivered",IF(Clean_Data[[#This Row],[DeliveryMinutes]]&lt;=Dashboard!$X$5,1,0),0)</f>
        <v>0</v>
      </c>
      <c r="Y4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3" s="3">
        <f>IF(AND(Clean_Data[[#This Row],[Include]]=1,Clean_Data[[#This Row],[DeliveredFlag]]=1),1,0)</f>
        <v>1</v>
      </c>
      <c r="AA483" s="1">
        <f>IF(COUNTIF($D$2:D483,D483)=1,ROW()-1,ROWS(Clean_Data[OrderID])+1)</f>
        <v>901</v>
      </c>
      <c r="AB483" s="1">
        <f>IF(COUNTIF($F$2:F483,F483)=1,ROW()-1,ROWS(Clean_Data[OrderID])+1)</f>
        <v>901</v>
      </c>
      <c r="AC483" s="1">
        <f>IF(COUNTIF($G$2:G483,G483)=1,ROW()-1,ROWS(Clean_Data[OrderID])+1)</f>
        <v>901</v>
      </c>
      <c r="AD483" s="1">
        <f>IF(COUNTIF($H$2:H483,H483)=1,ROW()-1,ROWS(Clean_Data[OrderID])+1)</f>
        <v>901</v>
      </c>
      <c r="AE483" s="1">
        <f>IF(COUNTIF($V$2:V483,V483)=1,V483,ROWS(Clean_Data[OrderID])+1)</f>
        <v>901</v>
      </c>
      <c r="AF483" s="1">
        <f>IF(COUNTIF($U$2:U483,U483)=1,U483,ROWS(Clean_Data[OrderID])+1)</f>
        <v>901</v>
      </c>
      <c r="AG483" s="1">
        <f>IF(COUNTIF($E$2:E483,E483)=1,ROW()-1,ROWS(Clean_Data[OrderID])+1)</f>
        <v>901</v>
      </c>
    </row>
    <row r="484" spans="1:33" ht="20" customHeight="1">
      <c r="A484" s="3" t="s">
        <v>852</v>
      </c>
      <c r="B484" s="2">
        <v>46282</v>
      </c>
      <c r="C484" s="3">
        <v>13</v>
      </c>
      <c r="D484" s="3" t="s">
        <v>444</v>
      </c>
      <c r="E484" s="3" t="s">
        <v>91</v>
      </c>
      <c r="F484" s="3" t="s">
        <v>98</v>
      </c>
      <c r="G484" s="3" t="s">
        <v>110</v>
      </c>
      <c r="H484" s="3" t="s">
        <v>206</v>
      </c>
      <c r="I484" s="3">
        <v>2</v>
      </c>
      <c r="J484" s="11">
        <v>220</v>
      </c>
      <c r="K484" s="4">
        <v>0.05</v>
      </c>
      <c r="L484" s="3" t="s">
        <v>95</v>
      </c>
      <c r="M484" s="3">
        <v>34</v>
      </c>
      <c r="N484" s="3">
        <v>9</v>
      </c>
      <c r="O484" s="3">
        <v>4</v>
      </c>
      <c r="P484" s="11">
        <f>Clean_Data[[#This Row],[Quantity]]*Clean_Data[[#This Row],[UnitPrice]]</f>
        <v>440</v>
      </c>
      <c r="Q484" s="11">
        <f>ROUND(Clean_Data[[#This Row],[GrossSales]]*Clean_Data[[#This Row],[DiscountPct]],2)</f>
        <v>22</v>
      </c>
      <c r="R484" s="11">
        <f>IF(Clean_Data[[#This Row],[Status]]="Delivered",ROUND(Clean_Data[[#This Row],[GrossSales]]-Clean_Data[[#This Row],[DiscountAmount]],2),0)</f>
        <v>418</v>
      </c>
      <c r="S484" s="3" t="str">
        <f>IF(Clean_Data[[#This Row],[OrderHour]]&lt;6,"Night",IF(Clean_Data[[#This Row],[OrderHour]]&lt;12,"Morning",IF(Clean_Data[[#This Row],[OrderHour]]&lt;18,"Afternoon","Evening")))</f>
        <v>Afternoon</v>
      </c>
      <c r="T484" s="3" t="str">
        <f>TEXT(Clean_Data[[#This Row],[OrderDate]],"[$-409]ddd")</f>
        <v>Thu</v>
      </c>
      <c r="U484" s="3">
        <f>WEEKDAY(Clean_Data[[#This Row],[OrderDate]],2)</f>
        <v>4</v>
      </c>
      <c r="V484" s="3">
        <f>INT(Clean_Data[[#This Row],[OrderHour]]/6)+1</f>
        <v>3</v>
      </c>
      <c r="W484" s="3">
        <f>IF(Clean_Data[[#This Row],[Status]]="Delivered",1,0)</f>
        <v>1</v>
      </c>
      <c r="X484" s="3">
        <f>IF(Clean_Data[[#This Row],[Status]]="Delivered",IF(Clean_Data[[#This Row],[DeliveryMinutes]]&lt;=Dashboard!$X$5,1,0),0)</f>
        <v>0</v>
      </c>
      <c r="Y4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4" s="3">
        <f>IF(AND(Clean_Data[[#This Row],[Include]]=1,Clean_Data[[#This Row],[DeliveredFlag]]=1),1,0)</f>
        <v>1</v>
      </c>
      <c r="AA484" s="1">
        <f>IF(COUNTIF($D$2:D484,D484)=1,ROW()-1,ROWS(Clean_Data[OrderID])+1)</f>
        <v>901</v>
      </c>
      <c r="AB484" s="1">
        <f>IF(COUNTIF($F$2:F484,F484)=1,ROW()-1,ROWS(Clean_Data[OrderID])+1)</f>
        <v>901</v>
      </c>
      <c r="AC484" s="1">
        <f>IF(COUNTIF($G$2:G484,G484)=1,ROW()-1,ROWS(Clean_Data[OrderID])+1)</f>
        <v>901</v>
      </c>
      <c r="AD484" s="1">
        <f>IF(COUNTIF($H$2:H484,H484)=1,ROW()-1,ROWS(Clean_Data[OrderID])+1)</f>
        <v>901</v>
      </c>
      <c r="AE484" s="1">
        <f>IF(COUNTIF($V$2:V484,V484)=1,V484,ROWS(Clean_Data[OrderID])+1)</f>
        <v>901</v>
      </c>
      <c r="AF484" s="1">
        <f>IF(COUNTIF($U$2:U484,U484)=1,U484,ROWS(Clean_Data[OrderID])+1)</f>
        <v>901</v>
      </c>
      <c r="AG484" s="1">
        <f>IF(COUNTIF($E$2:E484,E484)=1,ROW()-1,ROWS(Clean_Data[OrderID])+1)</f>
        <v>901</v>
      </c>
    </row>
    <row r="485" spans="1:33" ht="20" customHeight="1">
      <c r="A485" s="3" t="s">
        <v>853</v>
      </c>
      <c r="B485" s="2">
        <v>46282</v>
      </c>
      <c r="C485" s="3">
        <v>9</v>
      </c>
      <c r="D485" s="3" t="s">
        <v>652</v>
      </c>
      <c r="E485" s="3" t="s">
        <v>91</v>
      </c>
      <c r="F485" s="3" t="s">
        <v>109</v>
      </c>
      <c r="G485" s="3" t="s">
        <v>99</v>
      </c>
      <c r="H485" s="3" t="s">
        <v>104</v>
      </c>
      <c r="I485" s="3">
        <v>3</v>
      </c>
      <c r="J485" s="11">
        <v>240</v>
      </c>
      <c r="K485" s="4">
        <v>0.1</v>
      </c>
      <c r="L485" s="3" t="s">
        <v>95</v>
      </c>
      <c r="M485" s="3">
        <v>13</v>
      </c>
      <c r="N485" s="3">
        <v>8</v>
      </c>
      <c r="O485" s="3">
        <v>4</v>
      </c>
      <c r="P485" s="11">
        <f>Clean_Data[[#This Row],[Quantity]]*Clean_Data[[#This Row],[UnitPrice]]</f>
        <v>720</v>
      </c>
      <c r="Q485" s="11">
        <f>ROUND(Clean_Data[[#This Row],[GrossSales]]*Clean_Data[[#This Row],[DiscountPct]],2)</f>
        <v>72</v>
      </c>
      <c r="R485" s="11">
        <f>IF(Clean_Data[[#This Row],[Status]]="Delivered",ROUND(Clean_Data[[#This Row],[GrossSales]]-Clean_Data[[#This Row],[DiscountAmount]],2),0)</f>
        <v>648</v>
      </c>
      <c r="S485" s="3" t="str">
        <f>IF(Clean_Data[[#This Row],[OrderHour]]&lt;6,"Night",IF(Clean_Data[[#This Row],[OrderHour]]&lt;12,"Morning",IF(Clean_Data[[#This Row],[OrderHour]]&lt;18,"Afternoon","Evening")))</f>
        <v>Morning</v>
      </c>
      <c r="T485" s="3" t="str">
        <f>TEXT(Clean_Data[[#This Row],[OrderDate]],"[$-409]ddd")</f>
        <v>Thu</v>
      </c>
      <c r="U485" s="3">
        <f>WEEKDAY(Clean_Data[[#This Row],[OrderDate]],2)</f>
        <v>4</v>
      </c>
      <c r="V485" s="3">
        <f>INT(Clean_Data[[#This Row],[OrderHour]]/6)+1</f>
        <v>2</v>
      </c>
      <c r="W485" s="3">
        <f>IF(Clean_Data[[#This Row],[Status]]="Delivered",1,0)</f>
        <v>1</v>
      </c>
      <c r="X485" s="3">
        <f>IF(Clean_Data[[#This Row],[Status]]="Delivered",IF(Clean_Data[[#This Row],[DeliveryMinutes]]&lt;=Dashboard!$X$5,1,0),0)</f>
        <v>1</v>
      </c>
      <c r="Y4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5" s="3">
        <f>IF(AND(Clean_Data[[#This Row],[Include]]=1,Clean_Data[[#This Row],[DeliveredFlag]]=1),1,0)</f>
        <v>1</v>
      </c>
      <c r="AA485" s="1">
        <f>IF(COUNTIF($D$2:D485,D485)=1,ROW()-1,ROWS(Clean_Data[OrderID])+1)</f>
        <v>901</v>
      </c>
      <c r="AB485" s="1">
        <f>IF(COUNTIF($F$2:F485,F485)=1,ROW()-1,ROWS(Clean_Data[OrderID])+1)</f>
        <v>901</v>
      </c>
      <c r="AC485" s="1">
        <f>IF(COUNTIF($G$2:G485,G485)=1,ROW()-1,ROWS(Clean_Data[OrderID])+1)</f>
        <v>901</v>
      </c>
      <c r="AD485" s="1">
        <f>IF(COUNTIF($H$2:H485,H485)=1,ROW()-1,ROWS(Clean_Data[OrderID])+1)</f>
        <v>901</v>
      </c>
      <c r="AE485" s="1">
        <f>IF(COUNTIF($V$2:V485,V485)=1,V485,ROWS(Clean_Data[OrderID])+1)</f>
        <v>901</v>
      </c>
      <c r="AF485" s="1">
        <f>IF(COUNTIF($U$2:U485,U485)=1,U485,ROWS(Clean_Data[OrderID])+1)</f>
        <v>901</v>
      </c>
      <c r="AG485" s="1">
        <f>IF(COUNTIF($E$2:E485,E485)=1,ROW()-1,ROWS(Clean_Data[OrderID])+1)</f>
        <v>901</v>
      </c>
    </row>
    <row r="486" spans="1:33" ht="20" customHeight="1">
      <c r="A486" s="3" t="s">
        <v>854</v>
      </c>
      <c r="B486" s="2">
        <v>46282</v>
      </c>
      <c r="C486" s="3">
        <v>17</v>
      </c>
      <c r="D486" s="3" t="s">
        <v>644</v>
      </c>
      <c r="E486" s="3" t="s">
        <v>91</v>
      </c>
      <c r="F486" s="3" t="s">
        <v>92</v>
      </c>
      <c r="G486" s="3" t="s">
        <v>135</v>
      </c>
      <c r="H486" s="3" t="s">
        <v>162</v>
      </c>
      <c r="I486" s="3">
        <v>6</v>
      </c>
      <c r="J486" s="11">
        <v>180</v>
      </c>
      <c r="K486" s="4">
        <v>0.15</v>
      </c>
      <c r="L486" s="3" t="s">
        <v>95</v>
      </c>
      <c r="M486" s="3">
        <v>30</v>
      </c>
      <c r="N486" s="3">
        <v>8</v>
      </c>
      <c r="O486" s="3">
        <v>4</v>
      </c>
      <c r="P486" s="11">
        <f>Clean_Data[[#This Row],[Quantity]]*Clean_Data[[#This Row],[UnitPrice]]</f>
        <v>1080</v>
      </c>
      <c r="Q486" s="11">
        <f>ROUND(Clean_Data[[#This Row],[GrossSales]]*Clean_Data[[#This Row],[DiscountPct]],2)</f>
        <v>162</v>
      </c>
      <c r="R486" s="11">
        <f>IF(Clean_Data[[#This Row],[Status]]="Delivered",ROUND(Clean_Data[[#This Row],[GrossSales]]-Clean_Data[[#This Row],[DiscountAmount]],2),0)</f>
        <v>918</v>
      </c>
      <c r="S486" s="3" t="str">
        <f>IF(Clean_Data[[#This Row],[OrderHour]]&lt;6,"Night",IF(Clean_Data[[#This Row],[OrderHour]]&lt;12,"Morning",IF(Clean_Data[[#This Row],[OrderHour]]&lt;18,"Afternoon","Evening")))</f>
        <v>Afternoon</v>
      </c>
      <c r="T486" s="3" t="str">
        <f>TEXT(Clean_Data[[#This Row],[OrderDate]],"[$-409]ddd")</f>
        <v>Thu</v>
      </c>
      <c r="U486" s="3">
        <f>WEEKDAY(Clean_Data[[#This Row],[OrderDate]],2)</f>
        <v>4</v>
      </c>
      <c r="V486" s="3">
        <f>INT(Clean_Data[[#This Row],[OrderHour]]/6)+1</f>
        <v>3</v>
      </c>
      <c r="W486" s="3">
        <f>IF(Clean_Data[[#This Row],[Status]]="Delivered",1,0)</f>
        <v>1</v>
      </c>
      <c r="X486" s="3">
        <f>IF(Clean_Data[[#This Row],[Status]]="Delivered",IF(Clean_Data[[#This Row],[DeliveryMinutes]]&lt;=Dashboard!$X$5,1,0),0)</f>
        <v>1</v>
      </c>
      <c r="Y4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6" s="3">
        <f>IF(AND(Clean_Data[[#This Row],[Include]]=1,Clean_Data[[#This Row],[DeliveredFlag]]=1),1,0)</f>
        <v>1</v>
      </c>
      <c r="AA486" s="1">
        <f>IF(COUNTIF($D$2:D486,D486)=1,ROW()-1,ROWS(Clean_Data[OrderID])+1)</f>
        <v>901</v>
      </c>
      <c r="AB486" s="1">
        <f>IF(COUNTIF($F$2:F486,F486)=1,ROW()-1,ROWS(Clean_Data[OrderID])+1)</f>
        <v>901</v>
      </c>
      <c r="AC486" s="1">
        <f>IF(COUNTIF($G$2:G486,G486)=1,ROW()-1,ROWS(Clean_Data[OrderID])+1)</f>
        <v>901</v>
      </c>
      <c r="AD486" s="1">
        <f>IF(COUNTIF($H$2:H486,H486)=1,ROW()-1,ROWS(Clean_Data[OrderID])+1)</f>
        <v>901</v>
      </c>
      <c r="AE486" s="1">
        <f>IF(COUNTIF($V$2:V486,V486)=1,V486,ROWS(Clean_Data[OrderID])+1)</f>
        <v>901</v>
      </c>
      <c r="AF486" s="1">
        <f>IF(COUNTIF($U$2:U486,U486)=1,U486,ROWS(Clean_Data[OrderID])+1)</f>
        <v>901</v>
      </c>
      <c r="AG486" s="1">
        <f>IF(COUNTIF($E$2:E486,E486)=1,ROW()-1,ROWS(Clean_Data[OrderID])+1)</f>
        <v>901</v>
      </c>
    </row>
    <row r="487" spans="1:33" ht="20" customHeight="1">
      <c r="A487" s="3" t="s">
        <v>855</v>
      </c>
      <c r="B487" s="2">
        <v>46282</v>
      </c>
      <c r="C487" s="3">
        <v>7</v>
      </c>
      <c r="D487" s="3" t="s">
        <v>285</v>
      </c>
      <c r="E487" s="3" t="s">
        <v>91</v>
      </c>
      <c r="F487" s="3" t="s">
        <v>139</v>
      </c>
      <c r="G487" s="3" t="s">
        <v>93</v>
      </c>
      <c r="H487" s="3" t="s">
        <v>94</v>
      </c>
      <c r="I487" s="3">
        <v>3</v>
      </c>
      <c r="J487" s="11">
        <v>95</v>
      </c>
      <c r="K487" s="4">
        <v>0</v>
      </c>
      <c r="L487" s="3" t="s">
        <v>101</v>
      </c>
      <c r="M487" s="3"/>
      <c r="N487" s="3"/>
      <c r="O487" s="3"/>
      <c r="P487" s="11">
        <f>Clean_Data[[#This Row],[Quantity]]*Clean_Data[[#This Row],[UnitPrice]]</f>
        <v>285</v>
      </c>
      <c r="Q487" s="11">
        <f>ROUND(Clean_Data[[#This Row],[GrossSales]]*Clean_Data[[#This Row],[DiscountPct]],2)</f>
        <v>0</v>
      </c>
      <c r="R487" s="11">
        <f>IF(Clean_Data[[#This Row],[Status]]="Delivered",ROUND(Clean_Data[[#This Row],[GrossSales]]-Clean_Data[[#This Row],[DiscountAmount]],2),0)</f>
        <v>0</v>
      </c>
      <c r="S487" s="3" t="str">
        <f>IF(Clean_Data[[#This Row],[OrderHour]]&lt;6,"Night",IF(Clean_Data[[#This Row],[OrderHour]]&lt;12,"Morning",IF(Clean_Data[[#This Row],[OrderHour]]&lt;18,"Afternoon","Evening")))</f>
        <v>Morning</v>
      </c>
      <c r="T487" s="3" t="str">
        <f>TEXT(Clean_Data[[#This Row],[OrderDate]],"[$-409]ddd")</f>
        <v>Thu</v>
      </c>
      <c r="U487" s="3">
        <f>WEEKDAY(Clean_Data[[#This Row],[OrderDate]],2)</f>
        <v>4</v>
      </c>
      <c r="V487" s="3">
        <f>INT(Clean_Data[[#This Row],[OrderHour]]/6)+1</f>
        <v>2</v>
      </c>
      <c r="W487" s="3">
        <f>IF(Clean_Data[[#This Row],[Status]]="Delivered",1,0)</f>
        <v>0</v>
      </c>
      <c r="X487" s="3">
        <f>IF(Clean_Data[[#This Row],[Status]]="Delivered",IF(Clean_Data[[#This Row],[DeliveryMinutes]]&lt;=Dashboard!$X$5,1,0),0)</f>
        <v>0</v>
      </c>
      <c r="Y4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7" s="3">
        <f>IF(AND(Clean_Data[[#This Row],[Include]]=1,Clean_Data[[#This Row],[DeliveredFlag]]=1),1,0)</f>
        <v>0</v>
      </c>
      <c r="AA487" s="1">
        <f>IF(COUNTIF($D$2:D487,D487)=1,ROW()-1,ROWS(Clean_Data[OrderID])+1)</f>
        <v>901</v>
      </c>
      <c r="AB487" s="1">
        <f>IF(COUNTIF($F$2:F487,F487)=1,ROW()-1,ROWS(Clean_Data[OrderID])+1)</f>
        <v>901</v>
      </c>
      <c r="AC487" s="1">
        <f>IF(COUNTIF($G$2:G487,G487)=1,ROW()-1,ROWS(Clean_Data[OrderID])+1)</f>
        <v>901</v>
      </c>
      <c r="AD487" s="1">
        <f>IF(COUNTIF($H$2:H487,H487)=1,ROW()-1,ROWS(Clean_Data[OrderID])+1)</f>
        <v>901</v>
      </c>
      <c r="AE487" s="1">
        <f>IF(COUNTIF($V$2:V487,V487)=1,V487,ROWS(Clean_Data[OrderID])+1)</f>
        <v>901</v>
      </c>
      <c r="AF487" s="1">
        <f>IF(COUNTIF($U$2:U487,U487)=1,U487,ROWS(Clean_Data[OrderID])+1)</f>
        <v>901</v>
      </c>
      <c r="AG487" s="1">
        <f>IF(COUNTIF($E$2:E487,E487)=1,ROW()-1,ROWS(Clean_Data[OrderID])+1)</f>
        <v>901</v>
      </c>
    </row>
    <row r="488" spans="1:33" ht="20" customHeight="1">
      <c r="A488" s="3" t="s">
        <v>856</v>
      </c>
      <c r="B488" s="2">
        <v>46282</v>
      </c>
      <c r="C488" s="3">
        <v>12</v>
      </c>
      <c r="D488" s="3" t="s">
        <v>492</v>
      </c>
      <c r="E488" s="3" t="s">
        <v>91</v>
      </c>
      <c r="F488" s="3" t="s">
        <v>109</v>
      </c>
      <c r="G488" s="3" t="s">
        <v>110</v>
      </c>
      <c r="H488" s="3" t="s">
        <v>111</v>
      </c>
      <c r="I488" s="3">
        <v>2</v>
      </c>
      <c r="J488" s="11">
        <v>115</v>
      </c>
      <c r="K488" s="4">
        <v>0</v>
      </c>
      <c r="L488" s="3" t="s">
        <v>95</v>
      </c>
      <c r="M488" s="3">
        <v>34</v>
      </c>
      <c r="N488" s="3">
        <v>8</v>
      </c>
      <c r="O488" s="3">
        <v>5</v>
      </c>
      <c r="P488" s="11">
        <f>Clean_Data[[#This Row],[Quantity]]*Clean_Data[[#This Row],[UnitPrice]]</f>
        <v>230</v>
      </c>
      <c r="Q488" s="11">
        <f>ROUND(Clean_Data[[#This Row],[GrossSales]]*Clean_Data[[#This Row],[DiscountPct]],2)</f>
        <v>0</v>
      </c>
      <c r="R488" s="11">
        <f>IF(Clean_Data[[#This Row],[Status]]="Delivered",ROUND(Clean_Data[[#This Row],[GrossSales]]-Clean_Data[[#This Row],[DiscountAmount]],2),0)</f>
        <v>230</v>
      </c>
      <c r="S488" s="3" t="str">
        <f>IF(Clean_Data[[#This Row],[OrderHour]]&lt;6,"Night",IF(Clean_Data[[#This Row],[OrderHour]]&lt;12,"Morning",IF(Clean_Data[[#This Row],[OrderHour]]&lt;18,"Afternoon","Evening")))</f>
        <v>Afternoon</v>
      </c>
      <c r="T488" s="3" t="str">
        <f>TEXT(Clean_Data[[#This Row],[OrderDate]],"[$-409]ddd")</f>
        <v>Thu</v>
      </c>
      <c r="U488" s="3">
        <f>WEEKDAY(Clean_Data[[#This Row],[OrderDate]],2)</f>
        <v>4</v>
      </c>
      <c r="V488" s="3">
        <f>INT(Clean_Data[[#This Row],[OrderHour]]/6)+1</f>
        <v>3</v>
      </c>
      <c r="W488" s="3">
        <f>IF(Clean_Data[[#This Row],[Status]]="Delivered",1,0)</f>
        <v>1</v>
      </c>
      <c r="X488" s="3">
        <f>IF(Clean_Data[[#This Row],[Status]]="Delivered",IF(Clean_Data[[#This Row],[DeliveryMinutes]]&lt;=Dashboard!$X$5,1,0),0)</f>
        <v>0</v>
      </c>
      <c r="Y4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8" s="3">
        <f>IF(AND(Clean_Data[[#This Row],[Include]]=1,Clean_Data[[#This Row],[DeliveredFlag]]=1),1,0)</f>
        <v>1</v>
      </c>
      <c r="AA488" s="1">
        <f>IF(COUNTIF($D$2:D488,D488)=1,ROW()-1,ROWS(Clean_Data[OrderID])+1)</f>
        <v>901</v>
      </c>
      <c r="AB488" s="1">
        <f>IF(COUNTIF($F$2:F488,F488)=1,ROW()-1,ROWS(Clean_Data[OrderID])+1)</f>
        <v>901</v>
      </c>
      <c r="AC488" s="1">
        <f>IF(COUNTIF($G$2:G488,G488)=1,ROW()-1,ROWS(Clean_Data[OrderID])+1)</f>
        <v>901</v>
      </c>
      <c r="AD488" s="1">
        <f>IF(COUNTIF($H$2:H488,H488)=1,ROW()-1,ROWS(Clean_Data[OrderID])+1)</f>
        <v>901</v>
      </c>
      <c r="AE488" s="1">
        <f>IF(COUNTIF($V$2:V488,V488)=1,V488,ROWS(Clean_Data[OrderID])+1)</f>
        <v>901</v>
      </c>
      <c r="AF488" s="1">
        <f>IF(COUNTIF($U$2:U488,U488)=1,U488,ROWS(Clean_Data[OrderID])+1)</f>
        <v>901</v>
      </c>
      <c r="AG488" s="1">
        <f>IF(COUNTIF($E$2:E488,E488)=1,ROW()-1,ROWS(Clean_Data[OrderID])+1)</f>
        <v>901</v>
      </c>
    </row>
    <row r="489" spans="1:33" ht="20" customHeight="1">
      <c r="A489" s="3" t="s">
        <v>857</v>
      </c>
      <c r="B489" s="2">
        <v>46282</v>
      </c>
      <c r="C489" s="3">
        <v>11</v>
      </c>
      <c r="D489" s="3" t="s">
        <v>777</v>
      </c>
      <c r="E489" s="3" t="s">
        <v>91</v>
      </c>
      <c r="F489" s="3" t="s">
        <v>92</v>
      </c>
      <c r="G489" s="3" t="s">
        <v>135</v>
      </c>
      <c r="H489" s="3" t="s">
        <v>217</v>
      </c>
      <c r="I489" s="3">
        <v>4</v>
      </c>
      <c r="J489" s="11">
        <v>65</v>
      </c>
      <c r="K489" s="4">
        <v>0.05</v>
      </c>
      <c r="L489" s="3" t="s">
        <v>95</v>
      </c>
      <c r="M489" s="3">
        <v>17</v>
      </c>
      <c r="N489" s="3">
        <v>8</v>
      </c>
      <c r="O489" s="3">
        <v>4</v>
      </c>
      <c r="P489" s="11">
        <f>Clean_Data[[#This Row],[Quantity]]*Clean_Data[[#This Row],[UnitPrice]]</f>
        <v>260</v>
      </c>
      <c r="Q489" s="11">
        <f>ROUND(Clean_Data[[#This Row],[GrossSales]]*Clean_Data[[#This Row],[DiscountPct]],2)</f>
        <v>13</v>
      </c>
      <c r="R489" s="11">
        <f>IF(Clean_Data[[#This Row],[Status]]="Delivered",ROUND(Clean_Data[[#This Row],[GrossSales]]-Clean_Data[[#This Row],[DiscountAmount]],2),0)</f>
        <v>247</v>
      </c>
      <c r="S489" s="3" t="str">
        <f>IF(Clean_Data[[#This Row],[OrderHour]]&lt;6,"Night",IF(Clean_Data[[#This Row],[OrderHour]]&lt;12,"Morning",IF(Clean_Data[[#This Row],[OrderHour]]&lt;18,"Afternoon","Evening")))</f>
        <v>Morning</v>
      </c>
      <c r="T489" s="3" t="str">
        <f>TEXT(Clean_Data[[#This Row],[OrderDate]],"[$-409]ddd")</f>
        <v>Thu</v>
      </c>
      <c r="U489" s="3">
        <f>WEEKDAY(Clean_Data[[#This Row],[OrderDate]],2)</f>
        <v>4</v>
      </c>
      <c r="V489" s="3">
        <f>INT(Clean_Data[[#This Row],[OrderHour]]/6)+1</f>
        <v>2</v>
      </c>
      <c r="W489" s="3">
        <f>IF(Clean_Data[[#This Row],[Status]]="Delivered",1,0)</f>
        <v>1</v>
      </c>
      <c r="X489" s="3">
        <f>IF(Clean_Data[[#This Row],[Status]]="Delivered",IF(Clean_Data[[#This Row],[DeliveryMinutes]]&lt;=Dashboard!$X$5,1,0),0)</f>
        <v>1</v>
      </c>
      <c r="Y4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89" s="3">
        <f>IF(AND(Clean_Data[[#This Row],[Include]]=1,Clean_Data[[#This Row],[DeliveredFlag]]=1),1,0)</f>
        <v>1</v>
      </c>
      <c r="AA489" s="1">
        <f>IF(COUNTIF($D$2:D489,D489)=1,ROW()-1,ROWS(Clean_Data[OrderID])+1)</f>
        <v>901</v>
      </c>
      <c r="AB489" s="1">
        <f>IF(COUNTIF($F$2:F489,F489)=1,ROW()-1,ROWS(Clean_Data[OrderID])+1)</f>
        <v>901</v>
      </c>
      <c r="AC489" s="1">
        <f>IF(COUNTIF($G$2:G489,G489)=1,ROW()-1,ROWS(Clean_Data[OrderID])+1)</f>
        <v>901</v>
      </c>
      <c r="AD489" s="1">
        <f>IF(COUNTIF($H$2:H489,H489)=1,ROW()-1,ROWS(Clean_Data[OrderID])+1)</f>
        <v>901</v>
      </c>
      <c r="AE489" s="1">
        <f>IF(COUNTIF($V$2:V489,V489)=1,V489,ROWS(Clean_Data[OrderID])+1)</f>
        <v>901</v>
      </c>
      <c r="AF489" s="1">
        <f>IF(COUNTIF($U$2:U489,U489)=1,U489,ROWS(Clean_Data[OrderID])+1)</f>
        <v>901</v>
      </c>
      <c r="AG489" s="1">
        <f>IF(COUNTIF($E$2:E489,E489)=1,ROW()-1,ROWS(Clean_Data[OrderID])+1)</f>
        <v>901</v>
      </c>
    </row>
    <row r="490" spans="1:33" ht="20" customHeight="1">
      <c r="A490" s="3" t="s">
        <v>858</v>
      </c>
      <c r="B490" s="2">
        <v>46282</v>
      </c>
      <c r="C490" s="3">
        <v>15</v>
      </c>
      <c r="D490" s="3" t="s">
        <v>369</v>
      </c>
      <c r="E490" s="3" t="s">
        <v>91</v>
      </c>
      <c r="F490" s="3" t="s">
        <v>139</v>
      </c>
      <c r="G490" s="3" t="s">
        <v>110</v>
      </c>
      <c r="H490" s="3" t="s">
        <v>114</v>
      </c>
      <c r="I490" s="3">
        <v>6</v>
      </c>
      <c r="J490" s="11">
        <v>145</v>
      </c>
      <c r="K490" s="4">
        <v>0</v>
      </c>
      <c r="L490" s="3" t="s">
        <v>95</v>
      </c>
      <c r="M490" s="3">
        <v>18</v>
      </c>
      <c r="N490" s="3">
        <v>5</v>
      </c>
      <c r="O490" s="3">
        <v>5</v>
      </c>
      <c r="P490" s="11">
        <f>Clean_Data[[#This Row],[Quantity]]*Clean_Data[[#This Row],[UnitPrice]]</f>
        <v>870</v>
      </c>
      <c r="Q490" s="11">
        <f>ROUND(Clean_Data[[#This Row],[GrossSales]]*Clean_Data[[#This Row],[DiscountPct]],2)</f>
        <v>0</v>
      </c>
      <c r="R490" s="11">
        <f>IF(Clean_Data[[#This Row],[Status]]="Delivered",ROUND(Clean_Data[[#This Row],[GrossSales]]-Clean_Data[[#This Row],[DiscountAmount]],2),0)</f>
        <v>870</v>
      </c>
      <c r="S490" s="3" t="str">
        <f>IF(Clean_Data[[#This Row],[OrderHour]]&lt;6,"Night",IF(Clean_Data[[#This Row],[OrderHour]]&lt;12,"Morning",IF(Clean_Data[[#This Row],[OrderHour]]&lt;18,"Afternoon","Evening")))</f>
        <v>Afternoon</v>
      </c>
      <c r="T490" s="3" t="str">
        <f>TEXT(Clean_Data[[#This Row],[OrderDate]],"[$-409]ddd")</f>
        <v>Thu</v>
      </c>
      <c r="U490" s="3">
        <f>WEEKDAY(Clean_Data[[#This Row],[OrderDate]],2)</f>
        <v>4</v>
      </c>
      <c r="V490" s="3">
        <f>INT(Clean_Data[[#This Row],[OrderHour]]/6)+1</f>
        <v>3</v>
      </c>
      <c r="W490" s="3">
        <f>IF(Clean_Data[[#This Row],[Status]]="Delivered",1,0)</f>
        <v>1</v>
      </c>
      <c r="X490" s="3">
        <f>IF(Clean_Data[[#This Row],[Status]]="Delivered",IF(Clean_Data[[#This Row],[DeliveryMinutes]]&lt;=Dashboard!$X$5,1,0),0)</f>
        <v>1</v>
      </c>
      <c r="Y4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0" s="3">
        <f>IF(AND(Clean_Data[[#This Row],[Include]]=1,Clean_Data[[#This Row],[DeliveredFlag]]=1),1,0)</f>
        <v>1</v>
      </c>
      <c r="AA490" s="1">
        <f>IF(COUNTIF($D$2:D490,D490)=1,ROW()-1,ROWS(Clean_Data[OrderID])+1)</f>
        <v>901</v>
      </c>
      <c r="AB490" s="1">
        <f>IF(COUNTIF($F$2:F490,F490)=1,ROW()-1,ROWS(Clean_Data[OrderID])+1)</f>
        <v>901</v>
      </c>
      <c r="AC490" s="1">
        <f>IF(COUNTIF($G$2:G490,G490)=1,ROW()-1,ROWS(Clean_Data[OrderID])+1)</f>
        <v>901</v>
      </c>
      <c r="AD490" s="1">
        <f>IF(COUNTIF($H$2:H490,H490)=1,ROW()-1,ROWS(Clean_Data[OrderID])+1)</f>
        <v>901</v>
      </c>
      <c r="AE490" s="1">
        <f>IF(COUNTIF($V$2:V490,V490)=1,V490,ROWS(Clean_Data[OrderID])+1)</f>
        <v>901</v>
      </c>
      <c r="AF490" s="1">
        <f>IF(COUNTIF($U$2:U490,U490)=1,U490,ROWS(Clean_Data[OrderID])+1)</f>
        <v>901</v>
      </c>
      <c r="AG490" s="1">
        <f>IF(COUNTIF($E$2:E490,E490)=1,ROW()-1,ROWS(Clean_Data[OrderID])+1)</f>
        <v>901</v>
      </c>
    </row>
    <row r="491" spans="1:33" ht="20" customHeight="1">
      <c r="A491" s="3" t="s">
        <v>859</v>
      </c>
      <c r="B491" s="2">
        <v>46282</v>
      </c>
      <c r="C491" s="3">
        <v>17</v>
      </c>
      <c r="D491" s="3" t="s">
        <v>860</v>
      </c>
      <c r="E491" s="3" t="s">
        <v>91</v>
      </c>
      <c r="F491" s="3" t="s">
        <v>92</v>
      </c>
      <c r="G491" s="3" t="s">
        <v>174</v>
      </c>
      <c r="H491" s="3" t="s">
        <v>184</v>
      </c>
      <c r="I491" s="3">
        <v>3</v>
      </c>
      <c r="J491" s="11">
        <v>62</v>
      </c>
      <c r="K491" s="4">
        <v>0</v>
      </c>
      <c r="L491" s="3" t="s">
        <v>95</v>
      </c>
      <c r="M491" s="3">
        <v>21</v>
      </c>
      <c r="N491" s="3">
        <v>14</v>
      </c>
      <c r="O491" s="3">
        <v>4</v>
      </c>
      <c r="P491" s="11">
        <f>Clean_Data[[#This Row],[Quantity]]*Clean_Data[[#This Row],[UnitPrice]]</f>
        <v>186</v>
      </c>
      <c r="Q491" s="11">
        <f>ROUND(Clean_Data[[#This Row],[GrossSales]]*Clean_Data[[#This Row],[DiscountPct]],2)</f>
        <v>0</v>
      </c>
      <c r="R491" s="11">
        <f>IF(Clean_Data[[#This Row],[Status]]="Delivered",ROUND(Clean_Data[[#This Row],[GrossSales]]-Clean_Data[[#This Row],[DiscountAmount]],2),0)</f>
        <v>186</v>
      </c>
      <c r="S491" s="3" t="str">
        <f>IF(Clean_Data[[#This Row],[OrderHour]]&lt;6,"Night",IF(Clean_Data[[#This Row],[OrderHour]]&lt;12,"Morning",IF(Clean_Data[[#This Row],[OrderHour]]&lt;18,"Afternoon","Evening")))</f>
        <v>Afternoon</v>
      </c>
      <c r="T491" s="3" t="str">
        <f>TEXT(Clean_Data[[#This Row],[OrderDate]],"[$-409]ddd")</f>
        <v>Thu</v>
      </c>
      <c r="U491" s="3">
        <f>WEEKDAY(Clean_Data[[#This Row],[OrderDate]],2)</f>
        <v>4</v>
      </c>
      <c r="V491" s="3">
        <f>INT(Clean_Data[[#This Row],[OrderHour]]/6)+1</f>
        <v>3</v>
      </c>
      <c r="W491" s="3">
        <f>IF(Clean_Data[[#This Row],[Status]]="Delivered",1,0)</f>
        <v>1</v>
      </c>
      <c r="X491" s="3">
        <f>IF(Clean_Data[[#This Row],[Status]]="Delivered",IF(Clean_Data[[#This Row],[DeliveryMinutes]]&lt;=Dashboard!$X$5,1,0),0)</f>
        <v>1</v>
      </c>
      <c r="Y4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1" s="3">
        <f>IF(AND(Clean_Data[[#This Row],[Include]]=1,Clean_Data[[#This Row],[DeliveredFlag]]=1),1,0)</f>
        <v>1</v>
      </c>
      <c r="AA491" s="1">
        <f>IF(COUNTIF($D$2:D491,D491)=1,ROW()-1,ROWS(Clean_Data[OrderID])+1)</f>
        <v>490</v>
      </c>
      <c r="AB491" s="1">
        <f>IF(COUNTIF($F$2:F491,F491)=1,ROW()-1,ROWS(Clean_Data[OrderID])+1)</f>
        <v>901</v>
      </c>
      <c r="AC491" s="1">
        <f>IF(COUNTIF($G$2:G491,G491)=1,ROW()-1,ROWS(Clean_Data[OrderID])+1)</f>
        <v>901</v>
      </c>
      <c r="AD491" s="1">
        <f>IF(COUNTIF($H$2:H491,H491)=1,ROW()-1,ROWS(Clean_Data[OrderID])+1)</f>
        <v>901</v>
      </c>
      <c r="AE491" s="1">
        <f>IF(COUNTIF($V$2:V491,V491)=1,V491,ROWS(Clean_Data[OrderID])+1)</f>
        <v>901</v>
      </c>
      <c r="AF491" s="1">
        <f>IF(COUNTIF($U$2:U491,U491)=1,U491,ROWS(Clean_Data[OrderID])+1)</f>
        <v>901</v>
      </c>
      <c r="AG491" s="1">
        <f>IF(COUNTIF($E$2:E491,E491)=1,ROW()-1,ROWS(Clean_Data[OrderID])+1)</f>
        <v>901</v>
      </c>
    </row>
    <row r="492" spans="1:33" ht="20" customHeight="1">
      <c r="A492" s="3" t="s">
        <v>861</v>
      </c>
      <c r="B492" s="2">
        <v>46282</v>
      </c>
      <c r="C492" s="3">
        <v>17</v>
      </c>
      <c r="D492" s="3" t="s">
        <v>537</v>
      </c>
      <c r="E492" s="3" t="s">
        <v>91</v>
      </c>
      <c r="F492" s="3" t="s">
        <v>98</v>
      </c>
      <c r="G492" s="3" t="s">
        <v>122</v>
      </c>
      <c r="H492" s="3" t="s">
        <v>153</v>
      </c>
      <c r="I492" s="3">
        <v>3</v>
      </c>
      <c r="J492" s="11">
        <v>130</v>
      </c>
      <c r="K492" s="4">
        <v>0</v>
      </c>
      <c r="L492" s="3" t="s">
        <v>95</v>
      </c>
      <c r="M492" s="3">
        <v>12</v>
      </c>
      <c r="N492" s="3">
        <v>9</v>
      </c>
      <c r="O492" s="3">
        <v>3</v>
      </c>
      <c r="P492" s="11">
        <f>Clean_Data[[#This Row],[Quantity]]*Clean_Data[[#This Row],[UnitPrice]]</f>
        <v>390</v>
      </c>
      <c r="Q492" s="11">
        <f>ROUND(Clean_Data[[#This Row],[GrossSales]]*Clean_Data[[#This Row],[DiscountPct]],2)</f>
        <v>0</v>
      </c>
      <c r="R492" s="11">
        <f>IF(Clean_Data[[#This Row],[Status]]="Delivered",ROUND(Clean_Data[[#This Row],[GrossSales]]-Clean_Data[[#This Row],[DiscountAmount]],2),0)</f>
        <v>390</v>
      </c>
      <c r="S492" s="3" t="str">
        <f>IF(Clean_Data[[#This Row],[OrderHour]]&lt;6,"Night",IF(Clean_Data[[#This Row],[OrderHour]]&lt;12,"Morning",IF(Clean_Data[[#This Row],[OrderHour]]&lt;18,"Afternoon","Evening")))</f>
        <v>Afternoon</v>
      </c>
      <c r="T492" s="3" t="str">
        <f>TEXT(Clean_Data[[#This Row],[OrderDate]],"[$-409]ddd")</f>
        <v>Thu</v>
      </c>
      <c r="U492" s="3">
        <f>WEEKDAY(Clean_Data[[#This Row],[OrderDate]],2)</f>
        <v>4</v>
      </c>
      <c r="V492" s="3">
        <f>INT(Clean_Data[[#This Row],[OrderHour]]/6)+1</f>
        <v>3</v>
      </c>
      <c r="W492" s="3">
        <f>IF(Clean_Data[[#This Row],[Status]]="Delivered",1,0)</f>
        <v>1</v>
      </c>
      <c r="X492" s="3">
        <f>IF(Clean_Data[[#This Row],[Status]]="Delivered",IF(Clean_Data[[#This Row],[DeliveryMinutes]]&lt;=Dashboard!$X$5,1,0),0)</f>
        <v>1</v>
      </c>
      <c r="Y4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2" s="3">
        <f>IF(AND(Clean_Data[[#This Row],[Include]]=1,Clean_Data[[#This Row],[DeliveredFlag]]=1),1,0)</f>
        <v>1</v>
      </c>
      <c r="AA492" s="1">
        <f>IF(COUNTIF($D$2:D492,D492)=1,ROW()-1,ROWS(Clean_Data[OrderID])+1)</f>
        <v>901</v>
      </c>
      <c r="AB492" s="1">
        <f>IF(COUNTIF($F$2:F492,F492)=1,ROW()-1,ROWS(Clean_Data[OrderID])+1)</f>
        <v>901</v>
      </c>
      <c r="AC492" s="1">
        <f>IF(COUNTIF($G$2:G492,G492)=1,ROW()-1,ROWS(Clean_Data[OrderID])+1)</f>
        <v>901</v>
      </c>
      <c r="AD492" s="1">
        <f>IF(COUNTIF($H$2:H492,H492)=1,ROW()-1,ROWS(Clean_Data[OrderID])+1)</f>
        <v>901</v>
      </c>
      <c r="AE492" s="1">
        <f>IF(COUNTIF($V$2:V492,V492)=1,V492,ROWS(Clean_Data[OrderID])+1)</f>
        <v>901</v>
      </c>
      <c r="AF492" s="1">
        <f>IF(COUNTIF($U$2:U492,U492)=1,U492,ROWS(Clean_Data[OrderID])+1)</f>
        <v>901</v>
      </c>
      <c r="AG492" s="1">
        <f>IF(COUNTIF($E$2:E492,E492)=1,ROW()-1,ROWS(Clean_Data[OrderID])+1)</f>
        <v>901</v>
      </c>
    </row>
    <row r="493" spans="1:33" ht="20" customHeight="1">
      <c r="A493" s="3" t="s">
        <v>862</v>
      </c>
      <c r="B493" s="2">
        <v>46282</v>
      </c>
      <c r="C493" s="3">
        <v>9</v>
      </c>
      <c r="D493" s="3" t="s">
        <v>394</v>
      </c>
      <c r="E493" s="3" t="s">
        <v>91</v>
      </c>
      <c r="F493" s="3" t="s">
        <v>98</v>
      </c>
      <c r="G493" s="3" t="s">
        <v>110</v>
      </c>
      <c r="H493" s="3" t="s">
        <v>111</v>
      </c>
      <c r="I493" s="3">
        <v>3</v>
      </c>
      <c r="J493" s="11">
        <v>115</v>
      </c>
      <c r="K493" s="4">
        <v>0.15</v>
      </c>
      <c r="L493" s="3" t="s">
        <v>95</v>
      </c>
      <c r="M493" s="3">
        <v>14</v>
      </c>
      <c r="N493" s="3">
        <v>13</v>
      </c>
      <c r="O493" s="3">
        <v>5</v>
      </c>
      <c r="P493" s="11">
        <f>Clean_Data[[#This Row],[Quantity]]*Clean_Data[[#This Row],[UnitPrice]]</f>
        <v>345</v>
      </c>
      <c r="Q493" s="11">
        <f>ROUND(Clean_Data[[#This Row],[GrossSales]]*Clean_Data[[#This Row],[DiscountPct]],2)</f>
        <v>51.75</v>
      </c>
      <c r="R493" s="11">
        <f>IF(Clean_Data[[#This Row],[Status]]="Delivered",ROUND(Clean_Data[[#This Row],[GrossSales]]-Clean_Data[[#This Row],[DiscountAmount]],2),0)</f>
        <v>293.25</v>
      </c>
      <c r="S493" s="3" t="str">
        <f>IF(Clean_Data[[#This Row],[OrderHour]]&lt;6,"Night",IF(Clean_Data[[#This Row],[OrderHour]]&lt;12,"Morning",IF(Clean_Data[[#This Row],[OrderHour]]&lt;18,"Afternoon","Evening")))</f>
        <v>Morning</v>
      </c>
      <c r="T493" s="3" t="str">
        <f>TEXT(Clean_Data[[#This Row],[OrderDate]],"[$-409]ddd")</f>
        <v>Thu</v>
      </c>
      <c r="U493" s="3">
        <f>WEEKDAY(Clean_Data[[#This Row],[OrderDate]],2)</f>
        <v>4</v>
      </c>
      <c r="V493" s="3">
        <f>INT(Clean_Data[[#This Row],[OrderHour]]/6)+1</f>
        <v>2</v>
      </c>
      <c r="W493" s="3">
        <f>IF(Clean_Data[[#This Row],[Status]]="Delivered",1,0)</f>
        <v>1</v>
      </c>
      <c r="X493" s="3">
        <f>IF(Clean_Data[[#This Row],[Status]]="Delivered",IF(Clean_Data[[#This Row],[DeliveryMinutes]]&lt;=Dashboard!$X$5,1,0),0)</f>
        <v>1</v>
      </c>
      <c r="Y4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3" s="3">
        <f>IF(AND(Clean_Data[[#This Row],[Include]]=1,Clean_Data[[#This Row],[DeliveredFlag]]=1),1,0)</f>
        <v>1</v>
      </c>
      <c r="AA493" s="1">
        <f>IF(COUNTIF($D$2:D493,D493)=1,ROW()-1,ROWS(Clean_Data[OrderID])+1)</f>
        <v>901</v>
      </c>
      <c r="AB493" s="1">
        <f>IF(COUNTIF($F$2:F493,F493)=1,ROW()-1,ROWS(Clean_Data[OrderID])+1)</f>
        <v>901</v>
      </c>
      <c r="AC493" s="1">
        <f>IF(COUNTIF($G$2:G493,G493)=1,ROW()-1,ROWS(Clean_Data[OrderID])+1)</f>
        <v>901</v>
      </c>
      <c r="AD493" s="1">
        <f>IF(COUNTIF($H$2:H493,H493)=1,ROW()-1,ROWS(Clean_Data[OrderID])+1)</f>
        <v>901</v>
      </c>
      <c r="AE493" s="1">
        <f>IF(COUNTIF($V$2:V493,V493)=1,V493,ROWS(Clean_Data[OrderID])+1)</f>
        <v>901</v>
      </c>
      <c r="AF493" s="1">
        <f>IF(COUNTIF($U$2:U493,U493)=1,U493,ROWS(Clean_Data[OrderID])+1)</f>
        <v>901</v>
      </c>
      <c r="AG493" s="1">
        <f>IF(COUNTIF($E$2:E493,E493)=1,ROW()-1,ROWS(Clean_Data[OrderID])+1)</f>
        <v>901</v>
      </c>
    </row>
    <row r="494" spans="1:33" ht="20" customHeight="1">
      <c r="A494" s="3" t="s">
        <v>863</v>
      </c>
      <c r="B494" s="2">
        <v>46282</v>
      </c>
      <c r="C494" s="3">
        <v>11</v>
      </c>
      <c r="D494" s="3" t="s">
        <v>205</v>
      </c>
      <c r="E494" s="3" t="s">
        <v>91</v>
      </c>
      <c r="F494" s="3" t="s">
        <v>139</v>
      </c>
      <c r="G494" s="3" t="s">
        <v>174</v>
      </c>
      <c r="H494" s="3" t="s">
        <v>184</v>
      </c>
      <c r="I494" s="3">
        <v>4</v>
      </c>
      <c r="J494" s="11">
        <v>62</v>
      </c>
      <c r="K494" s="4">
        <v>0.15</v>
      </c>
      <c r="L494" s="3" t="s">
        <v>95</v>
      </c>
      <c r="M494" s="3">
        <v>21</v>
      </c>
      <c r="N494" s="3">
        <v>15</v>
      </c>
      <c r="O494" s="3">
        <v>3</v>
      </c>
      <c r="P494" s="11">
        <f>Clean_Data[[#This Row],[Quantity]]*Clean_Data[[#This Row],[UnitPrice]]</f>
        <v>248</v>
      </c>
      <c r="Q494" s="11">
        <f>ROUND(Clean_Data[[#This Row],[GrossSales]]*Clean_Data[[#This Row],[DiscountPct]],2)</f>
        <v>37.200000000000003</v>
      </c>
      <c r="R494" s="11">
        <f>IF(Clean_Data[[#This Row],[Status]]="Delivered",ROUND(Clean_Data[[#This Row],[GrossSales]]-Clean_Data[[#This Row],[DiscountAmount]],2),0)</f>
        <v>210.8</v>
      </c>
      <c r="S494" s="3" t="str">
        <f>IF(Clean_Data[[#This Row],[OrderHour]]&lt;6,"Night",IF(Clean_Data[[#This Row],[OrderHour]]&lt;12,"Morning",IF(Clean_Data[[#This Row],[OrderHour]]&lt;18,"Afternoon","Evening")))</f>
        <v>Morning</v>
      </c>
      <c r="T494" s="3" t="str">
        <f>TEXT(Clean_Data[[#This Row],[OrderDate]],"[$-409]ddd")</f>
        <v>Thu</v>
      </c>
      <c r="U494" s="3">
        <f>WEEKDAY(Clean_Data[[#This Row],[OrderDate]],2)</f>
        <v>4</v>
      </c>
      <c r="V494" s="3">
        <f>INT(Clean_Data[[#This Row],[OrderHour]]/6)+1</f>
        <v>2</v>
      </c>
      <c r="W494" s="3">
        <f>IF(Clean_Data[[#This Row],[Status]]="Delivered",1,0)</f>
        <v>1</v>
      </c>
      <c r="X494" s="3">
        <f>IF(Clean_Data[[#This Row],[Status]]="Delivered",IF(Clean_Data[[#This Row],[DeliveryMinutes]]&lt;=Dashboard!$X$5,1,0),0)</f>
        <v>1</v>
      </c>
      <c r="Y4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4" s="3">
        <f>IF(AND(Clean_Data[[#This Row],[Include]]=1,Clean_Data[[#This Row],[DeliveredFlag]]=1),1,0)</f>
        <v>1</v>
      </c>
      <c r="AA494" s="1">
        <f>IF(COUNTIF($D$2:D494,D494)=1,ROW()-1,ROWS(Clean_Data[OrderID])+1)</f>
        <v>901</v>
      </c>
      <c r="AB494" s="1">
        <f>IF(COUNTIF($F$2:F494,F494)=1,ROW()-1,ROWS(Clean_Data[OrderID])+1)</f>
        <v>901</v>
      </c>
      <c r="AC494" s="1">
        <f>IF(COUNTIF($G$2:G494,G494)=1,ROW()-1,ROWS(Clean_Data[OrderID])+1)</f>
        <v>901</v>
      </c>
      <c r="AD494" s="1">
        <f>IF(COUNTIF($H$2:H494,H494)=1,ROW()-1,ROWS(Clean_Data[OrderID])+1)</f>
        <v>901</v>
      </c>
      <c r="AE494" s="1">
        <f>IF(COUNTIF($V$2:V494,V494)=1,V494,ROWS(Clean_Data[OrderID])+1)</f>
        <v>901</v>
      </c>
      <c r="AF494" s="1">
        <f>IF(COUNTIF($U$2:U494,U494)=1,U494,ROWS(Clean_Data[OrderID])+1)</f>
        <v>901</v>
      </c>
      <c r="AG494" s="1">
        <f>IF(COUNTIF($E$2:E494,E494)=1,ROW()-1,ROWS(Clean_Data[OrderID])+1)</f>
        <v>901</v>
      </c>
    </row>
    <row r="495" spans="1:33" ht="20" customHeight="1">
      <c r="A495" s="3" t="s">
        <v>864</v>
      </c>
      <c r="B495" s="2">
        <v>46282</v>
      </c>
      <c r="C495" s="3">
        <v>11</v>
      </c>
      <c r="D495" s="3" t="s">
        <v>446</v>
      </c>
      <c r="E495" s="3" t="s">
        <v>91</v>
      </c>
      <c r="F495" s="3" t="s">
        <v>109</v>
      </c>
      <c r="G495" s="3" t="s">
        <v>122</v>
      </c>
      <c r="H495" s="3" t="s">
        <v>123</v>
      </c>
      <c r="I495" s="3">
        <v>2</v>
      </c>
      <c r="J495" s="11">
        <v>45</v>
      </c>
      <c r="K495" s="4">
        <v>0</v>
      </c>
      <c r="L495" s="3" t="s">
        <v>95</v>
      </c>
      <c r="M495" s="3">
        <v>18</v>
      </c>
      <c r="N495" s="3">
        <v>14</v>
      </c>
      <c r="O495" s="3">
        <v>4</v>
      </c>
      <c r="P495" s="11">
        <f>Clean_Data[[#This Row],[Quantity]]*Clean_Data[[#This Row],[UnitPrice]]</f>
        <v>90</v>
      </c>
      <c r="Q495" s="11">
        <f>ROUND(Clean_Data[[#This Row],[GrossSales]]*Clean_Data[[#This Row],[DiscountPct]],2)</f>
        <v>0</v>
      </c>
      <c r="R495" s="11">
        <f>IF(Clean_Data[[#This Row],[Status]]="Delivered",ROUND(Clean_Data[[#This Row],[GrossSales]]-Clean_Data[[#This Row],[DiscountAmount]],2),0)</f>
        <v>90</v>
      </c>
      <c r="S495" s="3" t="str">
        <f>IF(Clean_Data[[#This Row],[OrderHour]]&lt;6,"Night",IF(Clean_Data[[#This Row],[OrderHour]]&lt;12,"Morning",IF(Clean_Data[[#This Row],[OrderHour]]&lt;18,"Afternoon","Evening")))</f>
        <v>Morning</v>
      </c>
      <c r="T495" s="3" t="str">
        <f>TEXT(Clean_Data[[#This Row],[OrderDate]],"[$-409]ddd")</f>
        <v>Thu</v>
      </c>
      <c r="U495" s="3">
        <f>WEEKDAY(Clean_Data[[#This Row],[OrderDate]],2)</f>
        <v>4</v>
      </c>
      <c r="V495" s="3">
        <f>INT(Clean_Data[[#This Row],[OrderHour]]/6)+1</f>
        <v>2</v>
      </c>
      <c r="W495" s="3">
        <f>IF(Clean_Data[[#This Row],[Status]]="Delivered",1,0)</f>
        <v>1</v>
      </c>
      <c r="X495" s="3">
        <f>IF(Clean_Data[[#This Row],[Status]]="Delivered",IF(Clean_Data[[#This Row],[DeliveryMinutes]]&lt;=Dashboard!$X$5,1,0),0)</f>
        <v>1</v>
      </c>
      <c r="Y4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5" s="3">
        <f>IF(AND(Clean_Data[[#This Row],[Include]]=1,Clean_Data[[#This Row],[DeliveredFlag]]=1),1,0)</f>
        <v>1</v>
      </c>
      <c r="AA495" s="1">
        <f>IF(COUNTIF($D$2:D495,D495)=1,ROW()-1,ROWS(Clean_Data[OrderID])+1)</f>
        <v>901</v>
      </c>
      <c r="AB495" s="1">
        <f>IF(COUNTIF($F$2:F495,F495)=1,ROW()-1,ROWS(Clean_Data[OrderID])+1)</f>
        <v>901</v>
      </c>
      <c r="AC495" s="1">
        <f>IF(COUNTIF($G$2:G495,G495)=1,ROW()-1,ROWS(Clean_Data[OrderID])+1)</f>
        <v>901</v>
      </c>
      <c r="AD495" s="1">
        <f>IF(COUNTIF($H$2:H495,H495)=1,ROW()-1,ROWS(Clean_Data[OrderID])+1)</f>
        <v>901</v>
      </c>
      <c r="AE495" s="1">
        <f>IF(COUNTIF($V$2:V495,V495)=1,V495,ROWS(Clean_Data[OrderID])+1)</f>
        <v>901</v>
      </c>
      <c r="AF495" s="1">
        <f>IF(COUNTIF($U$2:U495,U495)=1,U495,ROWS(Clean_Data[OrderID])+1)</f>
        <v>901</v>
      </c>
      <c r="AG495" s="1">
        <f>IF(COUNTIF($E$2:E495,E495)=1,ROW()-1,ROWS(Clean_Data[OrderID])+1)</f>
        <v>901</v>
      </c>
    </row>
    <row r="496" spans="1:33" ht="20" customHeight="1">
      <c r="A496" s="3" t="s">
        <v>865</v>
      </c>
      <c r="B496" s="2">
        <v>46282</v>
      </c>
      <c r="C496" s="3">
        <v>9</v>
      </c>
      <c r="D496" s="3" t="s">
        <v>736</v>
      </c>
      <c r="E496" s="3" t="s">
        <v>117</v>
      </c>
      <c r="F496" s="3" t="s">
        <v>139</v>
      </c>
      <c r="G496" s="3" t="s">
        <v>110</v>
      </c>
      <c r="H496" s="3" t="s">
        <v>206</v>
      </c>
      <c r="I496" s="3">
        <v>4</v>
      </c>
      <c r="J496" s="11">
        <v>220</v>
      </c>
      <c r="K496" s="4">
        <v>0.05</v>
      </c>
      <c r="L496" s="3" t="s">
        <v>101</v>
      </c>
      <c r="M496" s="3"/>
      <c r="N496" s="3"/>
      <c r="O496" s="3"/>
      <c r="P496" s="11">
        <f>Clean_Data[[#This Row],[Quantity]]*Clean_Data[[#This Row],[UnitPrice]]</f>
        <v>880</v>
      </c>
      <c r="Q496" s="11">
        <f>ROUND(Clean_Data[[#This Row],[GrossSales]]*Clean_Data[[#This Row],[DiscountPct]],2)</f>
        <v>44</v>
      </c>
      <c r="R496" s="11">
        <f>IF(Clean_Data[[#This Row],[Status]]="Delivered",ROUND(Clean_Data[[#This Row],[GrossSales]]-Clean_Data[[#This Row],[DiscountAmount]],2),0)</f>
        <v>0</v>
      </c>
      <c r="S496" s="3" t="str">
        <f>IF(Clean_Data[[#This Row],[OrderHour]]&lt;6,"Night",IF(Clean_Data[[#This Row],[OrderHour]]&lt;12,"Morning",IF(Clean_Data[[#This Row],[OrderHour]]&lt;18,"Afternoon","Evening")))</f>
        <v>Morning</v>
      </c>
      <c r="T496" s="3" t="str">
        <f>TEXT(Clean_Data[[#This Row],[OrderDate]],"[$-409]ddd")</f>
        <v>Thu</v>
      </c>
      <c r="U496" s="3">
        <f>WEEKDAY(Clean_Data[[#This Row],[OrderDate]],2)</f>
        <v>4</v>
      </c>
      <c r="V496" s="3">
        <f>INT(Clean_Data[[#This Row],[OrderHour]]/6)+1</f>
        <v>2</v>
      </c>
      <c r="W496" s="3">
        <f>IF(Clean_Data[[#This Row],[Status]]="Delivered",1,0)</f>
        <v>0</v>
      </c>
      <c r="X496" s="3">
        <f>IF(Clean_Data[[#This Row],[Status]]="Delivered",IF(Clean_Data[[#This Row],[DeliveryMinutes]]&lt;=Dashboard!$X$5,1,0),0)</f>
        <v>0</v>
      </c>
      <c r="Y4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6" s="3">
        <f>IF(AND(Clean_Data[[#This Row],[Include]]=1,Clean_Data[[#This Row],[DeliveredFlag]]=1),1,0)</f>
        <v>0</v>
      </c>
      <c r="AA496" s="1">
        <f>IF(COUNTIF($D$2:D496,D496)=1,ROW()-1,ROWS(Clean_Data[OrderID])+1)</f>
        <v>901</v>
      </c>
      <c r="AB496" s="1">
        <f>IF(COUNTIF($F$2:F496,F496)=1,ROW()-1,ROWS(Clean_Data[OrderID])+1)</f>
        <v>901</v>
      </c>
      <c r="AC496" s="1">
        <f>IF(COUNTIF($G$2:G496,G496)=1,ROW()-1,ROWS(Clean_Data[OrderID])+1)</f>
        <v>901</v>
      </c>
      <c r="AD496" s="1">
        <f>IF(COUNTIF($H$2:H496,H496)=1,ROW()-1,ROWS(Clean_Data[OrderID])+1)</f>
        <v>901</v>
      </c>
      <c r="AE496" s="1">
        <f>IF(COUNTIF($V$2:V496,V496)=1,V496,ROWS(Clean_Data[OrderID])+1)</f>
        <v>901</v>
      </c>
      <c r="AF496" s="1">
        <f>IF(COUNTIF($U$2:U496,U496)=1,U496,ROWS(Clean_Data[OrderID])+1)</f>
        <v>901</v>
      </c>
      <c r="AG496" s="1">
        <f>IF(COUNTIF($E$2:E496,E496)=1,ROW()-1,ROWS(Clean_Data[OrderID])+1)</f>
        <v>901</v>
      </c>
    </row>
    <row r="497" spans="1:33" ht="20" customHeight="1">
      <c r="A497" s="3" t="s">
        <v>866</v>
      </c>
      <c r="B497" s="2">
        <v>46282</v>
      </c>
      <c r="C497" s="3">
        <v>16</v>
      </c>
      <c r="D497" s="3" t="s">
        <v>165</v>
      </c>
      <c r="E497" s="3" t="s">
        <v>91</v>
      </c>
      <c r="F497" s="3" t="s">
        <v>92</v>
      </c>
      <c r="G497" s="3" t="s">
        <v>93</v>
      </c>
      <c r="H497" s="3" t="s">
        <v>118</v>
      </c>
      <c r="I497" s="3">
        <v>5</v>
      </c>
      <c r="J497" s="11">
        <v>45</v>
      </c>
      <c r="K497" s="4">
        <v>0</v>
      </c>
      <c r="L497" s="3" t="s">
        <v>101</v>
      </c>
      <c r="M497" s="3"/>
      <c r="N497" s="3"/>
      <c r="O497" s="3"/>
      <c r="P497" s="11">
        <f>Clean_Data[[#This Row],[Quantity]]*Clean_Data[[#This Row],[UnitPrice]]</f>
        <v>225</v>
      </c>
      <c r="Q497" s="11">
        <f>ROUND(Clean_Data[[#This Row],[GrossSales]]*Clean_Data[[#This Row],[DiscountPct]],2)</f>
        <v>0</v>
      </c>
      <c r="R497" s="11">
        <f>IF(Clean_Data[[#This Row],[Status]]="Delivered",ROUND(Clean_Data[[#This Row],[GrossSales]]-Clean_Data[[#This Row],[DiscountAmount]],2),0)</f>
        <v>0</v>
      </c>
      <c r="S497" s="3" t="str">
        <f>IF(Clean_Data[[#This Row],[OrderHour]]&lt;6,"Night",IF(Clean_Data[[#This Row],[OrderHour]]&lt;12,"Morning",IF(Clean_Data[[#This Row],[OrderHour]]&lt;18,"Afternoon","Evening")))</f>
        <v>Afternoon</v>
      </c>
      <c r="T497" s="3" t="str">
        <f>TEXT(Clean_Data[[#This Row],[OrderDate]],"[$-409]ddd")</f>
        <v>Thu</v>
      </c>
      <c r="U497" s="3">
        <f>WEEKDAY(Clean_Data[[#This Row],[OrderDate]],2)</f>
        <v>4</v>
      </c>
      <c r="V497" s="3">
        <f>INT(Clean_Data[[#This Row],[OrderHour]]/6)+1</f>
        <v>3</v>
      </c>
      <c r="W497" s="3">
        <f>IF(Clean_Data[[#This Row],[Status]]="Delivered",1,0)</f>
        <v>0</v>
      </c>
      <c r="X497" s="3">
        <f>IF(Clean_Data[[#This Row],[Status]]="Delivered",IF(Clean_Data[[#This Row],[DeliveryMinutes]]&lt;=Dashboard!$X$5,1,0),0)</f>
        <v>0</v>
      </c>
      <c r="Y4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7" s="3">
        <f>IF(AND(Clean_Data[[#This Row],[Include]]=1,Clean_Data[[#This Row],[DeliveredFlag]]=1),1,0)</f>
        <v>0</v>
      </c>
      <c r="AA497" s="1">
        <f>IF(COUNTIF($D$2:D497,D497)=1,ROW()-1,ROWS(Clean_Data[OrderID])+1)</f>
        <v>901</v>
      </c>
      <c r="AB497" s="1">
        <f>IF(COUNTIF($F$2:F497,F497)=1,ROW()-1,ROWS(Clean_Data[OrderID])+1)</f>
        <v>901</v>
      </c>
      <c r="AC497" s="1">
        <f>IF(COUNTIF($G$2:G497,G497)=1,ROW()-1,ROWS(Clean_Data[OrderID])+1)</f>
        <v>901</v>
      </c>
      <c r="AD497" s="1">
        <f>IF(COUNTIF($H$2:H497,H497)=1,ROW()-1,ROWS(Clean_Data[OrderID])+1)</f>
        <v>901</v>
      </c>
      <c r="AE497" s="1">
        <f>IF(COUNTIF($V$2:V497,V497)=1,V497,ROWS(Clean_Data[OrderID])+1)</f>
        <v>901</v>
      </c>
      <c r="AF497" s="1">
        <f>IF(COUNTIF($U$2:U497,U497)=1,U497,ROWS(Clean_Data[OrderID])+1)</f>
        <v>901</v>
      </c>
      <c r="AG497" s="1">
        <f>IF(COUNTIF($E$2:E497,E497)=1,ROW()-1,ROWS(Clean_Data[OrderID])+1)</f>
        <v>901</v>
      </c>
    </row>
    <row r="498" spans="1:33" ht="20" customHeight="1">
      <c r="A498" s="3" t="s">
        <v>867</v>
      </c>
      <c r="B498" s="2">
        <v>46282</v>
      </c>
      <c r="C498" s="3">
        <v>8</v>
      </c>
      <c r="D498" s="3" t="s">
        <v>624</v>
      </c>
      <c r="E498" s="3" t="s">
        <v>91</v>
      </c>
      <c r="F498" s="3" t="s">
        <v>121</v>
      </c>
      <c r="G498" s="3" t="s">
        <v>93</v>
      </c>
      <c r="H498" s="3" t="s">
        <v>118</v>
      </c>
      <c r="I498" s="3">
        <v>4</v>
      </c>
      <c r="J498" s="11">
        <v>45</v>
      </c>
      <c r="K498" s="4">
        <v>0.1</v>
      </c>
      <c r="L498" s="3" t="s">
        <v>95</v>
      </c>
      <c r="M498" s="3">
        <v>12</v>
      </c>
      <c r="N498" s="3">
        <v>6</v>
      </c>
      <c r="O498" s="3">
        <v>3</v>
      </c>
      <c r="P498" s="11">
        <f>Clean_Data[[#This Row],[Quantity]]*Clean_Data[[#This Row],[UnitPrice]]</f>
        <v>180</v>
      </c>
      <c r="Q498" s="11">
        <f>ROUND(Clean_Data[[#This Row],[GrossSales]]*Clean_Data[[#This Row],[DiscountPct]],2)</f>
        <v>18</v>
      </c>
      <c r="R498" s="11">
        <f>IF(Clean_Data[[#This Row],[Status]]="Delivered",ROUND(Clean_Data[[#This Row],[GrossSales]]-Clean_Data[[#This Row],[DiscountAmount]],2),0)</f>
        <v>162</v>
      </c>
      <c r="S498" s="3" t="str">
        <f>IF(Clean_Data[[#This Row],[OrderHour]]&lt;6,"Night",IF(Clean_Data[[#This Row],[OrderHour]]&lt;12,"Morning",IF(Clean_Data[[#This Row],[OrderHour]]&lt;18,"Afternoon","Evening")))</f>
        <v>Morning</v>
      </c>
      <c r="T498" s="3" t="str">
        <f>TEXT(Clean_Data[[#This Row],[OrderDate]],"[$-409]ddd")</f>
        <v>Thu</v>
      </c>
      <c r="U498" s="3">
        <f>WEEKDAY(Clean_Data[[#This Row],[OrderDate]],2)</f>
        <v>4</v>
      </c>
      <c r="V498" s="3">
        <f>INT(Clean_Data[[#This Row],[OrderHour]]/6)+1</f>
        <v>2</v>
      </c>
      <c r="W498" s="3">
        <f>IF(Clean_Data[[#This Row],[Status]]="Delivered",1,0)</f>
        <v>1</v>
      </c>
      <c r="X498" s="3">
        <f>IF(Clean_Data[[#This Row],[Status]]="Delivered",IF(Clean_Data[[#This Row],[DeliveryMinutes]]&lt;=Dashboard!$X$5,1,0),0)</f>
        <v>1</v>
      </c>
      <c r="Y4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8" s="3">
        <f>IF(AND(Clean_Data[[#This Row],[Include]]=1,Clean_Data[[#This Row],[DeliveredFlag]]=1),1,0)</f>
        <v>1</v>
      </c>
      <c r="AA498" s="1">
        <f>IF(COUNTIF($D$2:D498,D498)=1,ROW()-1,ROWS(Clean_Data[OrderID])+1)</f>
        <v>901</v>
      </c>
      <c r="AB498" s="1">
        <f>IF(COUNTIF($F$2:F498,F498)=1,ROW()-1,ROWS(Clean_Data[OrderID])+1)</f>
        <v>901</v>
      </c>
      <c r="AC498" s="1">
        <f>IF(COUNTIF($G$2:G498,G498)=1,ROW()-1,ROWS(Clean_Data[OrderID])+1)</f>
        <v>901</v>
      </c>
      <c r="AD498" s="1">
        <f>IF(COUNTIF($H$2:H498,H498)=1,ROW()-1,ROWS(Clean_Data[OrderID])+1)</f>
        <v>901</v>
      </c>
      <c r="AE498" s="1">
        <f>IF(COUNTIF($V$2:V498,V498)=1,V498,ROWS(Clean_Data[OrderID])+1)</f>
        <v>901</v>
      </c>
      <c r="AF498" s="1">
        <f>IF(COUNTIF($U$2:U498,U498)=1,U498,ROWS(Clean_Data[OrderID])+1)</f>
        <v>901</v>
      </c>
      <c r="AG498" s="1">
        <f>IF(COUNTIF($E$2:E498,E498)=1,ROW()-1,ROWS(Clean_Data[OrderID])+1)</f>
        <v>901</v>
      </c>
    </row>
    <row r="499" spans="1:33" ht="20" customHeight="1">
      <c r="A499" s="3" t="s">
        <v>868</v>
      </c>
      <c r="B499" s="2">
        <v>46282</v>
      </c>
      <c r="C499" s="3">
        <v>17</v>
      </c>
      <c r="D499" s="3" t="s">
        <v>356</v>
      </c>
      <c r="E499" s="3" t="s">
        <v>91</v>
      </c>
      <c r="F499" s="3" t="s">
        <v>92</v>
      </c>
      <c r="G499" s="3" t="s">
        <v>174</v>
      </c>
      <c r="H499" s="3" t="s">
        <v>175</v>
      </c>
      <c r="I499" s="3">
        <v>5</v>
      </c>
      <c r="J499" s="11">
        <v>155</v>
      </c>
      <c r="K499" s="4">
        <v>0</v>
      </c>
      <c r="L499" s="3" t="s">
        <v>95</v>
      </c>
      <c r="M499" s="3">
        <v>24</v>
      </c>
      <c r="N499" s="3">
        <v>8</v>
      </c>
      <c r="O499" s="3">
        <v>3</v>
      </c>
      <c r="P499" s="11">
        <f>Clean_Data[[#This Row],[Quantity]]*Clean_Data[[#This Row],[UnitPrice]]</f>
        <v>775</v>
      </c>
      <c r="Q499" s="11">
        <f>ROUND(Clean_Data[[#This Row],[GrossSales]]*Clean_Data[[#This Row],[DiscountPct]],2)</f>
        <v>0</v>
      </c>
      <c r="R499" s="11">
        <f>IF(Clean_Data[[#This Row],[Status]]="Delivered",ROUND(Clean_Data[[#This Row],[GrossSales]]-Clean_Data[[#This Row],[DiscountAmount]],2),0)</f>
        <v>775</v>
      </c>
      <c r="S499" s="3" t="str">
        <f>IF(Clean_Data[[#This Row],[OrderHour]]&lt;6,"Night",IF(Clean_Data[[#This Row],[OrderHour]]&lt;12,"Morning",IF(Clean_Data[[#This Row],[OrderHour]]&lt;18,"Afternoon","Evening")))</f>
        <v>Afternoon</v>
      </c>
      <c r="T499" s="3" t="str">
        <f>TEXT(Clean_Data[[#This Row],[OrderDate]],"[$-409]ddd")</f>
        <v>Thu</v>
      </c>
      <c r="U499" s="3">
        <f>WEEKDAY(Clean_Data[[#This Row],[OrderDate]],2)</f>
        <v>4</v>
      </c>
      <c r="V499" s="3">
        <f>INT(Clean_Data[[#This Row],[OrderHour]]/6)+1</f>
        <v>3</v>
      </c>
      <c r="W499" s="3">
        <f>IF(Clean_Data[[#This Row],[Status]]="Delivered",1,0)</f>
        <v>1</v>
      </c>
      <c r="X499" s="3">
        <f>IF(Clean_Data[[#This Row],[Status]]="Delivered",IF(Clean_Data[[#This Row],[DeliveryMinutes]]&lt;=Dashboard!$X$5,1,0),0)</f>
        <v>1</v>
      </c>
      <c r="Y4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499" s="3">
        <f>IF(AND(Clean_Data[[#This Row],[Include]]=1,Clean_Data[[#This Row],[DeliveredFlag]]=1),1,0)</f>
        <v>1</v>
      </c>
      <c r="AA499" s="1">
        <f>IF(COUNTIF($D$2:D499,D499)=1,ROW()-1,ROWS(Clean_Data[OrderID])+1)</f>
        <v>901</v>
      </c>
      <c r="AB499" s="1">
        <f>IF(COUNTIF($F$2:F499,F499)=1,ROW()-1,ROWS(Clean_Data[OrderID])+1)</f>
        <v>901</v>
      </c>
      <c r="AC499" s="1">
        <f>IF(COUNTIF($G$2:G499,G499)=1,ROW()-1,ROWS(Clean_Data[OrderID])+1)</f>
        <v>901</v>
      </c>
      <c r="AD499" s="1">
        <f>IF(COUNTIF($H$2:H499,H499)=1,ROW()-1,ROWS(Clean_Data[OrderID])+1)</f>
        <v>901</v>
      </c>
      <c r="AE499" s="1">
        <f>IF(COUNTIF($V$2:V499,V499)=1,V499,ROWS(Clean_Data[OrderID])+1)</f>
        <v>901</v>
      </c>
      <c r="AF499" s="1">
        <f>IF(COUNTIF($U$2:U499,U499)=1,U499,ROWS(Clean_Data[OrderID])+1)</f>
        <v>901</v>
      </c>
      <c r="AG499" s="1">
        <f>IF(COUNTIF($E$2:E499,E499)=1,ROW()-1,ROWS(Clean_Data[OrderID])+1)</f>
        <v>901</v>
      </c>
    </row>
    <row r="500" spans="1:33" ht="20" customHeight="1">
      <c r="A500" s="3" t="s">
        <v>869</v>
      </c>
      <c r="B500" s="2">
        <v>46282</v>
      </c>
      <c r="C500" s="3">
        <v>23</v>
      </c>
      <c r="D500" s="3" t="s">
        <v>589</v>
      </c>
      <c r="E500" s="3" t="s">
        <v>91</v>
      </c>
      <c r="F500" s="3" t="s">
        <v>121</v>
      </c>
      <c r="G500" s="3" t="s">
        <v>110</v>
      </c>
      <c r="H500" s="3" t="s">
        <v>206</v>
      </c>
      <c r="I500" s="3">
        <v>4</v>
      </c>
      <c r="J500" s="11">
        <v>220</v>
      </c>
      <c r="K500" s="4">
        <v>0.15</v>
      </c>
      <c r="L500" s="3" t="s">
        <v>95</v>
      </c>
      <c r="M500" s="3">
        <v>15</v>
      </c>
      <c r="N500" s="3">
        <v>8</v>
      </c>
      <c r="O500" s="3">
        <v>4</v>
      </c>
      <c r="P500" s="11">
        <f>Clean_Data[[#This Row],[Quantity]]*Clean_Data[[#This Row],[UnitPrice]]</f>
        <v>880</v>
      </c>
      <c r="Q500" s="11">
        <f>ROUND(Clean_Data[[#This Row],[GrossSales]]*Clean_Data[[#This Row],[DiscountPct]],2)</f>
        <v>132</v>
      </c>
      <c r="R500" s="11">
        <f>IF(Clean_Data[[#This Row],[Status]]="Delivered",ROUND(Clean_Data[[#This Row],[GrossSales]]-Clean_Data[[#This Row],[DiscountAmount]],2),0)</f>
        <v>748</v>
      </c>
      <c r="S500" s="3" t="str">
        <f>IF(Clean_Data[[#This Row],[OrderHour]]&lt;6,"Night",IF(Clean_Data[[#This Row],[OrderHour]]&lt;12,"Morning",IF(Clean_Data[[#This Row],[OrderHour]]&lt;18,"Afternoon","Evening")))</f>
        <v>Evening</v>
      </c>
      <c r="T500" s="3" t="str">
        <f>TEXT(Clean_Data[[#This Row],[OrderDate]],"[$-409]ddd")</f>
        <v>Thu</v>
      </c>
      <c r="U500" s="3">
        <f>WEEKDAY(Clean_Data[[#This Row],[OrderDate]],2)</f>
        <v>4</v>
      </c>
      <c r="V500" s="3">
        <f>INT(Clean_Data[[#This Row],[OrderHour]]/6)+1</f>
        <v>4</v>
      </c>
      <c r="W500" s="3">
        <f>IF(Clean_Data[[#This Row],[Status]]="Delivered",1,0)</f>
        <v>1</v>
      </c>
      <c r="X500" s="3">
        <f>IF(Clean_Data[[#This Row],[Status]]="Delivered",IF(Clean_Data[[#This Row],[DeliveryMinutes]]&lt;=Dashboard!$X$5,1,0),0)</f>
        <v>1</v>
      </c>
      <c r="Y5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0" s="3">
        <f>IF(AND(Clean_Data[[#This Row],[Include]]=1,Clean_Data[[#This Row],[DeliveredFlag]]=1),1,0)</f>
        <v>1</v>
      </c>
      <c r="AA500" s="1">
        <f>IF(COUNTIF($D$2:D500,D500)=1,ROW()-1,ROWS(Clean_Data[OrderID])+1)</f>
        <v>901</v>
      </c>
      <c r="AB500" s="1">
        <f>IF(COUNTIF($F$2:F500,F500)=1,ROW()-1,ROWS(Clean_Data[OrderID])+1)</f>
        <v>901</v>
      </c>
      <c r="AC500" s="1">
        <f>IF(COUNTIF($G$2:G500,G500)=1,ROW()-1,ROWS(Clean_Data[OrderID])+1)</f>
        <v>901</v>
      </c>
      <c r="AD500" s="1">
        <f>IF(COUNTIF($H$2:H500,H500)=1,ROW()-1,ROWS(Clean_Data[OrderID])+1)</f>
        <v>901</v>
      </c>
      <c r="AE500" s="1">
        <f>IF(COUNTIF($V$2:V500,V500)=1,V500,ROWS(Clean_Data[OrderID])+1)</f>
        <v>901</v>
      </c>
      <c r="AF500" s="1">
        <f>IF(COUNTIF($U$2:U500,U500)=1,U500,ROWS(Clean_Data[OrderID])+1)</f>
        <v>901</v>
      </c>
      <c r="AG500" s="1">
        <f>IF(COUNTIF($E$2:E500,E500)=1,ROW()-1,ROWS(Clean_Data[OrderID])+1)</f>
        <v>901</v>
      </c>
    </row>
    <row r="501" spans="1:33" ht="20" customHeight="1">
      <c r="A501" s="3" t="s">
        <v>870</v>
      </c>
      <c r="B501" s="2">
        <v>46282</v>
      </c>
      <c r="C501" s="3">
        <v>22</v>
      </c>
      <c r="D501" s="3" t="s">
        <v>626</v>
      </c>
      <c r="E501" s="3" t="s">
        <v>91</v>
      </c>
      <c r="F501" s="3" t="s">
        <v>92</v>
      </c>
      <c r="G501" s="3" t="s">
        <v>174</v>
      </c>
      <c r="H501" s="3" t="s">
        <v>184</v>
      </c>
      <c r="I501" s="3">
        <v>6</v>
      </c>
      <c r="J501" s="11">
        <v>62</v>
      </c>
      <c r="K501" s="4">
        <v>0.15</v>
      </c>
      <c r="L501" s="3" t="s">
        <v>95</v>
      </c>
      <c r="M501" s="3">
        <v>35</v>
      </c>
      <c r="N501" s="3">
        <v>7</v>
      </c>
      <c r="O501" s="3">
        <v>4</v>
      </c>
      <c r="P501" s="11">
        <f>Clean_Data[[#This Row],[Quantity]]*Clean_Data[[#This Row],[UnitPrice]]</f>
        <v>372</v>
      </c>
      <c r="Q501" s="11">
        <f>ROUND(Clean_Data[[#This Row],[GrossSales]]*Clean_Data[[#This Row],[DiscountPct]],2)</f>
        <v>55.8</v>
      </c>
      <c r="R501" s="11">
        <f>IF(Clean_Data[[#This Row],[Status]]="Delivered",ROUND(Clean_Data[[#This Row],[GrossSales]]-Clean_Data[[#This Row],[DiscountAmount]],2),0)</f>
        <v>316.2</v>
      </c>
      <c r="S501" s="3" t="str">
        <f>IF(Clean_Data[[#This Row],[OrderHour]]&lt;6,"Night",IF(Clean_Data[[#This Row],[OrderHour]]&lt;12,"Morning",IF(Clean_Data[[#This Row],[OrderHour]]&lt;18,"Afternoon","Evening")))</f>
        <v>Evening</v>
      </c>
      <c r="T501" s="3" t="str">
        <f>TEXT(Clean_Data[[#This Row],[OrderDate]],"[$-409]ddd")</f>
        <v>Thu</v>
      </c>
      <c r="U501" s="3">
        <f>WEEKDAY(Clean_Data[[#This Row],[OrderDate]],2)</f>
        <v>4</v>
      </c>
      <c r="V501" s="3">
        <f>INT(Clean_Data[[#This Row],[OrderHour]]/6)+1</f>
        <v>4</v>
      </c>
      <c r="W501" s="3">
        <f>IF(Clean_Data[[#This Row],[Status]]="Delivered",1,0)</f>
        <v>1</v>
      </c>
      <c r="X501" s="3">
        <f>IF(Clean_Data[[#This Row],[Status]]="Delivered",IF(Clean_Data[[#This Row],[DeliveryMinutes]]&lt;=Dashboard!$X$5,1,0),0)</f>
        <v>0</v>
      </c>
      <c r="Y5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1" s="3">
        <f>IF(AND(Clean_Data[[#This Row],[Include]]=1,Clean_Data[[#This Row],[DeliveredFlag]]=1),1,0)</f>
        <v>1</v>
      </c>
      <c r="AA501" s="1">
        <f>IF(COUNTIF($D$2:D501,D501)=1,ROW()-1,ROWS(Clean_Data[OrderID])+1)</f>
        <v>901</v>
      </c>
      <c r="AB501" s="1">
        <f>IF(COUNTIF($F$2:F501,F501)=1,ROW()-1,ROWS(Clean_Data[OrderID])+1)</f>
        <v>901</v>
      </c>
      <c r="AC501" s="1">
        <f>IF(COUNTIF($G$2:G501,G501)=1,ROW()-1,ROWS(Clean_Data[OrderID])+1)</f>
        <v>901</v>
      </c>
      <c r="AD501" s="1">
        <f>IF(COUNTIF($H$2:H501,H501)=1,ROW()-1,ROWS(Clean_Data[OrderID])+1)</f>
        <v>901</v>
      </c>
      <c r="AE501" s="1">
        <f>IF(COUNTIF($V$2:V501,V501)=1,V501,ROWS(Clean_Data[OrderID])+1)</f>
        <v>901</v>
      </c>
      <c r="AF501" s="1">
        <f>IF(COUNTIF($U$2:U501,U501)=1,U501,ROWS(Clean_Data[OrderID])+1)</f>
        <v>901</v>
      </c>
      <c r="AG501" s="1">
        <f>IF(COUNTIF($E$2:E501,E501)=1,ROW()-1,ROWS(Clean_Data[OrderID])+1)</f>
        <v>901</v>
      </c>
    </row>
    <row r="502" spans="1:33" ht="20" customHeight="1">
      <c r="A502" s="3" t="s">
        <v>871</v>
      </c>
      <c r="B502" s="2">
        <v>46282</v>
      </c>
      <c r="C502" s="3">
        <v>19</v>
      </c>
      <c r="D502" s="3" t="s">
        <v>279</v>
      </c>
      <c r="E502" s="3" t="s">
        <v>91</v>
      </c>
      <c r="F502" s="3" t="s">
        <v>109</v>
      </c>
      <c r="G502" s="3" t="s">
        <v>174</v>
      </c>
      <c r="H502" s="3" t="s">
        <v>175</v>
      </c>
      <c r="I502" s="3">
        <v>2</v>
      </c>
      <c r="J502" s="11">
        <v>155</v>
      </c>
      <c r="K502" s="4">
        <v>0.05</v>
      </c>
      <c r="L502" s="3" t="s">
        <v>95</v>
      </c>
      <c r="M502" s="3">
        <v>12</v>
      </c>
      <c r="N502" s="3">
        <v>9</v>
      </c>
      <c r="O502" s="3">
        <v>4</v>
      </c>
      <c r="P502" s="11">
        <f>Clean_Data[[#This Row],[Quantity]]*Clean_Data[[#This Row],[UnitPrice]]</f>
        <v>310</v>
      </c>
      <c r="Q502" s="11">
        <f>ROUND(Clean_Data[[#This Row],[GrossSales]]*Clean_Data[[#This Row],[DiscountPct]],2)</f>
        <v>15.5</v>
      </c>
      <c r="R502" s="11">
        <f>IF(Clean_Data[[#This Row],[Status]]="Delivered",ROUND(Clean_Data[[#This Row],[GrossSales]]-Clean_Data[[#This Row],[DiscountAmount]],2),0)</f>
        <v>294.5</v>
      </c>
      <c r="S502" s="3" t="str">
        <f>IF(Clean_Data[[#This Row],[OrderHour]]&lt;6,"Night",IF(Clean_Data[[#This Row],[OrderHour]]&lt;12,"Morning",IF(Clean_Data[[#This Row],[OrderHour]]&lt;18,"Afternoon","Evening")))</f>
        <v>Evening</v>
      </c>
      <c r="T502" s="3" t="str">
        <f>TEXT(Clean_Data[[#This Row],[OrderDate]],"[$-409]ddd")</f>
        <v>Thu</v>
      </c>
      <c r="U502" s="3">
        <f>WEEKDAY(Clean_Data[[#This Row],[OrderDate]],2)</f>
        <v>4</v>
      </c>
      <c r="V502" s="3">
        <f>INT(Clean_Data[[#This Row],[OrderHour]]/6)+1</f>
        <v>4</v>
      </c>
      <c r="W502" s="3">
        <f>IF(Clean_Data[[#This Row],[Status]]="Delivered",1,0)</f>
        <v>1</v>
      </c>
      <c r="X502" s="3">
        <f>IF(Clean_Data[[#This Row],[Status]]="Delivered",IF(Clean_Data[[#This Row],[DeliveryMinutes]]&lt;=Dashboard!$X$5,1,0),0)</f>
        <v>1</v>
      </c>
      <c r="Y5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2" s="3">
        <f>IF(AND(Clean_Data[[#This Row],[Include]]=1,Clean_Data[[#This Row],[DeliveredFlag]]=1),1,0)</f>
        <v>1</v>
      </c>
      <c r="AA502" s="1">
        <f>IF(COUNTIF($D$2:D502,D502)=1,ROW()-1,ROWS(Clean_Data[OrderID])+1)</f>
        <v>901</v>
      </c>
      <c r="AB502" s="1">
        <f>IF(COUNTIF($F$2:F502,F502)=1,ROW()-1,ROWS(Clean_Data[OrderID])+1)</f>
        <v>901</v>
      </c>
      <c r="AC502" s="1">
        <f>IF(COUNTIF($G$2:G502,G502)=1,ROW()-1,ROWS(Clean_Data[OrderID])+1)</f>
        <v>901</v>
      </c>
      <c r="AD502" s="1">
        <f>IF(COUNTIF($H$2:H502,H502)=1,ROW()-1,ROWS(Clean_Data[OrderID])+1)</f>
        <v>901</v>
      </c>
      <c r="AE502" s="1">
        <f>IF(COUNTIF($V$2:V502,V502)=1,V502,ROWS(Clean_Data[OrderID])+1)</f>
        <v>901</v>
      </c>
      <c r="AF502" s="1">
        <f>IF(COUNTIF($U$2:U502,U502)=1,U502,ROWS(Clean_Data[OrderID])+1)</f>
        <v>901</v>
      </c>
      <c r="AG502" s="1">
        <f>IF(COUNTIF($E$2:E502,E502)=1,ROW()-1,ROWS(Clean_Data[OrderID])+1)</f>
        <v>901</v>
      </c>
    </row>
    <row r="503" spans="1:33" ht="20" customHeight="1">
      <c r="A503" s="3" t="s">
        <v>872</v>
      </c>
      <c r="B503" s="2">
        <v>46282</v>
      </c>
      <c r="C503" s="3">
        <v>19</v>
      </c>
      <c r="D503" s="3" t="s">
        <v>363</v>
      </c>
      <c r="E503" s="3" t="s">
        <v>91</v>
      </c>
      <c r="F503" s="3" t="s">
        <v>109</v>
      </c>
      <c r="G503" s="3" t="s">
        <v>110</v>
      </c>
      <c r="H503" s="3" t="s">
        <v>114</v>
      </c>
      <c r="I503" s="3">
        <v>4</v>
      </c>
      <c r="J503" s="11">
        <v>145</v>
      </c>
      <c r="K503" s="4">
        <v>0.05</v>
      </c>
      <c r="L503" s="3" t="s">
        <v>95</v>
      </c>
      <c r="M503" s="3">
        <v>14</v>
      </c>
      <c r="N503" s="3">
        <v>14</v>
      </c>
      <c r="O503" s="3">
        <v>4</v>
      </c>
      <c r="P503" s="11">
        <f>Clean_Data[[#This Row],[Quantity]]*Clean_Data[[#This Row],[UnitPrice]]</f>
        <v>580</v>
      </c>
      <c r="Q503" s="11">
        <f>ROUND(Clean_Data[[#This Row],[GrossSales]]*Clean_Data[[#This Row],[DiscountPct]],2)</f>
        <v>29</v>
      </c>
      <c r="R503" s="11">
        <f>IF(Clean_Data[[#This Row],[Status]]="Delivered",ROUND(Clean_Data[[#This Row],[GrossSales]]-Clean_Data[[#This Row],[DiscountAmount]],2),0)</f>
        <v>551</v>
      </c>
      <c r="S503" s="3" t="str">
        <f>IF(Clean_Data[[#This Row],[OrderHour]]&lt;6,"Night",IF(Clean_Data[[#This Row],[OrderHour]]&lt;12,"Morning",IF(Clean_Data[[#This Row],[OrderHour]]&lt;18,"Afternoon","Evening")))</f>
        <v>Evening</v>
      </c>
      <c r="T503" s="3" t="str">
        <f>TEXT(Clean_Data[[#This Row],[OrderDate]],"[$-409]ddd")</f>
        <v>Thu</v>
      </c>
      <c r="U503" s="3">
        <f>WEEKDAY(Clean_Data[[#This Row],[OrderDate]],2)</f>
        <v>4</v>
      </c>
      <c r="V503" s="3">
        <f>INT(Clean_Data[[#This Row],[OrderHour]]/6)+1</f>
        <v>4</v>
      </c>
      <c r="W503" s="3">
        <f>IF(Clean_Data[[#This Row],[Status]]="Delivered",1,0)</f>
        <v>1</v>
      </c>
      <c r="X503" s="3">
        <f>IF(Clean_Data[[#This Row],[Status]]="Delivered",IF(Clean_Data[[#This Row],[DeliveryMinutes]]&lt;=Dashboard!$X$5,1,0),0)</f>
        <v>1</v>
      </c>
      <c r="Y5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3" s="3">
        <f>IF(AND(Clean_Data[[#This Row],[Include]]=1,Clean_Data[[#This Row],[DeliveredFlag]]=1),1,0)</f>
        <v>1</v>
      </c>
      <c r="AA503" s="1">
        <f>IF(COUNTIF($D$2:D503,D503)=1,ROW()-1,ROWS(Clean_Data[OrderID])+1)</f>
        <v>901</v>
      </c>
      <c r="AB503" s="1">
        <f>IF(COUNTIF($F$2:F503,F503)=1,ROW()-1,ROWS(Clean_Data[OrderID])+1)</f>
        <v>901</v>
      </c>
      <c r="AC503" s="1">
        <f>IF(COUNTIF($G$2:G503,G503)=1,ROW()-1,ROWS(Clean_Data[OrderID])+1)</f>
        <v>901</v>
      </c>
      <c r="AD503" s="1">
        <f>IF(COUNTIF($H$2:H503,H503)=1,ROW()-1,ROWS(Clean_Data[OrderID])+1)</f>
        <v>901</v>
      </c>
      <c r="AE503" s="1">
        <f>IF(COUNTIF($V$2:V503,V503)=1,V503,ROWS(Clean_Data[OrderID])+1)</f>
        <v>901</v>
      </c>
      <c r="AF503" s="1">
        <f>IF(COUNTIF($U$2:U503,U503)=1,U503,ROWS(Clean_Data[OrderID])+1)</f>
        <v>901</v>
      </c>
      <c r="AG503" s="1">
        <f>IF(COUNTIF($E$2:E503,E503)=1,ROW()-1,ROWS(Clean_Data[OrderID])+1)</f>
        <v>901</v>
      </c>
    </row>
    <row r="504" spans="1:33" ht="20" customHeight="1">
      <c r="A504" s="3" t="s">
        <v>873</v>
      </c>
      <c r="B504" s="2">
        <v>46282</v>
      </c>
      <c r="C504" s="3">
        <v>7</v>
      </c>
      <c r="D504" s="3" t="s">
        <v>376</v>
      </c>
      <c r="E504" s="3" t="s">
        <v>117</v>
      </c>
      <c r="F504" s="3" t="s">
        <v>98</v>
      </c>
      <c r="G504" s="3" t="s">
        <v>122</v>
      </c>
      <c r="H504" s="3" t="s">
        <v>123</v>
      </c>
      <c r="I504" s="3">
        <v>4</v>
      </c>
      <c r="J504" s="11">
        <v>45</v>
      </c>
      <c r="K504" s="4">
        <v>0.05</v>
      </c>
      <c r="L504" s="3" t="s">
        <v>95</v>
      </c>
      <c r="M504" s="3">
        <v>30</v>
      </c>
      <c r="N504" s="3">
        <v>13</v>
      </c>
      <c r="O504" s="3">
        <v>5</v>
      </c>
      <c r="P504" s="11">
        <f>Clean_Data[[#This Row],[Quantity]]*Clean_Data[[#This Row],[UnitPrice]]</f>
        <v>180</v>
      </c>
      <c r="Q504" s="11">
        <f>ROUND(Clean_Data[[#This Row],[GrossSales]]*Clean_Data[[#This Row],[DiscountPct]],2)</f>
        <v>9</v>
      </c>
      <c r="R504" s="11">
        <f>IF(Clean_Data[[#This Row],[Status]]="Delivered",ROUND(Clean_Data[[#This Row],[GrossSales]]-Clean_Data[[#This Row],[DiscountAmount]],2),0)</f>
        <v>171</v>
      </c>
      <c r="S504" s="3" t="str">
        <f>IF(Clean_Data[[#This Row],[OrderHour]]&lt;6,"Night",IF(Clean_Data[[#This Row],[OrderHour]]&lt;12,"Morning",IF(Clean_Data[[#This Row],[OrderHour]]&lt;18,"Afternoon","Evening")))</f>
        <v>Morning</v>
      </c>
      <c r="T504" s="3" t="str">
        <f>TEXT(Clean_Data[[#This Row],[OrderDate]],"[$-409]ddd")</f>
        <v>Thu</v>
      </c>
      <c r="U504" s="3">
        <f>WEEKDAY(Clean_Data[[#This Row],[OrderDate]],2)</f>
        <v>4</v>
      </c>
      <c r="V504" s="3">
        <f>INT(Clean_Data[[#This Row],[OrderHour]]/6)+1</f>
        <v>2</v>
      </c>
      <c r="W504" s="3">
        <f>IF(Clean_Data[[#This Row],[Status]]="Delivered",1,0)</f>
        <v>1</v>
      </c>
      <c r="X504" s="3">
        <f>IF(Clean_Data[[#This Row],[Status]]="Delivered",IF(Clean_Data[[#This Row],[DeliveryMinutes]]&lt;=Dashboard!$X$5,1,0),0)</f>
        <v>1</v>
      </c>
      <c r="Y5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4" s="3">
        <f>IF(AND(Clean_Data[[#This Row],[Include]]=1,Clean_Data[[#This Row],[DeliveredFlag]]=1),1,0)</f>
        <v>1</v>
      </c>
      <c r="AA504" s="1">
        <f>IF(COUNTIF($D$2:D504,D504)=1,ROW()-1,ROWS(Clean_Data[OrderID])+1)</f>
        <v>901</v>
      </c>
      <c r="AB504" s="1">
        <f>IF(COUNTIF($F$2:F504,F504)=1,ROW()-1,ROWS(Clean_Data[OrderID])+1)</f>
        <v>901</v>
      </c>
      <c r="AC504" s="1">
        <f>IF(COUNTIF($G$2:G504,G504)=1,ROW()-1,ROWS(Clean_Data[OrderID])+1)</f>
        <v>901</v>
      </c>
      <c r="AD504" s="1">
        <f>IF(COUNTIF($H$2:H504,H504)=1,ROW()-1,ROWS(Clean_Data[OrderID])+1)</f>
        <v>901</v>
      </c>
      <c r="AE504" s="1">
        <f>IF(COUNTIF($V$2:V504,V504)=1,V504,ROWS(Clean_Data[OrderID])+1)</f>
        <v>901</v>
      </c>
      <c r="AF504" s="1">
        <f>IF(COUNTIF($U$2:U504,U504)=1,U504,ROWS(Clean_Data[OrderID])+1)</f>
        <v>901</v>
      </c>
      <c r="AG504" s="1">
        <f>IF(COUNTIF($E$2:E504,E504)=1,ROW()-1,ROWS(Clean_Data[OrderID])+1)</f>
        <v>901</v>
      </c>
    </row>
    <row r="505" spans="1:33" ht="20" customHeight="1">
      <c r="A505" s="3" t="s">
        <v>874</v>
      </c>
      <c r="B505" s="2">
        <v>46282</v>
      </c>
      <c r="C505" s="3">
        <v>12</v>
      </c>
      <c r="D505" s="3" t="s">
        <v>125</v>
      </c>
      <c r="E505" s="3" t="s">
        <v>91</v>
      </c>
      <c r="F505" s="3" t="s">
        <v>109</v>
      </c>
      <c r="G505" s="3" t="s">
        <v>135</v>
      </c>
      <c r="H505" s="3" t="s">
        <v>162</v>
      </c>
      <c r="I505" s="3">
        <v>3</v>
      </c>
      <c r="J505" s="11">
        <v>180</v>
      </c>
      <c r="K505" s="4">
        <v>0.1</v>
      </c>
      <c r="L505" s="3" t="s">
        <v>95</v>
      </c>
      <c r="M505" s="3">
        <v>18</v>
      </c>
      <c r="N505" s="3">
        <v>12</v>
      </c>
      <c r="O505" s="3">
        <v>4</v>
      </c>
      <c r="P505" s="11">
        <f>Clean_Data[[#This Row],[Quantity]]*Clean_Data[[#This Row],[UnitPrice]]</f>
        <v>540</v>
      </c>
      <c r="Q505" s="11">
        <f>ROUND(Clean_Data[[#This Row],[GrossSales]]*Clean_Data[[#This Row],[DiscountPct]],2)</f>
        <v>54</v>
      </c>
      <c r="R505" s="11">
        <f>IF(Clean_Data[[#This Row],[Status]]="Delivered",ROUND(Clean_Data[[#This Row],[GrossSales]]-Clean_Data[[#This Row],[DiscountAmount]],2),0)</f>
        <v>486</v>
      </c>
      <c r="S505" s="3" t="str">
        <f>IF(Clean_Data[[#This Row],[OrderHour]]&lt;6,"Night",IF(Clean_Data[[#This Row],[OrderHour]]&lt;12,"Morning",IF(Clean_Data[[#This Row],[OrderHour]]&lt;18,"Afternoon","Evening")))</f>
        <v>Afternoon</v>
      </c>
      <c r="T505" s="3" t="str">
        <f>TEXT(Clean_Data[[#This Row],[OrderDate]],"[$-409]ddd")</f>
        <v>Thu</v>
      </c>
      <c r="U505" s="3">
        <f>WEEKDAY(Clean_Data[[#This Row],[OrderDate]],2)</f>
        <v>4</v>
      </c>
      <c r="V505" s="3">
        <f>INT(Clean_Data[[#This Row],[OrderHour]]/6)+1</f>
        <v>3</v>
      </c>
      <c r="W505" s="3">
        <f>IF(Clean_Data[[#This Row],[Status]]="Delivered",1,0)</f>
        <v>1</v>
      </c>
      <c r="X505" s="3">
        <f>IF(Clean_Data[[#This Row],[Status]]="Delivered",IF(Clean_Data[[#This Row],[DeliveryMinutes]]&lt;=Dashboard!$X$5,1,0),0)</f>
        <v>1</v>
      </c>
      <c r="Y5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5" s="3">
        <f>IF(AND(Clean_Data[[#This Row],[Include]]=1,Clean_Data[[#This Row],[DeliveredFlag]]=1),1,0)</f>
        <v>1</v>
      </c>
      <c r="AA505" s="1">
        <f>IF(COUNTIF($D$2:D505,D505)=1,ROW()-1,ROWS(Clean_Data[OrderID])+1)</f>
        <v>901</v>
      </c>
      <c r="AB505" s="1">
        <f>IF(COUNTIF($F$2:F505,F505)=1,ROW()-1,ROWS(Clean_Data[OrderID])+1)</f>
        <v>901</v>
      </c>
      <c r="AC505" s="1">
        <f>IF(COUNTIF($G$2:G505,G505)=1,ROW()-1,ROWS(Clean_Data[OrderID])+1)</f>
        <v>901</v>
      </c>
      <c r="AD505" s="1">
        <f>IF(COUNTIF($H$2:H505,H505)=1,ROW()-1,ROWS(Clean_Data[OrderID])+1)</f>
        <v>901</v>
      </c>
      <c r="AE505" s="1">
        <f>IF(COUNTIF($V$2:V505,V505)=1,V505,ROWS(Clean_Data[OrderID])+1)</f>
        <v>901</v>
      </c>
      <c r="AF505" s="1">
        <f>IF(COUNTIF($U$2:U505,U505)=1,U505,ROWS(Clean_Data[OrderID])+1)</f>
        <v>901</v>
      </c>
      <c r="AG505" s="1">
        <f>IF(COUNTIF($E$2:E505,E505)=1,ROW()-1,ROWS(Clean_Data[OrderID])+1)</f>
        <v>901</v>
      </c>
    </row>
    <row r="506" spans="1:33" ht="20" customHeight="1">
      <c r="A506" s="3" t="s">
        <v>875</v>
      </c>
      <c r="B506" s="2">
        <v>46282</v>
      </c>
      <c r="C506" s="3">
        <v>23</v>
      </c>
      <c r="D506" s="3" t="s">
        <v>155</v>
      </c>
      <c r="E506" s="3" t="s">
        <v>91</v>
      </c>
      <c r="F506" s="3" t="s">
        <v>139</v>
      </c>
      <c r="G506" s="3" t="s">
        <v>99</v>
      </c>
      <c r="H506" s="3" t="s">
        <v>130</v>
      </c>
      <c r="I506" s="3">
        <v>4</v>
      </c>
      <c r="J506" s="11">
        <v>85</v>
      </c>
      <c r="K506" s="4">
        <v>0.1</v>
      </c>
      <c r="L506" s="3" t="s">
        <v>95</v>
      </c>
      <c r="M506" s="3">
        <v>31</v>
      </c>
      <c r="N506" s="3">
        <v>9</v>
      </c>
      <c r="O506" s="3">
        <v>5</v>
      </c>
      <c r="P506" s="11">
        <f>Clean_Data[[#This Row],[Quantity]]*Clean_Data[[#This Row],[UnitPrice]]</f>
        <v>340</v>
      </c>
      <c r="Q506" s="11">
        <f>ROUND(Clean_Data[[#This Row],[GrossSales]]*Clean_Data[[#This Row],[DiscountPct]],2)</f>
        <v>34</v>
      </c>
      <c r="R506" s="11">
        <f>IF(Clean_Data[[#This Row],[Status]]="Delivered",ROUND(Clean_Data[[#This Row],[GrossSales]]-Clean_Data[[#This Row],[DiscountAmount]],2),0)</f>
        <v>306</v>
      </c>
      <c r="S506" s="3" t="str">
        <f>IF(Clean_Data[[#This Row],[OrderHour]]&lt;6,"Night",IF(Clean_Data[[#This Row],[OrderHour]]&lt;12,"Morning",IF(Clean_Data[[#This Row],[OrderHour]]&lt;18,"Afternoon","Evening")))</f>
        <v>Evening</v>
      </c>
      <c r="T506" s="3" t="str">
        <f>TEXT(Clean_Data[[#This Row],[OrderDate]],"[$-409]ddd")</f>
        <v>Thu</v>
      </c>
      <c r="U506" s="3">
        <f>WEEKDAY(Clean_Data[[#This Row],[OrderDate]],2)</f>
        <v>4</v>
      </c>
      <c r="V506" s="3">
        <f>INT(Clean_Data[[#This Row],[OrderHour]]/6)+1</f>
        <v>4</v>
      </c>
      <c r="W506" s="3">
        <f>IF(Clean_Data[[#This Row],[Status]]="Delivered",1,0)</f>
        <v>1</v>
      </c>
      <c r="X506" s="3">
        <f>IF(Clean_Data[[#This Row],[Status]]="Delivered",IF(Clean_Data[[#This Row],[DeliveryMinutes]]&lt;=Dashboard!$X$5,1,0),0)</f>
        <v>0</v>
      </c>
      <c r="Y5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6" s="3">
        <f>IF(AND(Clean_Data[[#This Row],[Include]]=1,Clean_Data[[#This Row],[DeliveredFlag]]=1),1,0)</f>
        <v>1</v>
      </c>
      <c r="AA506" s="1">
        <f>IF(COUNTIF($D$2:D506,D506)=1,ROW()-1,ROWS(Clean_Data[OrderID])+1)</f>
        <v>901</v>
      </c>
      <c r="AB506" s="1">
        <f>IF(COUNTIF($F$2:F506,F506)=1,ROW()-1,ROWS(Clean_Data[OrderID])+1)</f>
        <v>901</v>
      </c>
      <c r="AC506" s="1">
        <f>IF(COUNTIF($G$2:G506,G506)=1,ROW()-1,ROWS(Clean_Data[OrderID])+1)</f>
        <v>901</v>
      </c>
      <c r="AD506" s="1">
        <f>IF(COUNTIF($H$2:H506,H506)=1,ROW()-1,ROWS(Clean_Data[OrderID])+1)</f>
        <v>901</v>
      </c>
      <c r="AE506" s="1">
        <f>IF(COUNTIF($V$2:V506,V506)=1,V506,ROWS(Clean_Data[OrderID])+1)</f>
        <v>901</v>
      </c>
      <c r="AF506" s="1">
        <f>IF(COUNTIF($U$2:U506,U506)=1,U506,ROWS(Clean_Data[OrderID])+1)</f>
        <v>901</v>
      </c>
      <c r="AG506" s="1">
        <f>IF(COUNTIF($E$2:E506,E506)=1,ROW()-1,ROWS(Clean_Data[OrderID])+1)</f>
        <v>901</v>
      </c>
    </row>
    <row r="507" spans="1:33" ht="20" customHeight="1">
      <c r="A507" s="3" t="s">
        <v>876</v>
      </c>
      <c r="B507" s="2">
        <v>46282</v>
      </c>
      <c r="C507" s="3">
        <v>14</v>
      </c>
      <c r="D507" s="3" t="s">
        <v>262</v>
      </c>
      <c r="E507" s="3" t="s">
        <v>117</v>
      </c>
      <c r="F507" s="3" t="s">
        <v>121</v>
      </c>
      <c r="G507" s="3" t="s">
        <v>99</v>
      </c>
      <c r="H507" s="3" t="s">
        <v>100</v>
      </c>
      <c r="I507" s="3">
        <v>1</v>
      </c>
      <c r="J507" s="11">
        <v>120</v>
      </c>
      <c r="K507" s="4">
        <v>0.15</v>
      </c>
      <c r="L507" s="3" t="s">
        <v>95</v>
      </c>
      <c r="M507" s="3">
        <v>27</v>
      </c>
      <c r="N507" s="3">
        <v>5</v>
      </c>
      <c r="O507" s="3">
        <v>4</v>
      </c>
      <c r="P507" s="11">
        <f>Clean_Data[[#This Row],[Quantity]]*Clean_Data[[#This Row],[UnitPrice]]</f>
        <v>120</v>
      </c>
      <c r="Q507" s="11">
        <f>ROUND(Clean_Data[[#This Row],[GrossSales]]*Clean_Data[[#This Row],[DiscountPct]],2)</f>
        <v>18</v>
      </c>
      <c r="R507" s="11">
        <f>IF(Clean_Data[[#This Row],[Status]]="Delivered",ROUND(Clean_Data[[#This Row],[GrossSales]]-Clean_Data[[#This Row],[DiscountAmount]],2),0)</f>
        <v>102</v>
      </c>
      <c r="S507" s="3" t="str">
        <f>IF(Clean_Data[[#This Row],[OrderHour]]&lt;6,"Night",IF(Clean_Data[[#This Row],[OrderHour]]&lt;12,"Morning",IF(Clean_Data[[#This Row],[OrderHour]]&lt;18,"Afternoon","Evening")))</f>
        <v>Afternoon</v>
      </c>
      <c r="T507" s="3" t="str">
        <f>TEXT(Clean_Data[[#This Row],[OrderDate]],"[$-409]ddd")</f>
        <v>Thu</v>
      </c>
      <c r="U507" s="3">
        <f>WEEKDAY(Clean_Data[[#This Row],[OrderDate]],2)</f>
        <v>4</v>
      </c>
      <c r="V507" s="3">
        <f>INT(Clean_Data[[#This Row],[OrderHour]]/6)+1</f>
        <v>3</v>
      </c>
      <c r="W507" s="3">
        <f>IF(Clean_Data[[#This Row],[Status]]="Delivered",1,0)</f>
        <v>1</v>
      </c>
      <c r="X507" s="3">
        <f>IF(Clean_Data[[#This Row],[Status]]="Delivered",IF(Clean_Data[[#This Row],[DeliveryMinutes]]&lt;=Dashboard!$X$5,1,0),0)</f>
        <v>1</v>
      </c>
      <c r="Y5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7" s="3">
        <f>IF(AND(Clean_Data[[#This Row],[Include]]=1,Clean_Data[[#This Row],[DeliveredFlag]]=1),1,0)</f>
        <v>1</v>
      </c>
      <c r="AA507" s="1">
        <f>IF(COUNTIF($D$2:D507,D507)=1,ROW()-1,ROWS(Clean_Data[OrderID])+1)</f>
        <v>901</v>
      </c>
      <c r="AB507" s="1">
        <f>IF(COUNTIF($F$2:F507,F507)=1,ROW()-1,ROWS(Clean_Data[OrderID])+1)</f>
        <v>901</v>
      </c>
      <c r="AC507" s="1">
        <f>IF(COUNTIF($G$2:G507,G507)=1,ROW()-1,ROWS(Clean_Data[OrderID])+1)</f>
        <v>901</v>
      </c>
      <c r="AD507" s="1">
        <f>IF(COUNTIF($H$2:H507,H507)=1,ROW()-1,ROWS(Clean_Data[OrderID])+1)</f>
        <v>901</v>
      </c>
      <c r="AE507" s="1">
        <f>IF(COUNTIF($V$2:V507,V507)=1,V507,ROWS(Clean_Data[OrderID])+1)</f>
        <v>901</v>
      </c>
      <c r="AF507" s="1">
        <f>IF(COUNTIF($U$2:U507,U507)=1,U507,ROWS(Clean_Data[OrderID])+1)</f>
        <v>901</v>
      </c>
      <c r="AG507" s="1">
        <f>IF(COUNTIF($E$2:E507,E507)=1,ROW()-1,ROWS(Clean_Data[OrderID])+1)</f>
        <v>901</v>
      </c>
    </row>
    <row r="508" spans="1:33" ht="20" customHeight="1">
      <c r="A508" s="3" t="s">
        <v>877</v>
      </c>
      <c r="B508" s="2">
        <v>46282</v>
      </c>
      <c r="C508" s="3">
        <v>19</v>
      </c>
      <c r="D508" s="3" t="s">
        <v>201</v>
      </c>
      <c r="E508" s="3" t="s">
        <v>91</v>
      </c>
      <c r="F508" s="3" t="s">
        <v>121</v>
      </c>
      <c r="G508" s="3" t="s">
        <v>135</v>
      </c>
      <c r="H508" s="3" t="s">
        <v>217</v>
      </c>
      <c r="I508" s="3">
        <v>2</v>
      </c>
      <c r="J508" s="11">
        <v>65</v>
      </c>
      <c r="K508" s="4">
        <v>0.1</v>
      </c>
      <c r="L508" s="3" t="s">
        <v>95</v>
      </c>
      <c r="M508" s="3">
        <v>29</v>
      </c>
      <c r="N508" s="3">
        <v>12</v>
      </c>
      <c r="O508" s="3">
        <v>5</v>
      </c>
      <c r="P508" s="11">
        <f>Clean_Data[[#This Row],[Quantity]]*Clean_Data[[#This Row],[UnitPrice]]</f>
        <v>130</v>
      </c>
      <c r="Q508" s="11">
        <f>ROUND(Clean_Data[[#This Row],[GrossSales]]*Clean_Data[[#This Row],[DiscountPct]],2)</f>
        <v>13</v>
      </c>
      <c r="R508" s="11">
        <f>IF(Clean_Data[[#This Row],[Status]]="Delivered",ROUND(Clean_Data[[#This Row],[GrossSales]]-Clean_Data[[#This Row],[DiscountAmount]],2),0)</f>
        <v>117</v>
      </c>
      <c r="S508" s="3" t="str">
        <f>IF(Clean_Data[[#This Row],[OrderHour]]&lt;6,"Night",IF(Clean_Data[[#This Row],[OrderHour]]&lt;12,"Morning",IF(Clean_Data[[#This Row],[OrderHour]]&lt;18,"Afternoon","Evening")))</f>
        <v>Evening</v>
      </c>
      <c r="T508" s="3" t="str">
        <f>TEXT(Clean_Data[[#This Row],[OrderDate]],"[$-409]ddd")</f>
        <v>Thu</v>
      </c>
      <c r="U508" s="3">
        <f>WEEKDAY(Clean_Data[[#This Row],[OrderDate]],2)</f>
        <v>4</v>
      </c>
      <c r="V508" s="3">
        <f>INT(Clean_Data[[#This Row],[OrderHour]]/6)+1</f>
        <v>4</v>
      </c>
      <c r="W508" s="3">
        <f>IF(Clean_Data[[#This Row],[Status]]="Delivered",1,0)</f>
        <v>1</v>
      </c>
      <c r="X508" s="3">
        <f>IF(Clean_Data[[#This Row],[Status]]="Delivered",IF(Clean_Data[[#This Row],[DeliveryMinutes]]&lt;=Dashboard!$X$5,1,0),0)</f>
        <v>1</v>
      </c>
      <c r="Y5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8" s="3">
        <f>IF(AND(Clean_Data[[#This Row],[Include]]=1,Clean_Data[[#This Row],[DeliveredFlag]]=1),1,0)</f>
        <v>1</v>
      </c>
      <c r="AA508" s="1">
        <f>IF(COUNTIF($D$2:D508,D508)=1,ROW()-1,ROWS(Clean_Data[OrderID])+1)</f>
        <v>901</v>
      </c>
      <c r="AB508" s="1">
        <f>IF(COUNTIF($F$2:F508,F508)=1,ROW()-1,ROWS(Clean_Data[OrderID])+1)</f>
        <v>901</v>
      </c>
      <c r="AC508" s="1">
        <f>IF(COUNTIF($G$2:G508,G508)=1,ROW()-1,ROWS(Clean_Data[OrderID])+1)</f>
        <v>901</v>
      </c>
      <c r="AD508" s="1">
        <f>IF(COUNTIF($H$2:H508,H508)=1,ROW()-1,ROWS(Clean_Data[OrderID])+1)</f>
        <v>901</v>
      </c>
      <c r="AE508" s="1">
        <f>IF(COUNTIF($V$2:V508,V508)=1,V508,ROWS(Clean_Data[OrderID])+1)</f>
        <v>901</v>
      </c>
      <c r="AF508" s="1">
        <f>IF(COUNTIF($U$2:U508,U508)=1,U508,ROWS(Clean_Data[OrderID])+1)</f>
        <v>901</v>
      </c>
      <c r="AG508" s="1">
        <f>IF(COUNTIF($E$2:E508,E508)=1,ROW()-1,ROWS(Clean_Data[OrderID])+1)</f>
        <v>901</v>
      </c>
    </row>
    <row r="509" spans="1:33" ht="20" customHeight="1">
      <c r="A509" s="3" t="s">
        <v>878</v>
      </c>
      <c r="B509" s="2">
        <v>46282</v>
      </c>
      <c r="C509" s="3">
        <v>14</v>
      </c>
      <c r="D509" s="3" t="s">
        <v>833</v>
      </c>
      <c r="E509" s="3" t="s">
        <v>91</v>
      </c>
      <c r="F509" s="3" t="s">
        <v>109</v>
      </c>
      <c r="G509" s="3" t="s">
        <v>93</v>
      </c>
      <c r="H509" s="3" t="s">
        <v>118</v>
      </c>
      <c r="I509" s="3">
        <v>2</v>
      </c>
      <c r="J509" s="11">
        <v>45</v>
      </c>
      <c r="K509" s="4">
        <v>0.15</v>
      </c>
      <c r="L509" s="3" t="s">
        <v>101</v>
      </c>
      <c r="M509" s="3"/>
      <c r="N509" s="3"/>
      <c r="O509" s="3"/>
      <c r="P509" s="11">
        <f>Clean_Data[[#This Row],[Quantity]]*Clean_Data[[#This Row],[UnitPrice]]</f>
        <v>90</v>
      </c>
      <c r="Q509" s="11">
        <f>ROUND(Clean_Data[[#This Row],[GrossSales]]*Clean_Data[[#This Row],[DiscountPct]],2)</f>
        <v>13.5</v>
      </c>
      <c r="R509" s="11">
        <f>IF(Clean_Data[[#This Row],[Status]]="Delivered",ROUND(Clean_Data[[#This Row],[GrossSales]]-Clean_Data[[#This Row],[DiscountAmount]],2),0)</f>
        <v>0</v>
      </c>
      <c r="S509" s="3" t="str">
        <f>IF(Clean_Data[[#This Row],[OrderHour]]&lt;6,"Night",IF(Clean_Data[[#This Row],[OrderHour]]&lt;12,"Morning",IF(Clean_Data[[#This Row],[OrderHour]]&lt;18,"Afternoon","Evening")))</f>
        <v>Afternoon</v>
      </c>
      <c r="T509" s="3" t="str">
        <f>TEXT(Clean_Data[[#This Row],[OrderDate]],"[$-409]ddd")</f>
        <v>Thu</v>
      </c>
      <c r="U509" s="3">
        <f>WEEKDAY(Clean_Data[[#This Row],[OrderDate]],2)</f>
        <v>4</v>
      </c>
      <c r="V509" s="3">
        <f>INT(Clean_Data[[#This Row],[OrderHour]]/6)+1</f>
        <v>3</v>
      </c>
      <c r="W509" s="3">
        <f>IF(Clean_Data[[#This Row],[Status]]="Delivered",1,0)</f>
        <v>0</v>
      </c>
      <c r="X509" s="3">
        <f>IF(Clean_Data[[#This Row],[Status]]="Delivered",IF(Clean_Data[[#This Row],[DeliveryMinutes]]&lt;=Dashboard!$X$5,1,0),0)</f>
        <v>0</v>
      </c>
      <c r="Y5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09" s="3">
        <f>IF(AND(Clean_Data[[#This Row],[Include]]=1,Clean_Data[[#This Row],[DeliveredFlag]]=1),1,0)</f>
        <v>0</v>
      </c>
      <c r="AA509" s="1">
        <f>IF(COUNTIF($D$2:D509,D509)=1,ROW()-1,ROWS(Clean_Data[OrderID])+1)</f>
        <v>901</v>
      </c>
      <c r="AB509" s="1">
        <f>IF(COUNTIF($F$2:F509,F509)=1,ROW()-1,ROWS(Clean_Data[OrderID])+1)</f>
        <v>901</v>
      </c>
      <c r="AC509" s="1">
        <f>IF(COUNTIF($G$2:G509,G509)=1,ROW()-1,ROWS(Clean_Data[OrderID])+1)</f>
        <v>901</v>
      </c>
      <c r="AD509" s="1">
        <f>IF(COUNTIF($H$2:H509,H509)=1,ROW()-1,ROWS(Clean_Data[OrderID])+1)</f>
        <v>901</v>
      </c>
      <c r="AE509" s="1">
        <f>IF(COUNTIF($V$2:V509,V509)=1,V509,ROWS(Clean_Data[OrderID])+1)</f>
        <v>901</v>
      </c>
      <c r="AF509" s="1">
        <f>IF(COUNTIF($U$2:U509,U509)=1,U509,ROWS(Clean_Data[OrderID])+1)</f>
        <v>901</v>
      </c>
      <c r="AG509" s="1">
        <f>IF(COUNTIF($E$2:E509,E509)=1,ROW()-1,ROWS(Clean_Data[OrderID])+1)</f>
        <v>901</v>
      </c>
    </row>
    <row r="510" spans="1:33" ht="20" customHeight="1">
      <c r="A510" s="3" t="s">
        <v>879</v>
      </c>
      <c r="B510" s="2">
        <v>46282</v>
      </c>
      <c r="C510" s="3">
        <v>20</v>
      </c>
      <c r="D510" s="3" t="s">
        <v>401</v>
      </c>
      <c r="E510" s="3" t="s">
        <v>91</v>
      </c>
      <c r="F510" s="3" t="s">
        <v>98</v>
      </c>
      <c r="G510" s="3" t="s">
        <v>93</v>
      </c>
      <c r="H510" s="3" t="s">
        <v>118</v>
      </c>
      <c r="I510" s="3">
        <v>2</v>
      </c>
      <c r="J510" s="11">
        <v>45</v>
      </c>
      <c r="K510" s="4">
        <v>0.05</v>
      </c>
      <c r="L510" s="3" t="s">
        <v>95</v>
      </c>
      <c r="M510" s="3">
        <v>33</v>
      </c>
      <c r="N510" s="3">
        <v>7</v>
      </c>
      <c r="O510" s="3">
        <v>5</v>
      </c>
      <c r="P510" s="11">
        <f>Clean_Data[[#This Row],[Quantity]]*Clean_Data[[#This Row],[UnitPrice]]</f>
        <v>90</v>
      </c>
      <c r="Q510" s="11">
        <f>ROUND(Clean_Data[[#This Row],[GrossSales]]*Clean_Data[[#This Row],[DiscountPct]],2)</f>
        <v>4.5</v>
      </c>
      <c r="R510" s="11">
        <f>IF(Clean_Data[[#This Row],[Status]]="Delivered",ROUND(Clean_Data[[#This Row],[GrossSales]]-Clean_Data[[#This Row],[DiscountAmount]],2),0)</f>
        <v>85.5</v>
      </c>
      <c r="S510" s="3" t="str">
        <f>IF(Clean_Data[[#This Row],[OrderHour]]&lt;6,"Night",IF(Clean_Data[[#This Row],[OrderHour]]&lt;12,"Morning",IF(Clean_Data[[#This Row],[OrderHour]]&lt;18,"Afternoon","Evening")))</f>
        <v>Evening</v>
      </c>
      <c r="T510" s="3" t="str">
        <f>TEXT(Clean_Data[[#This Row],[OrderDate]],"[$-409]ddd")</f>
        <v>Thu</v>
      </c>
      <c r="U510" s="3">
        <f>WEEKDAY(Clean_Data[[#This Row],[OrderDate]],2)</f>
        <v>4</v>
      </c>
      <c r="V510" s="3">
        <f>INT(Clean_Data[[#This Row],[OrderHour]]/6)+1</f>
        <v>4</v>
      </c>
      <c r="W510" s="3">
        <f>IF(Clean_Data[[#This Row],[Status]]="Delivered",1,0)</f>
        <v>1</v>
      </c>
      <c r="X510" s="3">
        <f>IF(Clean_Data[[#This Row],[Status]]="Delivered",IF(Clean_Data[[#This Row],[DeliveryMinutes]]&lt;=Dashboard!$X$5,1,0),0)</f>
        <v>0</v>
      </c>
      <c r="Y5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0" s="3">
        <f>IF(AND(Clean_Data[[#This Row],[Include]]=1,Clean_Data[[#This Row],[DeliveredFlag]]=1),1,0)</f>
        <v>1</v>
      </c>
      <c r="AA510" s="1">
        <f>IF(COUNTIF($D$2:D510,D510)=1,ROW()-1,ROWS(Clean_Data[OrderID])+1)</f>
        <v>901</v>
      </c>
      <c r="AB510" s="1">
        <f>IF(COUNTIF($F$2:F510,F510)=1,ROW()-1,ROWS(Clean_Data[OrderID])+1)</f>
        <v>901</v>
      </c>
      <c r="AC510" s="1">
        <f>IF(COUNTIF($G$2:G510,G510)=1,ROW()-1,ROWS(Clean_Data[OrderID])+1)</f>
        <v>901</v>
      </c>
      <c r="AD510" s="1">
        <f>IF(COUNTIF($H$2:H510,H510)=1,ROW()-1,ROWS(Clean_Data[OrderID])+1)</f>
        <v>901</v>
      </c>
      <c r="AE510" s="1">
        <f>IF(COUNTIF($V$2:V510,V510)=1,V510,ROWS(Clean_Data[OrderID])+1)</f>
        <v>901</v>
      </c>
      <c r="AF510" s="1">
        <f>IF(COUNTIF($U$2:U510,U510)=1,U510,ROWS(Clean_Data[OrderID])+1)</f>
        <v>901</v>
      </c>
      <c r="AG510" s="1">
        <f>IF(COUNTIF($E$2:E510,E510)=1,ROW()-1,ROWS(Clean_Data[OrderID])+1)</f>
        <v>901</v>
      </c>
    </row>
    <row r="511" spans="1:33" ht="20" customHeight="1">
      <c r="A511" s="3" t="s">
        <v>880</v>
      </c>
      <c r="B511" s="2">
        <v>46282</v>
      </c>
      <c r="C511" s="3">
        <v>20</v>
      </c>
      <c r="D511" s="3" t="s">
        <v>881</v>
      </c>
      <c r="E511" s="3" t="s">
        <v>91</v>
      </c>
      <c r="F511" s="3" t="s">
        <v>121</v>
      </c>
      <c r="G511" s="3" t="s">
        <v>93</v>
      </c>
      <c r="H511" s="3" t="s">
        <v>146</v>
      </c>
      <c r="I511" s="3">
        <v>2</v>
      </c>
      <c r="J511" s="11">
        <v>110</v>
      </c>
      <c r="K511" s="4">
        <v>0</v>
      </c>
      <c r="L511" s="3" t="s">
        <v>95</v>
      </c>
      <c r="M511" s="3">
        <v>24</v>
      </c>
      <c r="N511" s="3">
        <v>11</v>
      </c>
      <c r="O511" s="3">
        <v>4</v>
      </c>
      <c r="P511" s="11">
        <f>Clean_Data[[#This Row],[Quantity]]*Clean_Data[[#This Row],[UnitPrice]]</f>
        <v>220</v>
      </c>
      <c r="Q511" s="11">
        <f>ROUND(Clean_Data[[#This Row],[GrossSales]]*Clean_Data[[#This Row],[DiscountPct]],2)</f>
        <v>0</v>
      </c>
      <c r="R511" s="11">
        <f>IF(Clean_Data[[#This Row],[Status]]="Delivered",ROUND(Clean_Data[[#This Row],[GrossSales]]-Clean_Data[[#This Row],[DiscountAmount]],2),0)</f>
        <v>220</v>
      </c>
      <c r="S511" s="3" t="str">
        <f>IF(Clean_Data[[#This Row],[OrderHour]]&lt;6,"Night",IF(Clean_Data[[#This Row],[OrderHour]]&lt;12,"Morning",IF(Clean_Data[[#This Row],[OrderHour]]&lt;18,"Afternoon","Evening")))</f>
        <v>Evening</v>
      </c>
      <c r="T511" s="3" t="str">
        <f>TEXT(Clean_Data[[#This Row],[OrderDate]],"[$-409]ddd")</f>
        <v>Thu</v>
      </c>
      <c r="U511" s="3">
        <f>WEEKDAY(Clean_Data[[#This Row],[OrderDate]],2)</f>
        <v>4</v>
      </c>
      <c r="V511" s="3">
        <f>INT(Clean_Data[[#This Row],[OrderHour]]/6)+1</f>
        <v>4</v>
      </c>
      <c r="W511" s="3">
        <f>IF(Clean_Data[[#This Row],[Status]]="Delivered",1,0)</f>
        <v>1</v>
      </c>
      <c r="X511" s="3">
        <f>IF(Clean_Data[[#This Row],[Status]]="Delivered",IF(Clean_Data[[#This Row],[DeliveryMinutes]]&lt;=Dashboard!$X$5,1,0),0)</f>
        <v>1</v>
      </c>
      <c r="Y5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1" s="3">
        <f>IF(AND(Clean_Data[[#This Row],[Include]]=1,Clean_Data[[#This Row],[DeliveredFlag]]=1),1,0)</f>
        <v>1</v>
      </c>
      <c r="AA511" s="1">
        <f>IF(COUNTIF($D$2:D511,D511)=1,ROW()-1,ROWS(Clean_Data[OrderID])+1)</f>
        <v>510</v>
      </c>
      <c r="AB511" s="1">
        <f>IF(COUNTIF($F$2:F511,F511)=1,ROW()-1,ROWS(Clean_Data[OrderID])+1)</f>
        <v>901</v>
      </c>
      <c r="AC511" s="1">
        <f>IF(COUNTIF($G$2:G511,G511)=1,ROW()-1,ROWS(Clean_Data[OrderID])+1)</f>
        <v>901</v>
      </c>
      <c r="AD511" s="1">
        <f>IF(COUNTIF($H$2:H511,H511)=1,ROW()-1,ROWS(Clean_Data[OrderID])+1)</f>
        <v>901</v>
      </c>
      <c r="AE511" s="1">
        <f>IF(COUNTIF($V$2:V511,V511)=1,V511,ROWS(Clean_Data[OrderID])+1)</f>
        <v>901</v>
      </c>
      <c r="AF511" s="1">
        <f>IF(COUNTIF($U$2:U511,U511)=1,U511,ROWS(Clean_Data[OrderID])+1)</f>
        <v>901</v>
      </c>
      <c r="AG511" s="1">
        <f>IF(COUNTIF($E$2:E511,E511)=1,ROW()-1,ROWS(Clean_Data[OrderID])+1)</f>
        <v>901</v>
      </c>
    </row>
    <row r="512" spans="1:33" ht="20" customHeight="1">
      <c r="A512" s="3" t="s">
        <v>882</v>
      </c>
      <c r="B512" s="2">
        <v>46283</v>
      </c>
      <c r="C512" s="3">
        <v>15</v>
      </c>
      <c r="D512" s="3" t="s">
        <v>242</v>
      </c>
      <c r="E512" s="3" t="s">
        <v>91</v>
      </c>
      <c r="F512" s="3" t="s">
        <v>139</v>
      </c>
      <c r="G512" s="3" t="s">
        <v>174</v>
      </c>
      <c r="H512" s="3" t="s">
        <v>175</v>
      </c>
      <c r="I512" s="3">
        <v>5</v>
      </c>
      <c r="J512" s="11">
        <v>155</v>
      </c>
      <c r="K512" s="4">
        <v>0</v>
      </c>
      <c r="L512" s="3" t="s">
        <v>95</v>
      </c>
      <c r="M512" s="3">
        <v>28</v>
      </c>
      <c r="N512" s="3">
        <v>6</v>
      </c>
      <c r="O512" s="3">
        <v>4</v>
      </c>
      <c r="P512" s="11">
        <f>Clean_Data[[#This Row],[Quantity]]*Clean_Data[[#This Row],[UnitPrice]]</f>
        <v>775</v>
      </c>
      <c r="Q512" s="11">
        <f>ROUND(Clean_Data[[#This Row],[GrossSales]]*Clean_Data[[#This Row],[DiscountPct]],2)</f>
        <v>0</v>
      </c>
      <c r="R512" s="11">
        <f>IF(Clean_Data[[#This Row],[Status]]="Delivered",ROUND(Clean_Data[[#This Row],[GrossSales]]-Clean_Data[[#This Row],[DiscountAmount]],2),0)</f>
        <v>775</v>
      </c>
      <c r="S512" s="3" t="str">
        <f>IF(Clean_Data[[#This Row],[OrderHour]]&lt;6,"Night",IF(Clean_Data[[#This Row],[OrderHour]]&lt;12,"Morning",IF(Clean_Data[[#This Row],[OrderHour]]&lt;18,"Afternoon","Evening")))</f>
        <v>Afternoon</v>
      </c>
      <c r="T512" s="3" t="str">
        <f>TEXT(Clean_Data[[#This Row],[OrderDate]],"[$-409]ddd")</f>
        <v>Fri</v>
      </c>
      <c r="U512" s="3">
        <f>WEEKDAY(Clean_Data[[#This Row],[OrderDate]],2)</f>
        <v>5</v>
      </c>
      <c r="V512" s="3">
        <f>INT(Clean_Data[[#This Row],[OrderHour]]/6)+1</f>
        <v>3</v>
      </c>
      <c r="W512" s="3">
        <f>IF(Clean_Data[[#This Row],[Status]]="Delivered",1,0)</f>
        <v>1</v>
      </c>
      <c r="X512" s="3">
        <f>IF(Clean_Data[[#This Row],[Status]]="Delivered",IF(Clean_Data[[#This Row],[DeliveryMinutes]]&lt;=Dashboard!$X$5,1,0),0)</f>
        <v>1</v>
      </c>
      <c r="Y5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2" s="3">
        <f>IF(AND(Clean_Data[[#This Row],[Include]]=1,Clean_Data[[#This Row],[DeliveredFlag]]=1),1,0)</f>
        <v>1</v>
      </c>
      <c r="AA512" s="1">
        <f>IF(COUNTIF($D$2:D512,D512)=1,ROW()-1,ROWS(Clean_Data[OrderID])+1)</f>
        <v>901</v>
      </c>
      <c r="AB512" s="1">
        <f>IF(COUNTIF($F$2:F512,F512)=1,ROW()-1,ROWS(Clean_Data[OrderID])+1)</f>
        <v>901</v>
      </c>
      <c r="AC512" s="1">
        <f>IF(COUNTIF($G$2:G512,G512)=1,ROW()-1,ROWS(Clean_Data[OrderID])+1)</f>
        <v>901</v>
      </c>
      <c r="AD512" s="1">
        <f>IF(COUNTIF($H$2:H512,H512)=1,ROW()-1,ROWS(Clean_Data[OrderID])+1)</f>
        <v>901</v>
      </c>
      <c r="AE512" s="1">
        <f>IF(COUNTIF($V$2:V512,V512)=1,V512,ROWS(Clean_Data[OrderID])+1)</f>
        <v>901</v>
      </c>
      <c r="AF512" s="1">
        <f>IF(COUNTIF($U$2:U512,U512)=1,U512,ROWS(Clean_Data[OrderID])+1)</f>
        <v>901</v>
      </c>
      <c r="AG512" s="1">
        <f>IF(COUNTIF($E$2:E512,E512)=1,ROW()-1,ROWS(Clean_Data[OrderID])+1)</f>
        <v>901</v>
      </c>
    </row>
    <row r="513" spans="1:33" ht="20" customHeight="1">
      <c r="A513" s="3" t="s">
        <v>883</v>
      </c>
      <c r="B513" s="2">
        <v>46283</v>
      </c>
      <c r="C513" s="3">
        <v>9</v>
      </c>
      <c r="D513" s="3" t="s">
        <v>411</v>
      </c>
      <c r="E513" s="3" t="s">
        <v>91</v>
      </c>
      <c r="F513" s="3" t="s">
        <v>109</v>
      </c>
      <c r="G513" s="3" t="s">
        <v>174</v>
      </c>
      <c r="H513" s="3" t="s">
        <v>175</v>
      </c>
      <c r="I513" s="3">
        <v>5</v>
      </c>
      <c r="J513" s="11">
        <v>155</v>
      </c>
      <c r="K513" s="4">
        <v>0.15</v>
      </c>
      <c r="L513" s="3" t="s">
        <v>95</v>
      </c>
      <c r="M513" s="3">
        <v>23</v>
      </c>
      <c r="N513" s="3">
        <v>10</v>
      </c>
      <c r="O513" s="3">
        <v>5</v>
      </c>
      <c r="P513" s="11">
        <f>Clean_Data[[#This Row],[Quantity]]*Clean_Data[[#This Row],[UnitPrice]]</f>
        <v>775</v>
      </c>
      <c r="Q513" s="11">
        <f>ROUND(Clean_Data[[#This Row],[GrossSales]]*Clean_Data[[#This Row],[DiscountPct]],2)</f>
        <v>116.25</v>
      </c>
      <c r="R513" s="11">
        <f>IF(Clean_Data[[#This Row],[Status]]="Delivered",ROUND(Clean_Data[[#This Row],[GrossSales]]-Clean_Data[[#This Row],[DiscountAmount]],2),0)</f>
        <v>658.75</v>
      </c>
      <c r="S513" s="3" t="str">
        <f>IF(Clean_Data[[#This Row],[OrderHour]]&lt;6,"Night",IF(Clean_Data[[#This Row],[OrderHour]]&lt;12,"Morning",IF(Clean_Data[[#This Row],[OrderHour]]&lt;18,"Afternoon","Evening")))</f>
        <v>Morning</v>
      </c>
      <c r="T513" s="3" t="str">
        <f>TEXT(Clean_Data[[#This Row],[OrderDate]],"[$-409]ddd")</f>
        <v>Fri</v>
      </c>
      <c r="U513" s="3">
        <f>WEEKDAY(Clean_Data[[#This Row],[OrderDate]],2)</f>
        <v>5</v>
      </c>
      <c r="V513" s="3">
        <f>INT(Clean_Data[[#This Row],[OrderHour]]/6)+1</f>
        <v>2</v>
      </c>
      <c r="W513" s="3">
        <f>IF(Clean_Data[[#This Row],[Status]]="Delivered",1,0)</f>
        <v>1</v>
      </c>
      <c r="X513" s="3">
        <f>IF(Clean_Data[[#This Row],[Status]]="Delivered",IF(Clean_Data[[#This Row],[DeliveryMinutes]]&lt;=Dashboard!$X$5,1,0),0)</f>
        <v>1</v>
      </c>
      <c r="Y5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3" s="3">
        <f>IF(AND(Clean_Data[[#This Row],[Include]]=1,Clean_Data[[#This Row],[DeliveredFlag]]=1),1,0)</f>
        <v>1</v>
      </c>
      <c r="AA513" s="1">
        <f>IF(COUNTIF($D$2:D513,D513)=1,ROW()-1,ROWS(Clean_Data[OrderID])+1)</f>
        <v>901</v>
      </c>
      <c r="AB513" s="1">
        <f>IF(COUNTIF($F$2:F513,F513)=1,ROW()-1,ROWS(Clean_Data[OrderID])+1)</f>
        <v>901</v>
      </c>
      <c r="AC513" s="1">
        <f>IF(COUNTIF($G$2:G513,G513)=1,ROW()-1,ROWS(Clean_Data[OrderID])+1)</f>
        <v>901</v>
      </c>
      <c r="AD513" s="1">
        <f>IF(COUNTIF($H$2:H513,H513)=1,ROW()-1,ROWS(Clean_Data[OrderID])+1)</f>
        <v>901</v>
      </c>
      <c r="AE513" s="1">
        <f>IF(COUNTIF($V$2:V513,V513)=1,V513,ROWS(Clean_Data[OrderID])+1)</f>
        <v>901</v>
      </c>
      <c r="AF513" s="1">
        <f>IF(COUNTIF($U$2:U513,U513)=1,U513,ROWS(Clean_Data[OrderID])+1)</f>
        <v>901</v>
      </c>
      <c r="AG513" s="1">
        <f>IF(COUNTIF($E$2:E513,E513)=1,ROW()-1,ROWS(Clean_Data[OrderID])+1)</f>
        <v>901</v>
      </c>
    </row>
    <row r="514" spans="1:33" ht="20" customHeight="1">
      <c r="A514" s="3" t="s">
        <v>884</v>
      </c>
      <c r="B514" s="2">
        <v>46283</v>
      </c>
      <c r="C514" s="3">
        <v>17</v>
      </c>
      <c r="D514" s="3" t="s">
        <v>689</v>
      </c>
      <c r="E514" s="3" t="s">
        <v>91</v>
      </c>
      <c r="F514" s="3" t="s">
        <v>109</v>
      </c>
      <c r="G514" s="3" t="s">
        <v>135</v>
      </c>
      <c r="H514" s="3" t="s">
        <v>136</v>
      </c>
      <c r="I514" s="3">
        <v>4</v>
      </c>
      <c r="J514" s="11">
        <v>40</v>
      </c>
      <c r="K514" s="4">
        <v>0</v>
      </c>
      <c r="L514" s="3" t="s">
        <v>95</v>
      </c>
      <c r="M514" s="3">
        <v>13</v>
      </c>
      <c r="N514" s="3">
        <v>4</v>
      </c>
      <c r="O514" s="3">
        <v>3</v>
      </c>
      <c r="P514" s="11">
        <f>Clean_Data[[#This Row],[Quantity]]*Clean_Data[[#This Row],[UnitPrice]]</f>
        <v>160</v>
      </c>
      <c r="Q514" s="11">
        <f>ROUND(Clean_Data[[#This Row],[GrossSales]]*Clean_Data[[#This Row],[DiscountPct]],2)</f>
        <v>0</v>
      </c>
      <c r="R514" s="11">
        <f>IF(Clean_Data[[#This Row],[Status]]="Delivered",ROUND(Clean_Data[[#This Row],[GrossSales]]-Clean_Data[[#This Row],[DiscountAmount]],2),0)</f>
        <v>160</v>
      </c>
      <c r="S514" s="3" t="str">
        <f>IF(Clean_Data[[#This Row],[OrderHour]]&lt;6,"Night",IF(Clean_Data[[#This Row],[OrderHour]]&lt;12,"Morning",IF(Clean_Data[[#This Row],[OrderHour]]&lt;18,"Afternoon","Evening")))</f>
        <v>Afternoon</v>
      </c>
      <c r="T514" s="3" t="str">
        <f>TEXT(Clean_Data[[#This Row],[OrderDate]],"[$-409]ddd")</f>
        <v>Fri</v>
      </c>
      <c r="U514" s="3">
        <f>WEEKDAY(Clean_Data[[#This Row],[OrderDate]],2)</f>
        <v>5</v>
      </c>
      <c r="V514" s="3">
        <f>INT(Clean_Data[[#This Row],[OrderHour]]/6)+1</f>
        <v>3</v>
      </c>
      <c r="W514" s="3">
        <f>IF(Clean_Data[[#This Row],[Status]]="Delivered",1,0)</f>
        <v>1</v>
      </c>
      <c r="X514" s="3">
        <f>IF(Clean_Data[[#This Row],[Status]]="Delivered",IF(Clean_Data[[#This Row],[DeliveryMinutes]]&lt;=Dashboard!$X$5,1,0),0)</f>
        <v>1</v>
      </c>
      <c r="Y5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4" s="3">
        <f>IF(AND(Clean_Data[[#This Row],[Include]]=1,Clean_Data[[#This Row],[DeliveredFlag]]=1),1,0)</f>
        <v>1</v>
      </c>
      <c r="AA514" s="1">
        <f>IF(COUNTIF($D$2:D514,D514)=1,ROW()-1,ROWS(Clean_Data[OrderID])+1)</f>
        <v>901</v>
      </c>
      <c r="AB514" s="1">
        <f>IF(COUNTIF($F$2:F514,F514)=1,ROW()-1,ROWS(Clean_Data[OrderID])+1)</f>
        <v>901</v>
      </c>
      <c r="AC514" s="1">
        <f>IF(COUNTIF($G$2:G514,G514)=1,ROW()-1,ROWS(Clean_Data[OrderID])+1)</f>
        <v>901</v>
      </c>
      <c r="AD514" s="1">
        <f>IF(COUNTIF($H$2:H514,H514)=1,ROW()-1,ROWS(Clean_Data[OrderID])+1)</f>
        <v>901</v>
      </c>
      <c r="AE514" s="1">
        <f>IF(COUNTIF($V$2:V514,V514)=1,V514,ROWS(Clean_Data[OrderID])+1)</f>
        <v>901</v>
      </c>
      <c r="AF514" s="1">
        <f>IF(COUNTIF($U$2:U514,U514)=1,U514,ROWS(Clean_Data[OrderID])+1)</f>
        <v>901</v>
      </c>
      <c r="AG514" s="1">
        <f>IF(COUNTIF($E$2:E514,E514)=1,ROW()-1,ROWS(Clean_Data[OrderID])+1)</f>
        <v>901</v>
      </c>
    </row>
    <row r="515" spans="1:33" ht="20" customHeight="1">
      <c r="A515" s="3" t="s">
        <v>885</v>
      </c>
      <c r="B515" s="2">
        <v>46283</v>
      </c>
      <c r="C515" s="3">
        <v>12</v>
      </c>
      <c r="D515" s="3" t="s">
        <v>886</v>
      </c>
      <c r="E515" s="3" t="s">
        <v>91</v>
      </c>
      <c r="F515" s="3" t="s">
        <v>92</v>
      </c>
      <c r="G515" s="3" t="s">
        <v>174</v>
      </c>
      <c r="H515" s="3" t="s">
        <v>175</v>
      </c>
      <c r="I515" s="3">
        <v>2</v>
      </c>
      <c r="J515" s="11">
        <v>155</v>
      </c>
      <c r="K515" s="4">
        <v>0.15</v>
      </c>
      <c r="L515" s="3" t="s">
        <v>95</v>
      </c>
      <c r="M515" s="3">
        <v>36</v>
      </c>
      <c r="N515" s="3">
        <v>14</v>
      </c>
      <c r="O515" s="3">
        <v>4</v>
      </c>
      <c r="P515" s="11">
        <f>Clean_Data[[#This Row],[Quantity]]*Clean_Data[[#This Row],[UnitPrice]]</f>
        <v>310</v>
      </c>
      <c r="Q515" s="11">
        <f>ROUND(Clean_Data[[#This Row],[GrossSales]]*Clean_Data[[#This Row],[DiscountPct]],2)</f>
        <v>46.5</v>
      </c>
      <c r="R515" s="11">
        <f>IF(Clean_Data[[#This Row],[Status]]="Delivered",ROUND(Clean_Data[[#This Row],[GrossSales]]-Clean_Data[[#This Row],[DiscountAmount]],2),0)</f>
        <v>263.5</v>
      </c>
      <c r="S515" s="3" t="str">
        <f>IF(Clean_Data[[#This Row],[OrderHour]]&lt;6,"Night",IF(Clean_Data[[#This Row],[OrderHour]]&lt;12,"Morning",IF(Clean_Data[[#This Row],[OrderHour]]&lt;18,"Afternoon","Evening")))</f>
        <v>Afternoon</v>
      </c>
      <c r="T515" s="3" t="str">
        <f>TEXT(Clean_Data[[#This Row],[OrderDate]],"[$-409]ddd")</f>
        <v>Fri</v>
      </c>
      <c r="U515" s="3">
        <f>WEEKDAY(Clean_Data[[#This Row],[OrderDate]],2)</f>
        <v>5</v>
      </c>
      <c r="V515" s="3">
        <f>INT(Clean_Data[[#This Row],[OrderHour]]/6)+1</f>
        <v>3</v>
      </c>
      <c r="W515" s="3">
        <f>IF(Clean_Data[[#This Row],[Status]]="Delivered",1,0)</f>
        <v>1</v>
      </c>
      <c r="X515" s="3">
        <f>IF(Clean_Data[[#This Row],[Status]]="Delivered",IF(Clean_Data[[#This Row],[DeliveryMinutes]]&lt;=Dashboard!$X$5,1,0),0)</f>
        <v>0</v>
      </c>
      <c r="Y5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5" s="3">
        <f>IF(AND(Clean_Data[[#This Row],[Include]]=1,Clean_Data[[#This Row],[DeliveredFlag]]=1),1,0)</f>
        <v>1</v>
      </c>
      <c r="AA515" s="1">
        <f>IF(COUNTIF($D$2:D515,D515)=1,ROW()-1,ROWS(Clean_Data[OrderID])+1)</f>
        <v>514</v>
      </c>
      <c r="AB515" s="1">
        <f>IF(COUNTIF($F$2:F515,F515)=1,ROW()-1,ROWS(Clean_Data[OrderID])+1)</f>
        <v>901</v>
      </c>
      <c r="AC515" s="1">
        <f>IF(COUNTIF($G$2:G515,G515)=1,ROW()-1,ROWS(Clean_Data[OrderID])+1)</f>
        <v>901</v>
      </c>
      <c r="AD515" s="1">
        <f>IF(COUNTIF($H$2:H515,H515)=1,ROW()-1,ROWS(Clean_Data[OrderID])+1)</f>
        <v>901</v>
      </c>
      <c r="AE515" s="1">
        <f>IF(COUNTIF($V$2:V515,V515)=1,V515,ROWS(Clean_Data[OrderID])+1)</f>
        <v>901</v>
      </c>
      <c r="AF515" s="1">
        <f>IF(COUNTIF($U$2:U515,U515)=1,U515,ROWS(Clean_Data[OrderID])+1)</f>
        <v>901</v>
      </c>
      <c r="AG515" s="1">
        <f>IF(COUNTIF($E$2:E515,E515)=1,ROW()-1,ROWS(Clean_Data[OrderID])+1)</f>
        <v>901</v>
      </c>
    </row>
    <row r="516" spans="1:33" ht="20" customHeight="1">
      <c r="A516" s="3" t="s">
        <v>887</v>
      </c>
      <c r="B516" s="2">
        <v>46283</v>
      </c>
      <c r="C516" s="3">
        <v>22</v>
      </c>
      <c r="D516" s="3" t="s">
        <v>888</v>
      </c>
      <c r="E516" s="3" t="s">
        <v>91</v>
      </c>
      <c r="F516" s="3" t="s">
        <v>92</v>
      </c>
      <c r="G516" s="3" t="s">
        <v>135</v>
      </c>
      <c r="H516" s="3" t="s">
        <v>136</v>
      </c>
      <c r="I516" s="3">
        <v>1</v>
      </c>
      <c r="J516" s="11">
        <v>40</v>
      </c>
      <c r="K516" s="4">
        <v>0</v>
      </c>
      <c r="L516" s="3" t="s">
        <v>95</v>
      </c>
      <c r="M516" s="3">
        <v>30</v>
      </c>
      <c r="N516" s="3">
        <v>10</v>
      </c>
      <c r="O516" s="3">
        <v>4</v>
      </c>
      <c r="P516" s="11">
        <f>Clean_Data[[#This Row],[Quantity]]*Clean_Data[[#This Row],[UnitPrice]]</f>
        <v>40</v>
      </c>
      <c r="Q516" s="11">
        <f>ROUND(Clean_Data[[#This Row],[GrossSales]]*Clean_Data[[#This Row],[DiscountPct]],2)</f>
        <v>0</v>
      </c>
      <c r="R516" s="11">
        <f>IF(Clean_Data[[#This Row],[Status]]="Delivered",ROUND(Clean_Data[[#This Row],[GrossSales]]-Clean_Data[[#This Row],[DiscountAmount]],2),0)</f>
        <v>40</v>
      </c>
      <c r="S516" s="3" t="str">
        <f>IF(Clean_Data[[#This Row],[OrderHour]]&lt;6,"Night",IF(Clean_Data[[#This Row],[OrderHour]]&lt;12,"Morning",IF(Clean_Data[[#This Row],[OrderHour]]&lt;18,"Afternoon","Evening")))</f>
        <v>Evening</v>
      </c>
      <c r="T516" s="3" t="str">
        <f>TEXT(Clean_Data[[#This Row],[OrderDate]],"[$-409]ddd")</f>
        <v>Fri</v>
      </c>
      <c r="U516" s="3">
        <f>WEEKDAY(Clean_Data[[#This Row],[OrderDate]],2)</f>
        <v>5</v>
      </c>
      <c r="V516" s="3">
        <f>INT(Clean_Data[[#This Row],[OrderHour]]/6)+1</f>
        <v>4</v>
      </c>
      <c r="W516" s="3">
        <f>IF(Clean_Data[[#This Row],[Status]]="Delivered",1,0)</f>
        <v>1</v>
      </c>
      <c r="X516" s="3">
        <f>IF(Clean_Data[[#This Row],[Status]]="Delivered",IF(Clean_Data[[#This Row],[DeliveryMinutes]]&lt;=Dashboard!$X$5,1,0),0)</f>
        <v>1</v>
      </c>
      <c r="Y5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6" s="3">
        <f>IF(AND(Clean_Data[[#This Row],[Include]]=1,Clean_Data[[#This Row],[DeliveredFlag]]=1),1,0)</f>
        <v>1</v>
      </c>
      <c r="AA516" s="1">
        <f>IF(COUNTIF($D$2:D516,D516)=1,ROW()-1,ROWS(Clean_Data[OrderID])+1)</f>
        <v>515</v>
      </c>
      <c r="AB516" s="1">
        <f>IF(COUNTIF($F$2:F516,F516)=1,ROW()-1,ROWS(Clean_Data[OrderID])+1)</f>
        <v>901</v>
      </c>
      <c r="AC516" s="1">
        <f>IF(COUNTIF($G$2:G516,G516)=1,ROW()-1,ROWS(Clean_Data[OrderID])+1)</f>
        <v>901</v>
      </c>
      <c r="AD516" s="1">
        <f>IF(COUNTIF($H$2:H516,H516)=1,ROW()-1,ROWS(Clean_Data[OrderID])+1)</f>
        <v>901</v>
      </c>
      <c r="AE516" s="1">
        <f>IF(COUNTIF($V$2:V516,V516)=1,V516,ROWS(Clean_Data[OrderID])+1)</f>
        <v>901</v>
      </c>
      <c r="AF516" s="1">
        <f>IF(COUNTIF($U$2:U516,U516)=1,U516,ROWS(Clean_Data[OrderID])+1)</f>
        <v>901</v>
      </c>
      <c r="AG516" s="1">
        <f>IF(COUNTIF($E$2:E516,E516)=1,ROW()-1,ROWS(Clean_Data[OrderID])+1)</f>
        <v>901</v>
      </c>
    </row>
    <row r="517" spans="1:33" ht="20" customHeight="1">
      <c r="A517" s="3" t="s">
        <v>889</v>
      </c>
      <c r="B517" s="2">
        <v>46283</v>
      </c>
      <c r="C517" s="3">
        <v>18</v>
      </c>
      <c r="D517" s="3" t="s">
        <v>850</v>
      </c>
      <c r="E517" s="3" t="s">
        <v>91</v>
      </c>
      <c r="F517" s="3" t="s">
        <v>92</v>
      </c>
      <c r="G517" s="3" t="s">
        <v>122</v>
      </c>
      <c r="H517" s="3" t="s">
        <v>153</v>
      </c>
      <c r="I517" s="3">
        <v>4</v>
      </c>
      <c r="J517" s="11">
        <v>130</v>
      </c>
      <c r="K517" s="4">
        <v>0.15</v>
      </c>
      <c r="L517" s="3" t="s">
        <v>95</v>
      </c>
      <c r="M517" s="3">
        <v>34</v>
      </c>
      <c r="N517" s="3">
        <v>11</v>
      </c>
      <c r="O517" s="3">
        <v>5</v>
      </c>
      <c r="P517" s="11">
        <f>Clean_Data[[#This Row],[Quantity]]*Clean_Data[[#This Row],[UnitPrice]]</f>
        <v>520</v>
      </c>
      <c r="Q517" s="11">
        <f>ROUND(Clean_Data[[#This Row],[GrossSales]]*Clean_Data[[#This Row],[DiscountPct]],2)</f>
        <v>78</v>
      </c>
      <c r="R517" s="11">
        <f>IF(Clean_Data[[#This Row],[Status]]="Delivered",ROUND(Clean_Data[[#This Row],[GrossSales]]-Clean_Data[[#This Row],[DiscountAmount]],2),0)</f>
        <v>442</v>
      </c>
      <c r="S517" s="3" t="str">
        <f>IF(Clean_Data[[#This Row],[OrderHour]]&lt;6,"Night",IF(Clean_Data[[#This Row],[OrderHour]]&lt;12,"Morning",IF(Clean_Data[[#This Row],[OrderHour]]&lt;18,"Afternoon","Evening")))</f>
        <v>Evening</v>
      </c>
      <c r="T517" s="3" t="str">
        <f>TEXT(Clean_Data[[#This Row],[OrderDate]],"[$-409]ddd")</f>
        <v>Fri</v>
      </c>
      <c r="U517" s="3">
        <f>WEEKDAY(Clean_Data[[#This Row],[OrderDate]],2)</f>
        <v>5</v>
      </c>
      <c r="V517" s="3">
        <f>INT(Clean_Data[[#This Row],[OrderHour]]/6)+1</f>
        <v>4</v>
      </c>
      <c r="W517" s="3">
        <f>IF(Clean_Data[[#This Row],[Status]]="Delivered",1,0)</f>
        <v>1</v>
      </c>
      <c r="X517" s="3">
        <f>IF(Clean_Data[[#This Row],[Status]]="Delivered",IF(Clean_Data[[#This Row],[DeliveryMinutes]]&lt;=Dashboard!$X$5,1,0),0)</f>
        <v>0</v>
      </c>
      <c r="Y5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7" s="3">
        <f>IF(AND(Clean_Data[[#This Row],[Include]]=1,Clean_Data[[#This Row],[DeliveredFlag]]=1),1,0)</f>
        <v>1</v>
      </c>
      <c r="AA517" s="1">
        <f>IF(COUNTIF($D$2:D517,D517)=1,ROW()-1,ROWS(Clean_Data[OrderID])+1)</f>
        <v>901</v>
      </c>
      <c r="AB517" s="1">
        <f>IF(COUNTIF($F$2:F517,F517)=1,ROW()-1,ROWS(Clean_Data[OrderID])+1)</f>
        <v>901</v>
      </c>
      <c r="AC517" s="1">
        <f>IF(COUNTIF($G$2:G517,G517)=1,ROW()-1,ROWS(Clean_Data[OrderID])+1)</f>
        <v>901</v>
      </c>
      <c r="AD517" s="1">
        <f>IF(COUNTIF($H$2:H517,H517)=1,ROW()-1,ROWS(Clean_Data[OrderID])+1)</f>
        <v>901</v>
      </c>
      <c r="AE517" s="1">
        <f>IF(COUNTIF($V$2:V517,V517)=1,V517,ROWS(Clean_Data[OrderID])+1)</f>
        <v>901</v>
      </c>
      <c r="AF517" s="1">
        <f>IF(COUNTIF($U$2:U517,U517)=1,U517,ROWS(Clean_Data[OrderID])+1)</f>
        <v>901</v>
      </c>
      <c r="AG517" s="1">
        <f>IF(COUNTIF($E$2:E517,E517)=1,ROW()-1,ROWS(Clean_Data[OrderID])+1)</f>
        <v>901</v>
      </c>
    </row>
    <row r="518" spans="1:33" ht="20" customHeight="1">
      <c r="A518" s="3" t="s">
        <v>890</v>
      </c>
      <c r="B518" s="2">
        <v>46283</v>
      </c>
      <c r="C518" s="3">
        <v>18</v>
      </c>
      <c r="D518" s="3" t="s">
        <v>520</v>
      </c>
      <c r="E518" s="3" t="s">
        <v>91</v>
      </c>
      <c r="F518" s="3" t="s">
        <v>98</v>
      </c>
      <c r="G518" s="3" t="s">
        <v>99</v>
      </c>
      <c r="H518" s="3" t="s">
        <v>104</v>
      </c>
      <c r="I518" s="3">
        <v>6</v>
      </c>
      <c r="J518" s="11">
        <v>240</v>
      </c>
      <c r="K518" s="4">
        <v>0</v>
      </c>
      <c r="L518" s="3" t="s">
        <v>95</v>
      </c>
      <c r="M518" s="3">
        <v>22</v>
      </c>
      <c r="N518" s="3">
        <v>8</v>
      </c>
      <c r="O518" s="3">
        <v>4</v>
      </c>
      <c r="P518" s="11">
        <f>Clean_Data[[#This Row],[Quantity]]*Clean_Data[[#This Row],[UnitPrice]]</f>
        <v>1440</v>
      </c>
      <c r="Q518" s="11">
        <f>ROUND(Clean_Data[[#This Row],[GrossSales]]*Clean_Data[[#This Row],[DiscountPct]],2)</f>
        <v>0</v>
      </c>
      <c r="R518" s="11">
        <f>IF(Clean_Data[[#This Row],[Status]]="Delivered",ROUND(Clean_Data[[#This Row],[GrossSales]]-Clean_Data[[#This Row],[DiscountAmount]],2),0)</f>
        <v>1440</v>
      </c>
      <c r="S518" s="3" t="str">
        <f>IF(Clean_Data[[#This Row],[OrderHour]]&lt;6,"Night",IF(Clean_Data[[#This Row],[OrderHour]]&lt;12,"Morning",IF(Clean_Data[[#This Row],[OrderHour]]&lt;18,"Afternoon","Evening")))</f>
        <v>Evening</v>
      </c>
      <c r="T518" s="3" t="str">
        <f>TEXT(Clean_Data[[#This Row],[OrderDate]],"[$-409]ddd")</f>
        <v>Fri</v>
      </c>
      <c r="U518" s="3">
        <f>WEEKDAY(Clean_Data[[#This Row],[OrderDate]],2)</f>
        <v>5</v>
      </c>
      <c r="V518" s="3">
        <f>INT(Clean_Data[[#This Row],[OrderHour]]/6)+1</f>
        <v>4</v>
      </c>
      <c r="W518" s="3">
        <f>IF(Clean_Data[[#This Row],[Status]]="Delivered",1,0)</f>
        <v>1</v>
      </c>
      <c r="X518" s="3">
        <f>IF(Clean_Data[[#This Row],[Status]]="Delivered",IF(Clean_Data[[#This Row],[DeliveryMinutes]]&lt;=Dashboard!$X$5,1,0),0)</f>
        <v>1</v>
      </c>
      <c r="Y5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8" s="3">
        <f>IF(AND(Clean_Data[[#This Row],[Include]]=1,Clean_Data[[#This Row],[DeliveredFlag]]=1),1,0)</f>
        <v>1</v>
      </c>
      <c r="AA518" s="1">
        <f>IF(COUNTIF($D$2:D518,D518)=1,ROW()-1,ROWS(Clean_Data[OrderID])+1)</f>
        <v>901</v>
      </c>
      <c r="AB518" s="1">
        <f>IF(COUNTIF($F$2:F518,F518)=1,ROW()-1,ROWS(Clean_Data[OrderID])+1)</f>
        <v>901</v>
      </c>
      <c r="AC518" s="1">
        <f>IF(COUNTIF($G$2:G518,G518)=1,ROW()-1,ROWS(Clean_Data[OrderID])+1)</f>
        <v>901</v>
      </c>
      <c r="AD518" s="1">
        <f>IF(COUNTIF($H$2:H518,H518)=1,ROW()-1,ROWS(Clean_Data[OrderID])+1)</f>
        <v>901</v>
      </c>
      <c r="AE518" s="1">
        <f>IF(COUNTIF($V$2:V518,V518)=1,V518,ROWS(Clean_Data[OrderID])+1)</f>
        <v>901</v>
      </c>
      <c r="AF518" s="1">
        <f>IF(COUNTIF($U$2:U518,U518)=1,U518,ROWS(Clean_Data[OrderID])+1)</f>
        <v>901</v>
      </c>
      <c r="AG518" s="1">
        <f>IF(COUNTIF($E$2:E518,E518)=1,ROW()-1,ROWS(Clean_Data[OrderID])+1)</f>
        <v>901</v>
      </c>
    </row>
    <row r="519" spans="1:33" ht="20" customHeight="1">
      <c r="A519" s="3" t="s">
        <v>891</v>
      </c>
      <c r="B519" s="2">
        <v>46283</v>
      </c>
      <c r="C519" s="3">
        <v>14</v>
      </c>
      <c r="D519" s="3" t="s">
        <v>805</v>
      </c>
      <c r="E519" s="3" t="s">
        <v>91</v>
      </c>
      <c r="F519" s="3" t="s">
        <v>92</v>
      </c>
      <c r="G519" s="3" t="s">
        <v>93</v>
      </c>
      <c r="H519" s="3" t="s">
        <v>118</v>
      </c>
      <c r="I519" s="3">
        <v>1</v>
      </c>
      <c r="J519" s="11">
        <v>45</v>
      </c>
      <c r="K519" s="4">
        <v>0.15</v>
      </c>
      <c r="L519" s="3" t="s">
        <v>95</v>
      </c>
      <c r="M519" s="3">
        <v>24</v>
      </c>
      <c r="N519" s="3">
        <v>6</v>
      </c>
      <c r="O519" s="3">
        <v>5</v>
      </c>
      <c r="P519" s="11">
        <f>Clean_Data[[#This Row],[Quantity]]*Clean_Data[[#This Row],[UnitPrice]]</f>
        <v>45</v>
      </c>
      <c r="Q519" s="11">
        <f>ROUND(Clean_Data[[#This Row],[GrossSales]]*Clean_Data[[#This Row],[DiscountPct]],2)</f>
        <v>6.75</v>
      </c>
      <c r="R519" s="11">
        <f>IF(Clean_Data[[#This Row],[Status]]="Delivered",ROUND(Clean_Data[[#This Row],[GrossSales]]-Clean_Data[[#This Row],[DiscountAmount]],2),0)</f>
        <v>38.25</v>
      </c>
      <c r="S519" s="3" t="str">
        <f>IF(Clean_Data[[#This Row],[OrderHour]]&lt;6,"Night",IF(Clean_Data[[#This Row],[OrderHour]]&lt;12,"Morning",IF(Clean_Data[[#This Row],[OrderHour]]&lt;18,"Afternoon","Evening")))</f>
        <v>Afternoon</v>
      </c>
      <c r="T519" s="3" t="str">
        <f>TEXT(Clean_Data[[#This Row],[OrderDate]],"[$-409]ddd")</f>
        <v>Fri</v>
      </c>
      <c r="U519" s="3">
        <f>WEEKDAY(Clean_Data[[#This Row],[OrderDate]],2)</f>
        <v>5</v>
      </c>
      <c r="V519" s="3">
        <f>INT(Clean_Data[[#This Row],[OrderHour]]/6)+1</f>
        <v>3</v>
      </c>
      <c r="W519" s="3">
        <f>IF(Clean_Data[[#This Row],[Status]]="Delivered",1,0)</f>
        <v>1</v>
      </c>
      <c r="X519" s="3">
        <f>IF(Clean_Data[[#This Row],[Status]]="Delivered",IF(Clean_Data[[#This Row],[DeliveryMinutes]]&lt;=Dashboard!$X$5,1,0),0)</f>
        <v>1</v>
      </c>
      <c r="Y5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19" s="3">
        <f>IF(AND(Clean_Data[[#This Row],[Include]]=1,Clean_Data[[#This Row],[DeliveredFlag]]=1),1,0)</f>
        <v>1</v>
      </c>
      <c r="AA519" s="1">
        <f>IF(COUNTIF($D$2:D519,D519)=1,ROW()-1,ROWS(Clean_Data[OrderID])+1)</f>
        <v>901</v>
      </c>
      <c r="AB519" s="1">
        <f>IF(COUNTIF($F$2:F519,F519)=1,ROW()-1,ROWS(Clean_Data[OrderID])+1)</f>
        <v>901</v>
      </c>
      <c r="AC519" s="1">
        <f>IF(COUNTIF($G$2:G519,G519)=1,ROW()-1,ROWS(Clean_Data[OrderID])+1)</f>
        <v>901</v>
      </c>
      <c r="AD519" s="1">
        <f>IF(COUNTIF($H$2:H519,H519)=1,ROW()-1,ROWS(Clean_Data[OrderID])+1)</f>
        <v>901</v>
      </c>
      <c r="AE519" s="1">
        <f>IF(COUNTIF($V$2:V519,V519)=1,V519,ROWS(Clean_Data[OrderID])+1)</f>
        <v>901</v>
      </c>
      <c r="AF519" s="1">
        <f>IF(COUNTIF($U$2:U519,U519)=1,U519,ROWS(Clean_Data[OrderID])+1)</f>
        <v>901</v>
      </c>
      <c r="AG519" s="1">
        <f>IF(COUNTIF($E$2:E519,E519)=1,ROW()-1,ROWS(Clean_Data[OrderID])+1)</f>
        <v>901</v>
      </c>
    </row>
    <row r="520" spans="1:33" ht="20" customHeight="1">
      <c r="A520" s="3" t="s">
        <v>892</v>
      </c>
      <c r="B520" s="2">
        <v>46283</v>
      </c>
      <c r="C520" s="3">
        <v>23</v>
      </c>
      <c r="D520" s="3" t="s">
        <v>677</v>
      </c>
      <c r="E520" s="3" t="s">
        <v>117</v>
      </c>
      <c r="F520" s="3" t="s">
        <v>121</v>
      </c>
      <c r="G520" s="3" t="s">
        <v>110</v>
      </c>
      <c r="H520" s="3" t="s">
        <v>206</v>
      </c>
      <c r="I520" s="3">
        <v>1</v>
      </c>
      <c r="J520" s="11">
        <v>220</v>
      </c>
      <c r="K520" s="4">
        <v>0.05</v>
      </c>
      <c r="L520" s="3" t="s">
        <v>95</v>
      </c>
      <c r="M520" s="3">
        <v>19</v>
      </c>
      <c r="N520" s="3">
        <v>12</v>
      </c>
      <c r="O520" s="3">
        <v>3</v>
      </c>
      <c r="P520" s="11">
        <f>Clean_Data[[#This Row],[Quantity]]*Clean_Data[[#This Row],[UnitPrice]]</f>
        <v>220</v>
      </c>
      <c r="Q520" s="11">
        <f>ROUND(Clean_Data[[#This Row],[GrossSales]]*Clean_Data[[#This Row],[DiscountPct]],2)</f>
        <v>11</v>
      </c>
      <c r="R520" s="11">
        <f>IF(Clean_Data[[#This Row],[Status]]="Delivered",ROUND(Clean_Data[[#This Row],[GrossSales]]-Clean_Data[[#This Row],[DiscountAmount]],2),0)</f>
        <v>209</v>
      </c>
      <c r="S520" s="3" t="str">
        <f>IF(Clean_Data[[#This Row],[OrderHour]]&lt;6,"Night",IF(Clean_Data[[#This Row],[OrderHour]]&lt;12,"Morning",IF(Clean_Data[[#This Row],[OrderHour]]&lt;18,"Afternoon","Evening")))</f>
        <v>Evening</v>
      </c>
      <c r="T520" s="3" t="str">
        <f>TEXT(Clean_Data[[#This Row],[OrderDate]],"[$-409]ddd")</f>
        <v>Fri</v>
      </c>
      <c r="U520" s="3">
        <f>WEEKDAY(Clean_Data[[#This Row],[OrderDate]],2)</f>
        <v>5</v>
      </c>
      <c r="V520" s="3">
        <f>INT(Clean_Data[[#This Row],[OrderHour]]/6)+1</f>
        <v>4</v>
      </c>
      <c r="W520" s="3">
        <f>IF(Clean_Data[[#This Row],[Status]]="Delivered",1,0)</f>
        <v>1</v>
      </c>
      <c r="X520" s="3">
        <f>IF(Clean_Data[[#This Row],[Status]]="Delivered",IF(Clean_Data[[#This Row],[DeliveryMinutes]]&lt;=Dashboard!$X$5,1,0),0)</f>
        <v>1</v>
      </c>
      <c r="Y5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0" s="3">
        <f>IF(AND(Clean_Data[[#This Row],[Include]]=1,Clean_Data[[#This Row],[DeliveredFlag]]=1),1,0)</f>
        <v>1</v>
      </c>
      <c r="AA520" s="1">
        <f>IF(COUNTIF($D$2:D520,D520)=1,ROW()-1,ROWS(Clean_Data[OrderID])+1)</f>
        <v>901</v>
      </c>
      <c r="AB520" s="1">
        <f>IF(COUNTIF($F$2:F520,F520)=1,ROW()-1,ROWS(Clean_Data[OrderID])+1)</f>
        <v>901</v>
      </c>
      <c r="AC520" s="1">
        <f>IF(COUNTIF($G$2:G520,G520)=1,ROW()-1,ROWS(Clean_Data[OrderID])+1)</f>
        <v>901</v>
      </c>
      <c r="AD520" s="1">
        <f>IF(COUNTIF($H$2:H520,H520)=1,ROW()-1,ROWS(Clean_Data[OrderID])+1)</f>
        <v>901</v>
      </c>
      <c r="AE520" s="1">
        <f>IF(COUNTIF($V$2:V520,V520)=1,V520,ROWS(Clean_Data[OrderID])+1)</f>
        <v>901</v>
      </c>
      <c r="AF520" s="1">
        <f>IF(COUNTIF($U$2:U520,U520)=1,U520,ROWS(Clean_Data[OrderID])+1)</f>
        <v>901</v>
      </c>
      <c r="AG520" s="1">
        <f>IF(COUNTIF($E$2:E520,E520)=1,ROW()-1,ROWS(Clean_Data[OrderID])+1)</f>
        <v>901</v>
      </c>
    </row>
    <row r="521" spans="1:33" ht="20" customHeight="1">
      <c r="A521" s="3" t="s">
        <v>893</v>
      </c>
      <c r="B521" s="2">
        <v>46283</v>
      </c>
      <c r="C521" s="3">
        <v>18</v>
      </c>
      <c r="D521" s="3" t="s">
        <v>894</v>
      </c>
      <c r="E521" s="3" t="s">
        <v>117</v>
      </c>
      <c r="F521" s="3" t="s">
        <v>92</v>
      </c>
      <c r="G521" s="3" t="s">
        <v>174</v>
      </c>
      <c r="H521" s="3" t="s">
        <v>175</v>
      </c>
      <c r="I521" s="3">
        <v>5</v>
      </c>
      <c r="J521" s="11">
        <v>155</v>
      </c>
      <c r="K521" s="4">
        <v>0.05</v>
      </c>
      <c r="L521" s="3" t="s">
        <v>95</v>
      </c>
      <c r="M521" s="3">
        <v>25</v>
      </c>
      <c r="N521" s="3">
        <v>9</v>
      </c>
      <c r="O521" s="3">
        <v>5</v>
      </c>
      <c r="P521" s="11">
        <f>Clean_Data[[#This Row],[Quantity]]*Clean_Data[[#This Row],[UnitPrice]]</f>
        <v>775</v>
      </c>
      <c r="Q521" s="11">
        <f>ROUND(Clean_Data[[#This Row],[GrossSales]]*Clean_Data[[#This Row],[DiscountPct]],2)</f>
        <v>38.75</v>
      </c>
      <c r="R521" s="11">
        <f>IF(Clean_Data[[#This Row],[Status]]="Delivered",ROUND(Clean_Data[[#This Row],[GrossSales]]-Clean_Data[[#This Row],[DiscountAmount]],2),0)</f>
        <v>736.25</v>
      </c>
      <c r="S521" s="3" t="str">
        <f>IF(Clean_Data[[#This Row],[OrderHour]]&lt;6,"Night",IF(Clean_Data[[#This Row],[OrderHour]]&lt;12,"Morning",IF(Clean_Data[[#This Row],[OrderHour]]&lt;18,"Afternoon","Evening")))</f>
        <v>Evening</v>
      </c>
      <c r="T521" s="3" t="str">
        <f>TEXT(Clean_Data[[#This Row],[OrderDate]],"[$-409]ddd")</f>
        <v>Fri</v>
      </c>
      <c r="U521" s="3">
        <f>WEEKDAY(Clean_Data[[#This Row],[OrderDate]],2)</f>
        <v>5</v>
      </c>
      <c r="V521" s="3">
        <f>INT(Clean_Data[[#This Row],[OrderHour]]/6)+1</f>
        <v>4</v>
      </c>
      <c r="W521" s="3">
        <f>IF(Clean_Data[[#This Row],[Status]]="Delivered",1,0)</f>
        <v>1</v>
      </c>
      <c r="X521" s="3">
        <f>IF(Clean_Data[[#This Row],[Status]]="Delivered",IF(Clean_Data[[#This Row],[DeliveryMinutes]]&lt;=Dashboard!$X$5,1,0),0)</f>
        <v>1</v>
      </c>
      <c r="Y5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1" s="3">
        <f>IF(AND(Clean_Data[[#This Row],[Include]]=1,Clean_Data[[#This Row],[DeliveredFlag]]=1),1,0)</f>
        <v>1</v>
      </c>
      <c r="AA521" s="1">
        <f>IF(COUNTIF($D$2:D521,D521)=1,ROW()-1,ROWS(Clean_Data[OrderID])+1)</f>
        <v>520</v>
      </c>
      <c r="AB521" s="1">
        <f>IF(COUNTIF($F$2:F521,F521)=1,ROW()-1,ROWS(Clean_Data[OrderID])+1)</f>
        <v>901</v>
      </c>
      <c r="AC521" s="1">
        <f>IF(COUNTIF($G$2:G521,G521)=1,ROW()-1,ROWS(Clean_Data[OrderID])+1)</f>
        <v>901</v>
      </c>
      <c r="AD521" s="1">
        <f>IF(COUNTIF($H$2:H521,H521)=1,ROW()-1,ROWS(Clean_Data[OrderID])+1)</f>
        <v>901</v>
      </c>
      <c r="AE521" s="1">
        <f>IF(COUNTIF($V$2:V521,V521)=1,V521,ROWS(Clean_Data[OrderID])+1)</f>
        <v>901</v>
      </c>
      <c r="AF521" s="1">
        <f>IF(COUNTIF($U$2:U521,U521)=1,U521,ROWS(Clean_Data[OrderID])+1)</f>
        <v>901</v>
      </c>
      <c r="AG521" s="1">
        <f>IF(COUNTIF($E$2:E521,E521)=1,ROW()-1,ROWS(Clean_Data[OrderID])+1)</f>
        <v>901</v>
      </c>
    </row>
    <row r="522" spans="1:33" ht="20" customHeight="1">
      <c r="A522" s="3" t="s">
        <v>895</v>
      </c>
      <c r="B522" s="2">
        <v>46283</v>
      </c>
      <c r="C522" s="3">
        <v>15</v>
      </c>
      <c r="D522" s="3" t="s">
        <v>739</v>
      </c>
      <c r="E522" s="3" t="s">
        <v>117</v>
      </c>
      <c r="F522" s="3" t="s">
        <v>109</v>
      </c>
      <c r="G522" s="3" t="s">
        <v>99</v>
      </c>
      <c r="H522" s="3" t="s">
        <v>100</v>
      </c>
      <c r="I522" s="3">
        <v>3</v>
      </c>
      <c r="J522" s="11">
        <v>120</v>
      </c>
      <c r="K522" s="4">
        <v>0.05</v>
      </c>
      <c r="L522" s="3" t="s">
        <v>101</v>
      </c>
      <c r="M522" s="3"/>
      <c r="N522" s="3"/>
      <c r="O522" s="3"/>
      <c r="P522" s="11">
        <f>Clean_Data[[#This Row],[Quantity]]*Clean_Data[[#This Row],[UnitPrice]]</f>
        <v>360</v>
      </c>
      <c r="Q522" s="11">
        <f>ROUND(Clean_Data[[#This Row],[GrossSales]]*Clean_Data[[#This Row],[DiscountPct]],2)</f>
        <v>18</v>
      </c>
      <c r="R522" s="11">
        <f>IF(Clean_Data[[#This Row],[Status]]="Delivered",ROUND(Clean_Data[[#This Row],[GrossSales]]-Clean_Data[[#This Row],[DiscountAmount]],2),0)</f>
        <v>0</v>
      </c>
      <c r="S522" s="3" t="str">
        <f>IF(Clean_Data[[#This Row],[OrderHour]]&lt;6,"Night",IF(Clean_Data[[#This Row],[OrderHour]]&lt;12,"Morning",IF(Clean_Data[[#This Row],[OrderHour]]&lt;18,"Afternoon","Evening")))</f>
        <v>Afternoon</v>
      </c>
      <c r="T522" s="3" t="str">
        <f>TEXT(Clean_Data[[#This Row],[OrderDate]],"[$-409]ddd")</f>
        <v>Fri</v>
      </c>
      <c r="U522" s="3">
        <f>WEEKDAY(Clean_Data[[#This Row],[OrderDate]],2)</f>
        <v>5</v>
      </c>
      <c r="V522" s="3">
        <f>INT(Clean_Data[[#This Row],[OrderHour]]/6)+1</f>
        <v>3</v>
      </c>
      <c r="W522" s="3">
        <f>IF(Clean_Data[[#This Row],[Status]]="Delivered",1,0)</f>
        <v>0</v>
      </c>
      <c r="X522" s="3">
        <f>IF(Clean_Data[[#This Row],[Status]]="Delivered",IF(Clean_Data[[#This Row],[DeliveryMinutes]]&lt;=Dashboard!$X$5,1,0),0)</f>
        <v>0</v>
      </c>
      <c r="Y5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2" s="3">
        <f>IF(AND(Clean_Data[[#This Row],[Include]]=1,Clean_Data[[#This Row],[DeliveredFlag]]=1),1,0)</f>
        <v>0</v>
      </c>
      <c r="AA522" s="1">
        <f>IF(COUNTIF($D$2:D522,D522)=1,ROW()-1,ROWS(Clean_Data[OrderID])+1)</f>
        <v>901</v>
      </c>
      <c r="AB522" s="1">
        <f>IF(COUNTIF($F$2:F522,F522)=1,ROW()-1,ROWS(Clean_Data[OrderID])+1)</f>
        <v>901</v>
      </c>
      <c r="AC522" s="1">
        <f>IF(COUNTIF($G$2:G522,G522)=1,ROW()-1,ROWS(Clean_Data[OrderID])+1)</f>
        <v>901</v>
      </c>
      <c r="AD522" s="1">
        <f>IF(COUNTIF($H$2:H522,H522)=1,ROW()-1,ROWS(Clean_Data[OrderID])+1)</f>
        <v>901</v>
      </c>
      <c r="AE522" s="1">
        <f>IF(COUNTIF($V$2:V522,V522)=1,V522,ROWS(Clean_Data[OrderID])+1)</f>
        <v>901</v>
      </c>
      <c r="AF522" s="1">
        <f>IF(COUNTIF($U$2:U522,U522)=1,U522,ROWS(Clean_Data[OrderID])+1)</f>
        <v>901</v>
      </c>
      <c r="AG522" s="1">
        <f>IF(COUNTIF($E$2:E522,E522)=1,ROW()-1,ROWS(Clean_Data[OrderID])+1)</f>
        <v>901</v>
      </c>
    </row>
    <row r="523" spans="1:33" ht="20" customHeight="1">
      <c r="A523" s="3" t="s">
        <v>896</v>
      </c>
      <c r="B523" s="2">
        <v>46283</v>
      </c>
      <c r="C523" s="3">
        <v>18</v>
      </c>
      <c r="D523" s="3" t="s">
        <v>608</v>
      </c>
      <c r="E523" s="3" t="s">
        <v>91</v>
      </c>
      <c r="F523" s="3" t="s">
        <v>109</v>
      </c>
      <c r="G523" s="3" t="s">
        <v>135</v>
      </c>
      <c r="H523" s="3" t="s">
        <v>162</v>
      </c>
      <c r="I523" s="3">
        <v>2</v>
      </c>
      <c r="J523" s="11">
        <v>180</v>
      </c>
      <c r="K523" s="4">
        <v>0</v>
      </c>
      <c r="L523" s="3" t="s">
        <v>95</v>
      </c>
      <c r="M523" s="3">
        <v>32</v>
      </c>
      <c r="N523" s="3">
        <v>13</v>
      </c>
      <c r="O523" s="3">
        <v>5</v>
      </c>
      <c r="P523" s="11">
        <f>Clean_Data[[#This Row],[Quantity]]*Clean_Data[[#This Row],[UnitPrice]]</f>
        <v>360</v>
      </c>
      <c r="Q523" s="11">
        <f>ROUND(Clean_Data[[#This Row],[GrossSales]]*Clean_Data[[#This Row],[DiscountPct]],2)</f>
        <v>0</v>
      </c>
      <c r="R523" s="11">
        <f>IF(Clean_Data[[#This Row],[Status]]="Delivered",ROUND(Clean_Data[[#This Row],[GrossSales]]-Clean_Data[[#This Row],[DiscountAmount]],2),0)</f>
        <v>360</v>
      </c>
      <c r="S523" s="3" t="str">
        <f>IF(Clean_Data[[#This Row],[OrderHour]]&lt;6,"Night",IF(Clean_Data[[#This Row],[OrderHour]]&lt;12,"Morning",IF(Clean_Data[[#This Row],[OrderHour]]&lt;18,"Afternoon","Evening")))</f>
        <v>Evening</v>
      </c>
      <c r="T523" s="3" t="str">
        <f>TEXT(Clean_Data[[#This Row],[OrderDate]],"[$-409]ddd")</f>
        <v>Fri</v>
      </c>
      <c r="U523" s="3">
        <f>WEEKDAY(Clean_Data[[#This Row],[OrderDate]],2)</f>
        <v>5</v>
      </c>
      <c r="V523" s="3">
        <f>INT(Clean_Data[[#This Row],[OrderHour]]/6)+1</f>
        <v>4</v>
      </c>
      <c r="W523" s="3">
        <f>IF(Clean_Data[[#This Row],[Status]]="Delivered",1,0)</f>
        <v>1</v>
      </c>
      <c r="X523" s="3">
        <f>IF(Clean_Data[[#This Row],[Status]]="Delivered",IF(Clean_Data[[#This Row],[DeliveryMinutes]]&lt;=Dashboard!$X$5,1,0),0)</f>
        <v>0</v>
      </c>
      <c r="Y5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3" s="3">
        <f>IF(AND(Clean_Data[[#This Row],[Include]]=1,Clean_Data[[#This Row],[DeliveredFlag]]=1),1,0)</f>
        <v>1</v>
      </c>
      <c r="AA523" s="1">
        <f>IF(COUNTIF($D$2:D523,D523)=1,ROW()-1,ROWS(Clean_Data[OrderID])+1)</f>
        <v>901</v>
      </c>
      <c r="AB523" s="1">
        <f>IF(COUNTIF($F$2:F523,F523)=1,ROW()-1,ROWS(Clean_Data[OrderID])+1)</f>
        <v>901</v>
      </c>
      <c r="AC523" s="1">
        <f>IF(COUNTIF($G$2:G523,G523)=1,ROW()-1,ROWS(Clean_Data[OrderID])+1)</f>
        <v>901</v>
      </c>
      <c r="AD523" s="1">
        <f>IF(COUNTIF($H$2:H523,H523)=1,ROW()-1,ROWS(Clean_Data[OrderID])+1)</f>
        <v>901</v>
      </c>
      <c r="AE523" s="1">
        <f>IF(COUNTIF($V$2:V523,V523)=1,V523,ROWS(Clean_Data[OrderID])+1)</f>
        <v>901</v>
      </c>
      <c r="AF523" s="1">
        <f>IF(COUNTIF($U$2:U523,U523)=1,U523,ROWS(Clean_Data[OrderID])+1)</f>
        <v>901</v>
      </c>
      <c r="AG523" s="1">
        <f>IF(COUNTIF($E$2:E523,E523)=1,ROW()-1,ROWS(Clean_Data[OrderID])+1)</f>
        <v>901</v>
      </c>
    </row>
    <row r="524" spans="1:33" ht="20" customHeight="1">
      <c r="A524" s="3" t="s">
        <v>897</v>
      </c>
      <c r="B524" s="2">
        <v>46283</v>
      </c>
      <c r="C524" s="3">
        <v>15</v>
      </c>
      <c r="D524" s="3" t="s">
        <v>630</v>
      </c>
      <c r="E524" s="3" t="s">
        <v>91</v>
      </c>
      <c r="F524" s="3" t="s">
        <v>139</v>
      </c>
      <c r="G524" s="3" t="s">
        <v>135</v>
      </c>
      <c r="H524" s="3" t="s">
        <v>217</v>
      </c>
      <c r="I524" s="3">
        <v>3</v>
      </c>
      <c r="J524" s="11">
        <v>65</v>
      </c>
      <c r="K524" s="4">
        <v>0</v>
      </c>
      <c r="L524" s="3" t="s">
        <v>95</v>
      </c>
      <c r="M524" s="3">
        <v>28</v>
      </c>
      <c r="N524" s="3">
        <v>14</v>
      </c>
      <c r="O524" s="3">
        <v>5</v>
      </c>
      <c r="P524" s="11">
        <f>Clean_Data[[#This Row],[Quantity]]*Clean_Data[[#This Row],[UnitPrice]]</f>
        <v>195</v>
      </c>
      <c r="Q524" s="11">
        <f>ROUND(Clean_Data[[#This Row],[GrossSales]]*Clean_Data[[#This Row],[DiscountPct]],2)</f>
        <v>0</v>
      </c>
      <c r="R524" s="11">
        <f>IF(Clean_Data[[#This Row],[Status]]="Delivered",ROUND(Clean_Data[[#This Row],[GrossSales]]-Clean_Data[[#This Row],[DiscountAmount]],2),0)</f>
        <v>195</v>
      </c>
      <c r="S524" s="3" t="str">
        <f>IF(Clean_Data[[#This Row],[OrderHour]]&lt;6,"Night",IF(Clean_Data[[#This Row],[OrderHour]]&lt;12,"Morning",IF(Clean_Data[[#This Row],[OrderHour]]&lt;18,"Afternoon","Evening")))</f>
        <v>Afternoon</v>
      </c>
      <c r="T524" s="3" t="str">
        <f>TEXT(Clean_Data[[#This Row],[OrderDate]],"[$-409]ddd")</f>
        <v>Fri</v>
      </c>
      <c r="U524" s="3">
        <f>WEEKDAY(Clean_Data[[#This Row],[OrderDate]],2)</f>
        <v>5</v>
      </c>
      <c r="V524" s="3">
        <f>INT(Clean_Data[[#This Row],[OrderHour]]/6)+1</f>
        <v>3</v>
      </c>
      <c r="W524" s="3">
        <f>IF(Clean_Data[[#This Row],[Status]]="Delivered",1,0)</f>
        <v>1</v>
      </c>
      <c r="X524" s="3">
        <f>IF(Clean_Data[[#This Row],[Status]]="Delivered",IF(Clean_Data[[#This Row],[DeliveryMinutes]]&lt;=Dashboard!$X$5,1,0),0)</f>
        <v>1</v>
      </c>
      <c r="Y5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4" s="3">
        <f>IF(AND(Clean_Data[[#This Row],[Include]]=1,Clean_Data[[#This Row],[DeliveredFlag]]=1),1,0)</f>
        <v>1</v>
      </c>
      <c r="AA524" s="1">
        <f>IF(COUNTIF($D$2:D524,D524)=1,ROW()-1,ROWS(Clean_Data[OrderID])+1)</f>
        <v>901</v>
      </c>
      <c r="AB524" s="1">
        <f>IF(COUNTIF($F$2:F524,F524)=1,ROW()-1,ROWS(Clean_Data[OrderID])+1)</f>
        <v>901</v>
      </c>
      <c r="AC524" s="1">
        <f>IF(COUNTIF($G$2:G524,G524)=1,ROW()-1,ROWS(Clean_Data[OrderID])+1)</f>
        <v>901</v>
      </c>
      <c r="AD524" s="1">
        <f>IF(COUNTIF($H$2:H524,H524)=1,ROW()-1,ROWS(Clean_Data[OrderID])+1)</f>
        <v>901</v>
      </c>
      <c r="AE524" s="1">
        <f>IF(COUNTIF($V$2:V524,V524)=1,V524,ROWS(Clean_Data[OrderID])+1)</f>
        <v>901</v>
      </c>
      <c r="AF524" s="1">
        <f>IF(COUNTIF($U$2:U524,U524)=1,U524,ROWS(Clean_Data[OrderID])+1)</f>
        <v>901</v>
      </c>
      <c r="AG524" s="1">
        <f>IF(COUNTIF($E$2:E524,E524)=1,ROW()-1,ROWS(Clean_Data[OrderID])+1)</f>
        <v>901</v>
      </c>
    </row>
    <row r="525" spans="1:33" ht="20" customHeight="1">
      <c r="A525" s="3" t="s">
        <v>898</v>
      </c>
      <c r="B525" s="2">
        <v>46283</v>
      </c>
      <c r="C525" s="3">
        <v>17</v>
      </c>
      <c r="D525" s="3" t="s">
        <v>103</v>
      </c>
      <c r="E525" s="3" t="s">
        <v>91</v>
      </c>
      <c r="F525" s="3" t="s">
        <v>121</v>
      </c>
      <c r="G525" s="3" t="s">
        <v>110</v>
      </c>
      <c r="H525" s="3" t="s">
        <v>206</v>
      </c>
      <c r="I525" s="3">
        <v>2</v>
      </c>
      <c r="J525" s="11">
        <v>220</v>
      </c>
      <c r="K525" s="4">
        <v>0</v>
      </c>
      <c r="L525" s="3" t="s">
        <v>95</v>
      </c>
      <c r="M525" s="3">
        <v>22</v>
      </c>
      <c r="N525" s="3">
        <v>6</v>
      </c>
      <c r="O525" s="3">
        <v>5</v>
      </c>
      <c r="P525" s="11">
        <f>Clean_Data[[#This Row],[Quantity]]*Clean_Data[[#This Row],[UnitPrice]]</f>
        <v>440</v>
      </c>
      <c r="Q525" s="11">
        <f>ROUND(Clean_Data[[#This Row],[GrossSales]]*Clean_Data[[#This Row],[DiscountPct]],2)</f>
        <v>0</v>
      </c>
      <c r="R525" s="11">
        <f>IF(Clean_Data[[#This Row],[Status]]="Delivered",ROUND(Clean_Data[[#This Row],[GrossSales]]-Clean_Data[[#This Row],[DiscountAmount]],2),0)</f>
        <v>440</v>
      </c>
      <c r="S525" s="3" t="str">
        <f>IF(Clean_Data[[#This Row],[OrderHour]]&lt;6,"Night",IF(Clean_Data[[#This Row],[OrderHour]]&lt;12,"Morning",IF(Clean_Data[[#This Row],[OrderHour]]&lt;18,"Afternoon","Evening")))</f>
        <v>Afternoon</v>
      </c>
      <c r="T525" s="3" t="str">
        <f>TEXT(Clean_Data[[#This Row],[OrderDate]],"[$-409]ddd")</f>
        <v>Fri</v>
      </c>
      <c r="U525" s="3">
        <f>WEEKDAY(Clean_Data[[#This Row],[OrderDate]],2)</f>
        <v>5</v>
      </c>
      <c r="V525" s="3">
        <f>INT(Clean_Data[[#This Row],[OrderHour]]/6)+1</f>
        <v>3</v>
      </c>
      <c r="W525" s="3">
        <f>IF(Clean_Data[[#This Row],[Status]]="Delivered",1,0)</f>
        <v>1</v>
      </c>
      <c r="X525" s="3">
        <f>IF(Clean_Data[[#This Row],[Status]]="Delivered",IF(Clean_Data[[#This Row],[DeliveryMinutes]]&lt;=Dashboard!$X$5,1,0),0)</f>
        <v>1</v>
      </c>
      <c r="Y5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5" s="3">
        <f>IF(AND(Clean_Data[[#This Row],[Include]]=1,Clean_Data[[#This Row],[DeliveredFlag]]=1),1,0)</f>
        <v>1</v>
      </c>
      <c r="AA525" s="1">
        <f>IF(COUNTIF($D$2:D525,D525)=1,ROW()-1,ROWS(Clean_Data[OrderID])+1)</f>
        <v>901</v>
      </c>
      <c r="AB525" s="1">
        <f>IF(COUNTIF($F$2:F525,F525)=1,ROW()-1,ROWS(Clean_Data[OrderID])+1)</f>
        <v>901</v>
      </c>
      <c r="AC525" s="1">
        <f>IF(COUNTIF($G$2:G525,G525)=1,ROW()-1,ROWS(Clean_Data[OrderID])+1)</f>
        <v>901</v>
      </c>
      <c r="AD525" s="1">
        <f>IF(COUNTIF($H$2:H525,H525)=1,ROW()-1,ROWS(Clean_Data[OrderID])+1)</f>
        <v>901</v>
      </c>
      <c r="AE525" s="1">
        <f>IF(COUNTIF($V$2:V525,V525)=1,V525,ROWS(Clean_Data[OrderID])+1)</f>
        <v>901</v>
      </c>
      <c r="AF525" s="1">
        <f>IF(COUNTIF($U$2:U525,U525)=1,U525,ROWS(Clean_Data[OrderID])+1)</f>
        <v>901</v>
      </c>
      <c r="AG525" s="1">
        <f>IF(COUNTIF($E$2:E525,E525)=1,ROW()-1,ROWS(Clean_Data[OrderID])+1)</f>
        <v>901</v>
      </c>
    </row>
    <row r="526" spans="1:33" ht="20" customHeight="1">
      <c r="A526" s="3" t="s">
        <v>899</v>
      </c>
      <c r="B526" s="2">
        <v>46283</v>
      </c>
      <c r="C526" s="3">
        <v>16</v>
      </c>
      <c r="D526" s="3" t="s">
        <v>703</v>
      </c>
      <c r="E526" s="3" t="s">
        <v>117</v>
      </c>
      <c r="F526" s="3" t="s">
        <v>109</v>
      </c>
      <c r="G526" s="3" t="s">
        <v>93</v>
      </c>
      <c r="H526" s="3" t="s">
        <v>118</v>
      </c>
      <c r="I526" s="3">
        <v>1</v>
      </c>
      <c r="J526" s="11">
        <v>45</v>
      </c>
      <c r="K526" s="4">
        <v>0.1</v>
      </c>
      <c r="L526" s="3" t="s">
        <v>101</v>
      </c>
      <c r="M526" s="3"/>
      <c r="N526" s="3"/>
      <c r="O526" s="3"/>
      <c r="P526" s="11">
        <f>Clean_Data[[#This Row],[Quantity]]*Clean_Data[[#This Row],[UnitPrice]]</f>
        <v>45</v>
      </c>
      <c r="Q526" s="11">
        <f>ROUND(Clean_Data[[#This Row],[GrossSales]]*Clean_Data[[#This Row],[DiscountPct]],2)</f>
        <v>4.5</v>
      </c>
      <c r="R526" s="11">
        <f>IF(Clean_Data[[#This Row],[Status]]="Delivered",ROUND(Clean_Data[[#This Row],[GrossSales]]-Clean_Data[[#This Row],[DiscountAmount]],2),0)</f>
        <v>0</v>
      </c>
      <c r="S526" s="3" t="str">
        <f>IF(Clean_Data[[#This Row],[OrderHour]]&lt;6,"Night",IF(Clean_Data[[#This Row],[OrderHour]]&lt;12,"Morning",IF(Clean_Data[[#This Row],[OrderHour]]&lt;18,"Afternoon","Evening")))</f>
        <v>Afternoon</v>
      </c>
      <c r="T526" s="3" t="str">
        <f>TEXT(Clean_Data[[#This Row],[OrderDate]],"[$-409]ddd")</f>
        <v>Fri</v>
      </c>
      <c r="U526" s="3">
        <f>WEEKDAY(Clean_Data[[#This Row],[OrderDate]],2)</f>
        <v>5</v>
      </c>
      <c r="V526" s="3">
        <f>INT(Clean_Data[[#This Row],[OrderHour]]/6)+1</f>
        <v>3</v>
      </c>
      <c r="W526" s="3">
        <f>IF(Clean_Data[[#This Row],[Status]]="Delivered",1,0)</f>
        <v>0</v>
      </c>
      <c r="X526" s="3">
        <f>IF(Clean_Data[[#This Row],[Status]]="Delivered",IF(Clean_Data[[#This Row],[DeliveryMinutes]]&lt;=Dashboard!$X$5,1,0),0)</f>
        <v>0</v>
      </c>
      <c r="Y5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6" s="3">
        <f>IF(AND(Clean_Data[[#This Row],[Include]]=1,Clean_Data[[#This Row],[DeliveredFlag]]=1),1,0)</f>
        <v>0</v>
      </c>
      <c r="AA526" s="1">
        <f>IF(COUNTIF($D$2:D526,D526)=1,ROW()-1,ROWS(Clean_Data[OrderID])+1)</f>
        <v>901</v>
      </c>
      <c r="AB526" s="1">
        <f>IF(COUNTIF($F$2:F526,F526)=1,ROW()-1,ROWS(Clean_Data[OrderID])+1)</f>
        <v>901</v>
      </c>
      <c r="AC526" s="1">
        <f>IF(COUNTIF($G$2:G526,G526)=1,ROW()-1,ROWS(Clean_Data[OrderID])+1)</f>
        <v>901</v>
      </c>
      <c r="AD526" s="1">
        <f>IF(COUNTIF($H$2:H526,H526)=1,ROW()-1,ROWS(Clean_Data[OrderID])+1)</f>
        <v>901</v>
      </c>
      <c r="AE526" s="1">
        <f>IF(COUNTIF($V$2:V526,V526)=1,V526,ROWS(Clean_Data[OrderID])+1)</f>
        <v>901</v>
      </c>
      <c r="AF526" s="1">
        <f>IF(COUNTIF($U$2:U526,U526)=1,U526,ROWS(Clean_Data[OrderID])+1)</f>
        <v>901</v>
      </c>
      <c r="AG526" s="1">
        <f>IF(COUNTIF($E$2:E526,E526)=1,ROW()-1,ROWS(Clean_Data[OrderID])+1)</f>
        <v>901</v>
      </c>
    </row>
    <row r="527" spans="1:33" ht="20" customHeight="1">
      <c r="A527" s="3" t="s">
        <v>900</v>
      </c>
      <c r="B527" s="2">
        <v>46283</v>
      </c>
      <c r="C527" s="3">
        <v>17</v>
      </c>
      <c r="D527" s="3" t="s">
        <v>901</v>
      </c>
      <c r="E527" s="3" t="s">
        <v>117</v>
      </c>
      <c r="F527" s="3" t="s">
        <v>109</v>
      </c>
      <c r="G527" s="3" t="s">
        <v>99</v>
      </c>
      <c r="H527" s="3" t="s">
        <v>100</v>
      </c>
      <c r="I527" s="3">
        <v>4</v>
      </c>
      <c r="J527" s="11">
        <v>120</v>
      </c>
      <c r="K527" s="4">
        <v>0</v>
      </c>
      <c r="L527" s="3" t="s">
        <v>95</v>
      </c>
      <c r="M527" s="3">
        <v>29</v>
      </c>
      <c r="N527" s="3">
        <v>10</v>
      </c>
      <c r="O527" s="3">
        <v>5</v>
      </c>
      <c r="P527" s="11">
        <f>Clean_Data[[#This Row],[Quantity]]*Clean_Data[[#This Row],[UnitPrice]]</f>
        <v>480</v>
      </c>
      <c r="Q527" s="11">
        <f>ROUND(Clean_Data[[#This Row],[GrossSales]]*Clean_Data[[#This Row],[DiscountPct]],2)</f>
        <v>0</v>
      </c>
      <c r="R527" s="11">
        <f>IF(Clean_Data[[#This Row],[Status]]="Delivered",ROUND(Clean_Data[[#This Row],[GrossSales]]-Clean_Data[[#This Row],[DiscountAmount]],2),0)</f>
        <v>480</v>
      </c>
      <c r="S527" s="3" t="str">
        <f>IF(Clean_Data[[#This Row],[OrderHour]]&lt;6,"Night",IF(Clean_Data[[#This Row],[OrderHour]]&lt;12,"Morning",IF(Clean_Data[[#This Row],[OrderHour]]&lt;18,"Afternoon","Evening")))</f>
        <v>Afternoon</v>
      </c>
      <c r="T527" s="3" t="str">
        <f>TEXT(Clean_Data[[#This Row],[OrderDate]],"[$-409]ddd")</f>
        <v>Fri</v>
      </c>
      <c r="U527" s="3">
        <f>WEEKDAY(Clean_Data[[#This Row],[OrderDate]],2)</f>
        <v>5</v>
      </c>
      <c r="V527" s="3">
        <f>INT(Clean_Data[[#This Row],[OrderHour]]/6)+1</f>
        <v>3</v>
      </c>
      <c r="W527" s="3">
        <f>IF(Clean_Data[[#This Row],[Status]]="Delivered",1,0)</f>
        <v>1</v>
      </c>
      <c r="X527" s="3">
        <f>IF(Clean_Data[[#This Row],[Status]]="Delivered",IF(Clean_Data[[#This Row],[DeliveryMinutes]]&lt;=Dashboard!$X$5,1,0),0)</f>
        <v>1</v>
      </c>
      <c r="Y5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7" s="3">
        <f>IF(AND(Clean_Data[[#This Row],[Include]]=1,Clean_Data[[#This Row],[DeliveredFlag]]=1),1,0)</f>
        <v>1</v>
      </c>
      <c r="AA527" s="1">
        <f>IF(COUNTIF($D$2:D527,D527)=1,ROW()-1,ROWS(Clean_Data[OrderID])+1)</f>
        <v>526</v>
      </c>
      <c r="AB527" s="1">
        <f>IF(COUNTIF($F$2:F527,F527)=1,ROW()-1,ROWS(Clean_Data[OrderID])+1)</f>
        <v>901</v>
      </c>
      <c r="AC527" s="1">
        <f>IF(COUNTIF($G$2:G527,G527)=1,ROW()-1,ROWS(Clean_Data[OrderID])+1)</f>
        <v>901</v>
      </c>
      <c r="AD527" s="1">
        <f>IF(COUNTIF($H$2:H527,H527)=1,ROW()-1,ROWS(Clean_Data[OrderID])+1)</f>
        <v>901</v>
      </c>
      <c r="AE527" s="1">
        <f>IF(COUNTIF($V$2:V527,V527)=1,V527,ROWS(Clean_Data[OrderID])+1)</f>
        <v>901</v>
      </c>
      <c r="AF527" s="1">
        <f>IF(COUNTIF($U$2:U527,U527)=1,U527,ROWS(Clean_Data[OrderID])+1)</f>
        <v>901</v>
      </c>
      <c r="AG527" s="1">
        <f>IF(COUNTIF($E$2:E527,E527)=1,ROW()-1,ROWS(Clean_Data[OrderID])+1)</f>
        <v>901</v>
      </c>
    </row>
    <row r="528" spans="1:33" ht="20" customHeight="1">
      <c r="A528" s="3" t="s">
        <v>902</v>
      </c>
      <c r="B528" s="2">
        <v>46283</v>
      </c>
      <c r="C528" s="3">
        <v>22</v>
      </c>
      <c r="D528" s="3" t="s">
        <v>444</v>
      </c>
      <c r="E528" s="3" t="s">
        <v>91</v>
      </c>
      <c r="F528" s="3" t="s">
        <v>98</v>
      </c>
      <c r="G528" s="3" t="s">
        <v>135</v>
      </c>
      <c r="H528" s="3" t="s">
        <v>136</v>
      </c>
      <c r="I528" s="3">
        <v>1</v>
      </c>
      <c r="J528" s="11">
        <v>40</v>
      </c>
      <c r="K528" s="4">
        <v>0</v>
      </c>
      <c r="L528" s="3" t="s">
        <v>101</v>
      </c>
      <c r="M528" s="3"/>
      <c r="N528" s="3"/>
      <c r="O528" s="3"/>
      <c r="P528" s="11">
        <f>Clean_Data[[#This Row],[Quantity]]*Clean_Data[[#This Row],[UnitPrice]]</f>
        <v>40</v>
      </c>
      <c r="Q528" s="11">
        <f>ROUND(Clean_Data[[#This Row],[GrossSales]]*Clean_Data[[#This Row],[DiscountPct]],2)</f>
        <v>0</v>
      </c>
      <c r="R528" s="11">
        <f>IF(Clean_Data[[#This Row],[Status]]="Delivered",ROUND(Clean_Data[[#This Row],[GrossSales]]-Clean_Data[[#This Row],[DiscountAmount]],2),0)</f>
        <v>0</v>
      </c>
      <c r="S528" s="3" t="str">
        <f>IF(Clean_Data[[#This Row],[OrderHour]]&lt;6,"Night",IF(Clean_Data[[#This Row],[OrderHour]]&lt;12,"Morning",IF(Clean_Data[[#This Row],[OrderHour]]&lt;18,"Afternoon","Evening")))</f>
        <v>Evening</v>
      </c>
      <c r="T528" s="3" t="str">
        <f>TEXT(Clean_Data[[#This Row],[OrderDate]],"[$-409]ddd")</f>
        <v>Fri</v>
      </c>
      <c r="U528" s="3">
        <f>WEEKDAY(Clean_Data[[#This Row],[OrderDate]],2)</f>
        <v>5</v>
      </c>
      <c r="V528" s="3">
        <f>INT(Clean_Data[[#This Row],[OrderHour]]/6)+1</f>
        <v>4</v>
      </c>
      <c r="W528" s="3">
        <f>IF(Clean_Data[[#This Row],[Status]]="Delivered",1,0)</f>
        <v>0</v>
      </c>
      <c r="X528" s="3">
        <f>IF(Clean_Data[[#This Row],[Status]]="Delivered",IF(Clean_Data[[#This Row],[DeliveryMinutes]]&lt;=Dashboard!$X$5,1,0),0)</f>
        <v>0</v>
      </c>
      <c r="Y5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8" s="3">
        <f>IF(AND(Clean_Data[[#This Row],[Include]]=1,Clean_Data[[#This Row],[DeliveredFlag]]=1),1,0)</f>
        <v>0</v>
      </c>
      <c r="AA528" s="1">
        <f>IF(COUNTIF($D$2:D528,D528)=1,ROW()-1,ROWS(Clean_Data[OrderID])+1)</f>
        <v>901</v>
      </c>
      <c r="AB528" s="1">
        <f>IF(COUNTIF($F$2:F528,F528)=1,ROW()-1,ROWS(Clean_Data[OrderID])+1)</f>
        <v>901</v>
      </c>
      <c r="AC528" s="1">
        <f>IF(COUNTIF($G$2:G528,G528)=1,ROW()-1,ROWS(Clean_Data[OrderID])+1)</f>
        <v>901</v>
      </c>
      <c r="AD528" s="1">
        <f>IF(COUNTIF($H$2:H528,H528)=1,ROW()-1,ROWS(Clean_Data[OrderID])+1)</f>
        <v>901</v>
      </c>
      <c r="AE528" s="1">
        <f>IF(COUNTIF($V$2:V528,V528)=1,V528,ROWS(Clean_Data[OrderID])+1)</f>
        <v>901</v>
      </c>
      <c r="AF528" s="1">
        <f>IF(COUNTIF($U$2:U528,U528)=1,U528,ROWS(Clean_Data[OrderID])+1)</f>
        <v>901</v>
      </c>
      <c r="AG528" s="1">
        <f>IF(COUNTIF($E$2:E528,E528)=1,ROW()-1,ROWS(Clean_Data[OrderID])+1)</f>
        <v>901</v>
      </c>
    </row>
    <row r="529" spans="1:33" ht="20" customHeight="1">
      <c r="A529" s="3" t="s">
        <v>903</v>
      </c>
      <c r="B529" s="2">
        <v>46283</v>
      </c>
      <c r="C529" s="3">
        <v>17</v>
      </c>
      <c r="D529" s="3" t="s">
        <v>230</v>
      </c>
      <c r="E529" s="3" t="s">
        <v>91</v>
      </c>
      <c r="F529" s="3" t="s">
        <v>139</v>
      </c>
      <c r="G529" s="3" t="s">
        <v>174</v>
      </c>
      <c r="H529" s="3" t="s">
        <v>175</v>
      </c>
      <c r="I529" s="3">
        <v>1</v>
      </c>
      <c r="J529" s="11">
        <v>155</v>
      </c>
      <c r="K529" s="4">
        <v>0.05</v>
      </c>
      <c r="L529" s="3" t="s">
        <v>95</v>
      </c>
      <c r="M529" s="3">
        <v>13</v>
      </c>
      <c r="N529" s="3">
        <v>5</v>
      </c>
      <c r="O529" s="3">
        <v>5</v>
      </c>
      <c r="P529" s="11">
        <f>Clean_Data[[#This Row],[Quantity]]*Clean_Data[[#This Row],[UnitPrice]]</f>
        <v>155</v>
      </c>
      <c r="Q529" s="11">
        <f>ROUND(Clean_Data[[#This Row],[GrossSales]]*Clean_Data[[#This Row],[DiscountPct]],2)</f>
        <v>7.75</v>
      </c>
      <c r="R529" s="11">
        <f>IF(Clean_Data[[#This Row],[Status]]="Delivered",ROUND(Clean_Data[[#This Row],[GrossSales]]-Clean_Data[[#This Row],[DiscountAmount]],2),0)</f>
        <v>147.25</v>
      </c>
      <c r="S529" s="3" t="str">
        <f>IF(Clean_Data[[#This Row],[OrderHour]]&lt;6,"Night",IF(Clean_Data[[#This Row],[OrderHour]]&lt;12,"Morning",IF(Clean_Data[[#This Row],[OrderHour]]&lt;18,"Afternoon","Evening")))</f>
        <v>Afternoon</v>
      </c>
      <c r="T529" s="3" t="str">
        <f>TEXT(Clean_Data[[#This Row],[OrderDate]],"[$-409]ddd")</f>
        <v>Fri</v>
      </c>
      <c r="U529" s="3">
        <f>WEEKDAY(Clean_Data[[#This Row],[OrderDate]],2)</f>
        <v>5</v>
      </c>
      <c r="V529" s="3">
        <f>INT(Clean_Data[[#This Row],[OrderHour]]/6)+1</f>
        <v>3</v>
      </c>
      <c r="W529" s="3">
        <f>IF(Clean_Data[[#This Row],[Status]]="Delivered",1,0)</f>
        <v>1</v>
      </c>
      <c r="X529" s="3">
        <f>IF(Clean_Data[[#This Row],[Status]]="Delivered",IF(Clean_Data[[#This Row],[DeliveryMinutes]]&lt;=Dashboard!$X$5,1,0),0)</f>
        <v>1</v>
      </c>
      <c r="Y5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29" s="3">
        <f>IF(AND(Clean_Data[[#This Row],[Include]]=1,Clean_Data[[#This Row],[DeliveredFlag]]=1),1,0)</f>
        <v>1</v>
      </c>
      <c r="AA529" s="1">
        <f>IF(COUNTIF($D$2:D529,D529)=1,ROW()-1,ROWS(Clean_Data[OrderID])+1)</f>
        <v>901</v>
      </c>
      <c r="AB529" s="1">
        <f>IF(COUNTIF($F$2:F529,F529)=1,ROW()-1,ROWS(Clean_Data[OrderID])+1)</f>
        <v>901</v>
      </c>
      <c r="AC529" s="1">
        <f>IF(COUNTIF($G$2:G529,G529)=1,ROW()-1,ROWS(Clean_Data[OrderID])+1)</f>
        <v>901</v>
      </c>
      <c r="AD529" s="1">
        <f>IF(COUNTIF($H$2:H529,H529)=1,ROW()-1,ROWS(Clean_Data[OrderID])+1)</f>
        <v>901</v>
      </c>
      <c r="AE529" s="1">
        <f>IF(COUNTIF($V$2:V529,V529)=1,V529,ROWS(Clean_Data[OrderID])+1)</f>
        <v>901</v>
      </c>
      <c r="AF529" s="1">
        <f>IF(COUNTIF($U$2:U529,U529)=1,U529,ROWS(Clean_Data[OrderID])+1)</f>
        <v>901</v>
      </c>
      <c r="AG529" s="1">
        <f>IF(COUNTIF($E$2:E529,E529)=1,ROW()-1,ROWS(Clean_Data[OrderID])+1)</f>
        <v>901</v>
      </c>
    </row>
    <row r="530" spans="1:33" ht="20" customHeight="1">
      <c r="A530" s="3" t="s">
        <v>904</v>
      </c>
      <c r="B530" s="2">
        <v>46283</v>
      </c>
      <c r="C530" s="3">
        <v>10</v>
      </c>
      <c r="D530" s="3" t="s">
        <v>444</v>
      </c>
      <c r="E530" s="3" t="s">
        <v>91</v>
      </c>
      <c r="F530" s="3" t="s">
        <v>98</v>
      </c>
      <c r="G530" s="3" t="s">
        <v>110</v>
      </c>
      <c r="H530" s="3" t="s">
        <v>114</v>
      </c>
      <c r="I530" s="3">
        <v>4</v>
      </c>
      <c r="J530" s="11">
        <v>145</v>
      </c>
      <c r="K530" s="4">
        <v>0.05</v>
      </c>
      <c r="L530" s="3" t="s">
        <v>95</v>
      </c>
      <c r="M530" s="3">
        <v>35</v>
      </c>
      <c r="N530" s="3">
        <v>9</v>
      </c>
      <c r="O530" s="3">
        <v>4</v>
      </c>
      <c r="P530" s="11">
        <f>Clean_Data[[#This Row],[Quantity]]*Clean_Data[[#This Row],[UnitPrice]]</f>
        <v>580</v>
      </c>
      <c r="Q530" s="11">
        <f>ROUND(Clean_Data[[#This Row],[GrossSales]]*Clean_Data[[#This Row],[DiscountPct]],2)</f>
        <v>29</v>
      </c>
      <c r="R530" s="11">
        <f>IF(Clean_Data[[#This Row],[Status]]="Delivered",ROUND(Clean_Data[[#This Row],[GrossSales]]-Clean_Data[[#This Row],[DiscountAmount]],2),0)</f>
        <v>551</v>
      </c>
      <c r="S530" s="3" t="str">
        <f>IF(Clean_Data[[#This Row],[OrderHour]]&lt;6,"Night",IF(Clean_Data[[#This Row],[OrderHour]]&lt;12,"Morning",IF(Clean_Data[[#This Row],[OrderHour]]&lt;18,"Afternoon","Evening")))</f>
        <v>Morning</v>
      </c>
      <c r="T530" s="3" t="str">
        <f>TEXT(Clean_Data[[#This Row],[OrderDate]],"[$-409]ddd")</f>
        <v>Fri</v>
      </c>
      <c r="U530" s="3">
        <f>WEEKDAY(Clean_Data[[#This Row],[OrderDate]],2)</f>
        <v>5</v>
      </c>
      <c r="V530" s="3">
        <f>INT(Clean_Data[[#This Row],[OrderHour]]/6)+1</f>
        <v>2</v>
      </c>
      <c r="W530" s="3">
        <f>IF(Clean_Data[[#This Row],[Status]]="Delivered",1,0)</f>
        <v>1</v>
      </c>
      <c r="X530" s="3">
        <f>IF(Clean_Data[[#This Row],[Status]]="Delivered",IF(Clean_Data[[#This Row],[DeliveryMinutes]]&lt;=Dashboard!$X$5,1,0),0)</f>
        <v>0</v>
      </c>
      <c r="Y5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0" s="3">
        <f>IF(AND(Clean_Data[[#This Row],[Include]]=1,Clean_Data[[#This Row],[DeliveredFlag]]=1),1,0)</f>
        <v>1</v>
      </c>
      <c r="AA530" s="1">
        <f>IF(COUNTIF($D$2:D530,D530)=1,ROW()-1,ROWS(Clean_Data[OrderID])+1)</f>
        <v>901</v>
      </c>
      <c r="AB530" s="1">
        <f>IF(COUNTIF($F$2:F530,F530)=1,ROW()-1,ROWS(Clean_Data[OrderID])+1)</f>
        <v>901</v>
      </c>
      <c r="AC530" s="1">
        <f>IF(COUNTIF($G$2:G530,G530)=1,ROW()-1,ROWS(Clean_Data[OrderID])+1)</f>
        <v>901</v>
      </c>
      <c r="AD530" s="1">
        <f>IF(COUNTIF($H$2:H530,H530)=1,ROW()-1,ROWS(Clean_Data[OrderID])+1)</f>
        <v>901</v>
      </c>
      <c r="AE530" s="1">
        <f>IF(COUNTIF($V$2:V530,V530)=1,V530,ROWS(Clean_Data[OrderID])+1)</f>
        <v>901</v>
      </c>
      <c r="AF530" s="1">
        <f>IF(COUNTIF($U$2:U530,U530)=1,U530,ROWS(Clean_Data[OrderID])+1)</f>
        <v>901</v>
      </c>
      <c r="AG530" s="1">
        <f>IF(COUNTIF($E$2:E530,E530)=1,ROW()-1,ROWS(Clean_Data[OrderID])+1)</f>
        <v>901</v>
      </c>
    </row>
    <row r="531" spans="1:33" ht="20" customHeight="1">
      <c r="A531" s="3" t="s">
        <v>905</v>
      </c>
      <c r="B531" s="2">
        <v>46283</v>
      </c>
      <c r="C531" s="3">
        <v>16</v>
      </c>
      <c r="D531" s="3" t="s">
        <v>219</v>
      </c>
      <c r="E531" s="3" t="s">
        <v>91</v>
      </c>
      <c r="F531" s="3" t="s">
        <v>92</v>
      </c>
      <c r="G531" s="3" t="s">
        <v>135</v>
      </c>
      <c r="H531" s="3" t="s">
        <v>162</v>
      </c>
      <c r="I531" s="3">
        <v>6</v>
      </c>
      <c r="J531" s="11">
        <v>180</v>
      </c>
      <c r="K531" s="4">
        <v>0.15</v>
      </c>
      <c r="L531" s="3" t="s">
        <v>95</v>
      </c>
      <c r="M531" s="3">
        <v>31</v>
      </c>
      <c r="N531" s="3">
        <v>6</v>
      </c>
      <c r="O531" s="3">
        <v>5</v>
      </c>
      <c r="P531" s="11">
        <f>Clean_Data[[#This Row],[Quantity]]*Clean_Data[[#This Row],[UnitPrice]]</f>
        <v>1080</v>
      </c>
      <c r="Q531" s="11">
        <f>ROUND(Clean_Data[[#This Row],[GrossSales]]*Clean_Data[[#This Row],[DiscountPct]],2)</f>
        <v>162</v>
      </c>
      <c r="R531" s="11">
        <f>IF(Clean_Data[[#This Row],[Status]]="Delivered",ROUND(Clean_Data[[#This Row],[GrossSales]]-Clean_Data[[#This Row],[DiscountAmount]],2),0)</f>
        <v>918</v>
      </c>
      <c r="S531" s="3" t="str">
        <f>IF(Clean_Data[[#This Row],[OrderHour]]&lt;6,"Night",IF(Clean_Data[[#This Row],[OrderHour]]&lt;12,"Morning",IF(Clean_Data[[#This Row],[OrderHour]]&lt;18,"Afternoon","Evening")))</f>
        <v>Afternoon</v>
      </c>
      <c r="T531" s="3" t="str">
        <f>TEXT(Clean_Data[[#This Row],[OrderDate]],"[$-409]ddd")</f>
        <v>Fri</v>
      </c>
      <c r="U531" s="3">
        <f>WEEKDAY(Clean_Data[[#This Row],[OrderDate]],2)</f>
        <v>5</v>
      </c>
      <c r="V531" s="3">
        <f>INT(Clean_Data[[#This Row],[OrderHour]]/6)+1</f>
        <v>3</v>
      </c>
      <c r="W531" s="3">
        <f>IF(Clean_Data[[#This Row],[Status]]="Delivered",1,0)</f>
        <v>1</v>
      </c>
      <c r="X531" s="3">
        <f>IF(Clean_Data[[#This Row],[Status]]="Delivered",IF(Clean_Data[[#This Row],[DeliveryMinutes]]&lt;=Dashboard!$X$5,1,0),0)</f>
        <v>0</v>
      </c>
      <c r="Y5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1" s="3">
        <f>IF(AND(Clean_Data[[#This Row],[Include]]=1,Clean_Data[[#This Row],[DeliveredFlag]]=1),1,0)</f>
        <v>1</v>
      </c>
      <c r="AA531" s="1">
        <f>IF(COUNTIF($D$2:D531,D531)=1,ROW()-1,ROWS(Clean_Data[OrderID])+1)</f>
        <v>901</v>
      </c>
      <c r="AB531" s="1">
        <f>IF(COUNTIF($F$2:F531,F531)=1,ROW()-1,ROWS(Clean_Data[OrderID])+1)</f>
        <v>901</v>
      </c>
      <c r="AC531" s="1">
        <f>IF(COUNTIF($G$2:G531,G531)=1,ROW()-1,ROWS(Clean_Data[OrderID])+1)</f>
        <v>901</v>
      </c>
      <c r="AD531" s="1">
        <f>IF(COUNTIF($H$2:H531,H531)=1,ROW()-1,ROWS(Clean_Data[OrderID])+1)</f>
        <v>901</v>
      </c>
      <c r="AE531" s="1">
        <f>IF(COUNTIF($V$2:V531,V531)=1,V531,ROWS(Clean_Data[OrderID])+1)</f>
        <v>901</v>
      </c>
      <c r="AF531" s="1">
        <f>IF(COUNTIF($U$2:U531,U531)=1,U531,ROWS(Clean_Data[OrderID])+1)</f>
        <v>901</v>
      </c>
      <c r="AG531" s="1">
        <f>IF(COUNTIF($E$2:E531,E531)=1,ROW()-1,ROWS(Clean_Data[OrderID])+1)</f>
        <v>901</v>
      </c>
    </row>
    <row r="532" spans="1:33" ht="20" customHeight="1">
      <c r="A532" s="3" t="s">
        <v>906</v>
      </c>
      <c r="B532" s="2">
        <v>46283</v>
      </c>
      <c r="C532" s="3">
        <v>21</v>
      </c>
      <c r="D532" s="3" t="s">
        <v>628</v>
      </c>
      <c r="E532" s="3" t="s">
        <v>91</v>
      </c>
      <c r="F532" s="3" t="s">
        <v>92</v>
      </c>
      <c r="G532" s="3" t="s">
        <v>174</v>
      </c>
      <c r="H532" s="3" t="s">
        <v>175</v>
      </c>
      <c r="I532" s="3">
        <v>4</v>
      </c>
      <c r="J532" s="11">
        <v>155</v>
      </c>
      <c r="K532" s="4">
        <v>0.15</v>
      </c>
      <c r="L532" s="3" t="s">
        <v>95</v>
      </c>
      <c r="M532" s="3">
        <v>14</v>
      </c>
      <c r="N532" s="3">
        <v>9</v>
      </c>
      <c r="O532" s="3">
        <v>3</v>
      </c>
      <c r="P532" s="11">
        <f>Clean_Data[[#This Row],[Quantity]]*Clean_Data[[#This Row],[UnitPrice]]</f>
        <v>620</v>
      </c>
      <c r="Q532" s="11">
        <f>ROUND(Clean_Data[[#This Row],[GrossSales]]*Clean_Data[[#This Row],[DiscountPct]],2)</f>
        <v>93</v>
      </c>
      <c r="R532" s="11">
        <f>IF(Clean_Data[[#This Row],[Status]]="Delivered",ROUND(Clean_Data[[#This Row],[GrossSales]]-Clean_Data[[#This Row],[DiscountAmount]],2),0)</f>
        <v>527</v>
      </c>
      <c r="S532" s="3" t="str">
        <f>IF(Clean_Data[[#This Row],[OrderHour]]&lt;6,"Night",IF(Clean_Data[[#This Row],[OrderHour]]&lt;12,"Morning",IF(Clean_Data[[#This Row],[OrderHour]]&lt;18,"Afternoon","Evening")))</f>
        <v>Evening</v>
      </c>
      <c r="T532" s="3" t="str">
        <f>TEXT(Clean_Data[[#This Row],[OrderDate]],"[$-409]ddd")</f>
        <v>Fri</v>
      </c>
      <c r="U532" s="3">
        <f>WEEKDAY(Clean_Data[[#This Row],[OrderDate]],2)</f>
        <v>5</v>
      </c>
      <c r="V532" s="3">
        <f>INT(Clean_Data[[#This Row],[OrderHour]]/6)+1</f>
        <v>4</v>
      </c>
      <c r="W532" s="3">
        <f>IF(Clean_Data[[#This Row],[Status]]="Delivered",1,0)</f>
        <v>1</v>
      </c>
      <c r="X532" s="3">
        <f>IF(Clean_Data[[#This Row],[Status]]="Delivered",IF(Clean_Data[[#This Row],[DeliveryMinutes]]&lt;=Dashboard!$X$5,1,0),0)</f>
        <v>1</v>
      </c>
      <c r="Y5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2" s="3">
        <f>IF(AND(Clean_Data[[#This Row],[Include]]=1,Clean_Data[[#This Row],[DeliveredFlag]]=1),1,0)</f>
        <v>1</v>
      </c>
      <c r="AA532" s="1">
        <f>IF(COUNTIF($D$2:D532,D532)=1,ROW()-1,ROWS(Clean_Data[OrderID])+1)</f>
        <v>901</v>
      </c>
      <c r="AB532" s="1">
        <f>IF(COUNTIF($F$2:F532,F532)=1,ROW()-1,ROWS(Clean_Data[OrderID])+1)</f>
        <v>901</v>
      </c>
      <c r="AC532" s="1">
        <f>IF(COUNTIF($G$2:G532,G532)=1,ROW()-1,ROWS(Clean_Data[OrderID])+1)</f>
        <v>901</v>
      </c>
      <c r="AD532" s="1">
        <f>IF(COUNTIF($H$2:H532,H532)=1,ROW()-1,ROWS(Clean_Data[OrderID])+1)</f>
        <v>901</v>
      </c>
      <c r="AE532" s="1">
        <f>IF(COUNTIF($V$2:V532,V532)=1,V532,ROWS(Clean_Data[OrderID])+1)</f>
        <v>901</v>
      </c>
      <c r="AF532" s="1">
        <f>IF(COUNTIF($U$2:U532,U532)=1,U532,ROWS(Clean_Data[OrderID])+1)</f>
        <v>901</v>
      </c>
      <c r="AG532" s="1">
        <f>IF(COUNTIF($E$2:E532,E532)=1,ROW()-1,ROWS(Clean_Data[OrderID])+1)</f>
        <v>901</v>
      </c>
    </row>
    <row r="533" spans="1:33" ht="20" customHeight="1">
      <c r="A533" s="3" t="s">
        <v>907</v>
      </c>
      <c r="B533" s="2">
        <v>46283</v>
      </c>
      <c r="C533" s="3">
        <v>14</v>
      </c>
      <c r="D533" s="3" t="s">
        <v>452</v>
      </c>
      <c r="E533" s="3" t="s">
        <v>91</v>
      </c>
      <c r="F533" s="3" t="s">
        <v>139</v>
      </c>
      <c r="G533" s="3" t="s">
        <v>174</v>
      </c>
      <c r="H533" s="3" t="s">
        <v>274</v>
      </c>
      <c r="I533" s="3">
        <v>1</v>
      </c>
      <c r="J533" s="11">
        <v>90</v>
      </c>
      <c r="K533" s="4">
        <v>0</v>
      </c>
      <c r="L533" s="3" t="s">
        <v>95</v>
      </c>
      <c r="M533" s="3">
        <v>19</v>
      </c>
      <c r="N533" s="3">
        <v>8</v>
      </c>
      <c r="O533" s="3">
        <v>3</v>
      </c>
      <c r="P533" s="11">
        <f>Clean_Data[[#This Row],[Quantity]]*Clean_Data[[#This Row],[UnitPrice]]</f>
        <v>90</v>
      </c>
      <c r="Q533" s="11">
        <f>ROUND(Clean_Data[[#This Row],[GrossSales]]*Clean_Data[[#This Row],[DiscountPct]],2)</f>
        <v>0</v>
      </c>
      <c r="R533" s="11">
        <f>IF(Clean_Data[[#This Row],[Status]]="Delivered",ROUND(Clean_Data[[#This Row],[GrossSales]]-Clean_Data[[#This Row],[DiscountAmount]],2),0)</f>
        <v>90</v>
      </c>
      <c r="S533" s="3" t="str">
        <f>IF(Clean_Data[[#This Row],[OrderHour]]&lt;6,"Night",IF(Clean_Data[[#This Row],[OrderHour]]&lt;12,"Morning",IF(Clean_Data[[#This Row],[OrderHour]]&lt;18,"Afternoon","Evening")))</f>
        <v>Afternoon</v>
      </c>
      <c r="T533" s="3" t="str">
        <f>TEXT(Clean_Data[[#This Row],[OrderDate]],"[$-409]ddd")</f>
        <v>Fri</v>
      </c>
      <c r="U533" s="3">
        <f>WEEKDAY(Clean_Data[[#This Row],[OrderDate]],2)</f>
        <v>5</v>
      </c>
      <c r="V533" s="3">
        <f>INT(Clean_Data[[#This Row],[OrderHour]]/6)+1</f>
        <v>3</v>
      </c>
      <c r="W533" s="3">
        <f>IF(Clean_Data[[#This Row],[Status]]="Delivered",1,0)</f>
        <v>1</v>
      </c>
      <c r="X533" s="3">
        <f>IF(Clean_Data[[#This Row],[Status]]="Delivered",IF(Clean_Data[[#This Row],[DeliveryMinutes]]&lt;=Dashboard!$X$5,1,0),0)</f>
        <v>1</v>
      </c>
      <c r="Y5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3" s="3">
        <f>IF(AND(Clean_Data[[#This Row],[Include]]=1,Clean_Data[[#This Row],[DeliveredFlag]]=1),1,0)</f>
        <v>1</v>
      </c>
      <c r="AA533" s="1">
        <f>IF(COUNTIF($D$2:D533,D533)=1,ROW()-1,ROWS(Clean_Data[OrderID])+1)</f>
        <v>901</v>
      </c>
      <c r="AB533" s="1">
        <f>IF(COUNTIF($F$2:F533,F533)=1,ROW()-1,ROWS(Clean_Data[OrderID])+1)</f>
        <v>901</v>
      </c>
      <c r="AC533" s="1">
        <f>IF(COUNTIF($G$2:G533,G533)=1,ROW()-1,ROWS(Clean_Data[OrderID])+1)</f>
        <v>901</v>
      </c>
      <c r="AD533" s="1">
        <f>IF(COUNTIF($H$2:H533,H533)=1,ROW()-1,ROWS(Clean_Data[OrderID])+1)</f>
        <v>901</v>
      </c>
      <c r="AE533" s="1">
        <f>IF(COUNTIF($V$2:V533,V533)=1,V533,ROWS(Clean_Data[OrderID])+1)</f>
        <v>901</v>
      </c>
      <c r="AF533" s="1">
        <f>IF(COUNTIF($U$2:U533,U533)=1,U533,ROWS(Clean_Data[OrderID])+1)</f>
        <v>901</v>
      </c>
      <c r="AG533" s="1">
        <f>IF(COUNTIF($E$2:E533,E533)=1,ROW()-1,ROWS(Clean_Data[OrderID])+1)</f>
        <v>901</v>
      </c>
    </row>
    <row r="534" spans="1:33" ht="20" customHeight="1">
      <c r="A534" s="3" t="s">
        <v>908</v>
      </c>
      <c r="B534" s="2">
        <v>46283</v>
      </c>
      <c r="C534" s="3">
        <v>19</v>
      </c>
      <c r="D534" s="3" t="s">
        <v>909</v>
      </c>
      <c r="E534" s="3" t="s">
        <v>117</v>
      </c>
      <c r="F534" s="3" t="s">
        <v>98</v>
      </c>
      <c r="G534" s="3" t="s">
        <v>99</v>
      </c>
      <c r="H534" s="3" t="s">
        <v>100</v>
      </c>
      <c r="I534" s="3">
        <v>2</v>
      </c>
      <c r="J534" s="11">
        <v>120</v>
      </c>
      <c r="K534" s="4">
        <v>0.15</v>
      </c>
      <c r="L534" s="3" t="s">
        <v>95</v>
      </c>
      <c r="M534" s="3">
        <v>36</v>
      </c>
      <c r="N534" s="3">
        <v>8</v>
      </c>
      <c r="O534" s="3">
        <v>4</v>
      </c>
      <c r="P534" s="11">
        <f>Clean_Data[[#This Row],[Quantity]]*Clean_Data[[#This Row],[UnitPrice]]</f>
        <v>240</v>
      </c>
      <c r="Q534" s="11">
        <f>ROUND(Clean_Data[[#This Row],[GrossSales]]*Clean_Data[[#This Row],[DiscountPct]],2)</f>
        <v>36</v>
      </c>
      <c r="R534" s="11">
        <f>IF(Clean_Data[[#This Row],[Status]]="Delivered",ROUND(Clean_Data[[#This Row],[GrossSales]]-Clean_Data[[#This Row],[DiscountAmount]],2),0)</f>
        <v>204</v>
      </c>
      <c r="S534" s="3" t="str">
        <f>IF(Clean_Data[[#This Row],[OrderHour]]&lt;6,"Night",IF(Clean_Data[[#This Row],[OrderHour]]&lt;12,"Morning",IF(Clean_Data[[#This Row],[OrderHour]]&lt;18,"Afternoon","Evening")))</f>
        <v>Evening</v>
      </c>
      <c r="T534" s="3" t="str">
        <f>TEXT(Clean_Data[[#This Row],[OrderDate]],"[$-409]ddd")</f>
        <v>Fri</v>
      </c>
      <c r="U534" s="3">
        <f>WEEKDAY(Clean_Data[[#This Row],[OrderDate]],2)</f>
        <v>5</v>
      </c>
      <c r="V534" s="3">
        <f>INT(Clean_Data[[#This Row],[OrderHour]]/6)+1</f>
        <v>4</v>
      </c>
      <c r="W534" s="3">
        <f>IF(Clean_Data[[#This Row],[Status]]="Delivered",1,0)</f>
        <v>1</v>
      </c>
      <c r="X534" s="3">
        <f>IF(Clean_Data[[#This Row],[Status]]="Delivered",IF(Clean_Data[[#This Row],[DeliveryMinutes]]&lt;=Dashboard!$X$5,1,0),0)</f>
        <v>0</v>
      </c>
      <c r="Y5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4" s="3">
        <f>IF(AND(Clean_Data[[#This Row],[Include]]=1,Clean_Data[[#This Row],[DeliveredFlag]]=1),1,0)</f>
        <v>1</v>
      </c>
      <c r="AA534" s="1">
        <f>IF(COUNTIF($D$2:D534,D534)=1,ROW()-1,ROWS(Clean_Data[OrderID])+1)</f>
        <v>533</v>
      </c>
      <c r="AB534" s="1">
        <f>IF(COUNTIF($F$2:F534,F534)=1,ROW()-1,ROWS(Clean_Data[OrderID])+1)</f>
        <v>901</v>
      </c>
      <c r="AC534" s="1">
        <f>IF(COUNTIF($G$2:G534,G534)=1,ROW()-1,ROWS(Clean_Data[OrderID])+1)</f>
        <v>901</v>
      </c>
      <c r="AD534" s="1">
        <f>IF(COUNTIF($H$2:H534,H534)=1,ROW()-1,ROWS(Clean_Data[OrderID])+1)</f>
        <v>901</v>
      </c>
      <c r="AE534" s="1">
        <f>IF(COUNTIF($V$2:V534,V534)=1,V534,ROWS(Clean_Data[OrderID])+1)</f>
        <v>901</v>
      </c>
      <c r="AF534" s="1">
        <f>IF(COUNTIF($U$2:U534,U534)=1,U534,ROWS(Clean_Data[OrderID])+1)</f>
        <v>901</v>
      </c>
      <c r="AG534" s="1">
        <f>IF(COUNTIF($E$2:E534,E534)=1,ROW()-1,ROWS(Clean_Data[OrderID])+1)</f>
        <v>901</v>
      </c>
    </row>
    <row r="535" spans="1:33" ht="20" customHeight="1">
      <c r="A535" s="3" t="s">
        <v>910</v>
      </c>
      <c r="B535" s="2">
        <v>46283</v>
      </c>
      <c r="C535" s="3">
        <v>6</v>
      </c>
      <c r="D535" s="3" t="s">
        <v>754</v>
      </c>
      <c r="E535" s="3" t="s">
        <v>91</v>
      </c>
      <c r="F535" s="3" t="s">
        <v>109</v>
      </c>
      <c r="G535" s="3" t="s">
        <v>135</v>
      </c>
      <c r="H535" s="3" t="s">
        <v>136</v>
      </c>
      <c r="I535" s="3">
        <v>2</v>
      </c>
      <c r="J535" s="11">
        <v>40</v>
      </c>
      <c r="K535" s="4">
        <v>0.1</v>
      </c>
      <c r="L535" s="3" t="s">
        <v>95</v>
      </c>
      <c r="M535" s="3">
        <v>36</v>
      </c>
      <c r="N535" s="3">
        <v>13</v>
      </c>
      <c r="O535" s="3">
        <v>4</v>
      </c>
      <c r="P535" s="11">
        <f>Clean_Data[[#This Row],[Quantity]]*Clean_Data[[#This Row],[UnitPrice]]</f>
        <v>80</v>
      </c>
      <c r="Q535" s="11">
        <f>ROUND(Clean_Data[[#This Row],[GrossSales]]*Clean_Data[[#This Row],[DiscountPct]],2)</f>
        <v>8</v>
      </c>
      <c r="R535" s="11">
        <f>IF(Clean_Data[[#This Row],[Status]]="Delivered",ROUND(Clean_Data[[#This Row],[GrossSales]]-Clean_Data[[#This Row],[DiscountAmount]],2),0)</f>
        <v>72</v>
      </c>
      <c r="S535" s="3" t="str">
        <f>IF(Clean_Data[[#This Row],[OrderHour]]&lt;6,"Night",IF(Clean_Data[[#This Row],[OrderHour]]&lt;12,"Morning",IF(Clean_Data[[#This Row],[OrderHour]]&lt;18,"Afternoon","Evening")))</f>
        <v>Morning</v>
      </c>
      <c r="T535" s="3" t="str">
        <f>TEXT(Clean_Data[[#This Row],[OrderDate]],"[$-409]ddd")</f>
        <v>Fri</v>
      </c>
      <c r="U535" s="3">
        <f>WEEKDAY(Clean_Data[[#This Row],[OrderDate]],2)</f>
        <v>5</v>
      </c>
      <c r="V535" s="3">
        <f>INT(Clean_Data[[#This Row],[OrderHour]]/6)+1</f>
        <v>2</v>
      </c>
      <c r="W535" s="3">
        <f>IF(Clean_Data[[#This Row],[Status]]="Delivered",1,0)</f>
        <v>1</v>
      </c>
      <c r="X535" s="3">
        <f>IF(Clean_Data[[#This Row],[Status]]="Delivered",IF(Clean_Data[[#This Row],[DeliveryMinutes]]&lt;=Dashboard!$X$5,1,0),0)</f>
        <v>0</v>
      </c>
      <c r="Y5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5" s="3">
        <f>IF(AND(Clean_Data[[#This Row],[Include]]=1,Clean_Data[[#This Row],[DeliveredFlag]]=1),1,0)</f>
        <v>1</v>
      </c>
      <c r="AA535" s="1">
        <f>IF(COUNTIF($D$2:D535,D535)=1,ROW()-1,ROWS(Clean_Data[OrderID])+1)</f>
        <v>901</v>
      </c>
      <c r="AB535" s="1">
        <f>IF(COUNTIF($F$2:F535,F535)=1,ROW()-1,ROWS(Clean_Data[OrderID])+1)</f>
        <v>901</v>
      </c>
      <c r="AC535" s="1">
        <f>IF(COUNTIF($G$2:G535,G535)=1,ROW()-1,ROWS(Clean_Data[OrderID])+1)</f>
        <v>901</v>
      </c>
      <c r="AD535" s="1">
        <f>IF(COUNTIF($H$2:H535,H535)=1,ROW()-1,ROWS(Clean_Data[OrderID])+1)</f>
        <v>901</v>
      </c>
      <c r="AE535" s="1">
        <f>IF(COUNTIF($V$2:V535,V535)=1,V535,ROWS(Clean_Data[OrderID])+1)</f>
        <v>901</v>
      </c>
      <c r="AF535" s="1">
        <f>IF(COUNTIF($U$2:U535,U535)=1,U535,ROWS(Clean_Data[OrderID])+1)</f>
        <v>901</v>
      </c>
      <c r="AG535" s="1">
        <f>IF(COUNTIF($E$2:E535,E535)=1,ROW()-1,ROWS(Clean_Data[OrderID])+1)</f>
        <v>901</v>
      </c>
    </row>
    <row r="536" spans="1:33" ht="20" customHeight="1">
      <c r="A536" s="3" t="s">
        <v>911</v>
      </c>
      <c r="B536" s="2">
        <v>46283</v>
      </c>
      <c r="C536" s="3">
        <v>6</v>
      </c>
      <c r="D536" s="3" t="s">
        <v>901</v>
      </c>
      <c r="E536" s="3" t="s">
        <v>117</v>
      </c>
      <c r="F536" s="3" t="s">
        <v>92</v>
      </c>
      <c r="G536" s="3" t="s">
        <v>174</v>
      </c>
      <c r="H536" s="3" t="s">
        <v>184</v>
      </c>
      <c r="I536" s="3">
        <v>4</v>
      </c>
      <c r="J536" s="11">
        <v>62</v>
      </c>
      <c r="K536" s="4">
        <v>0.05</v>
      </c>
      <c r="L536" s="3" t="s">
        <v>95</v>
      </c>
      <c r="M536" s="3">
        <v>34</v>
      </c>
      <c r="N536" s="3">
        <v>6</v>
      </c>
      <c r="O536" s="3">
        <v>4</v>
      </c>
      <c r="P536" s="11">
        <f>Clean_Data[[#This Row],[Quantity]]*Clean_Data[[#This Row],[UnitPrice]]</f>
        <v>248</v>
      </c>
      <c r="Q536" s="11">
        <f>ROUND(Clean_Data[[#This Row],[GrossSales]]*Clean_Data[[#This Row],[DiscountPct]],2)</f>
        <v>12.4</v>
      </c>
      <c r="R536" s="11">
        <f>IF(Clean_Data[[#This Row],[Status]]="Delivered",ROUND(Clean_Data[[#This Row],[GrossSales]]-Clean_Data[[#This Row],[DiscountAmount]],2),0)</f>
        <v>235.6</v>
      </c>
      <c r="S536" s="3" t="str">
        <f>IF(Clean_Data[[#This Row],[OrderHour]]&lt;6,"Night",IF(Clean_Data[[#This Row],[OrderHour]]&lt;12,"Morning",IF(Clean_Data[[#This Row],[OrderHour]]&lt;18,"Afternoon","Evening")))</f>
        <v>Morning</v>
      </c>
      <c r="T536" s="3" t="str">
        <f>TEXT(Clean_Data[[#This Row],[OrderDate]],"[$-409]ddd")</f>
        <v>Fri</v>
      </c>
      <c r="U536" s="3">
        <f>WEEKDAY(Clean_Data[[#This Row],[OrderDate]],2)</f>
        <v>5</v>
      </c>
      <c r="V536" s="3">
        <f>INT(Clean_Data[[#This Row],[OrderHour]]/6)+1</f>
        <v>2</v>
      </c>
      <c r="W536" s="3">
        <f>IF(Clean_Data[[#This Row],[Status]]="Delivered",1,0)</f>
        <v>1</v>
      </c>
      <c r="X536" s="3">
        <f>IF(Clean_Data[[#This Row],[Status]]="Delivered",IF(Clean_Data[[#This Row],[DeliveryMinutes]]&lt;=Dashboard!$X$5,1,0),0)</f>
        <v>0</v>
      </c>
      <c r="Y5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6" s="3">
        <f>IF(AND(Clean_Data[[#This Row],[Include]]=1,Clean_Data[[#This Row],[DeliveredFlag]]=1),1,0)</f>
        <v>1</v>
      </c>
      <c r="AA536" s="1">
        <f>IF(COUNTIF($D$2:D536,D536)=1,ROW()-1,ROWS(Clean_Data[OrderID])+1)</f>
        <v>901</v>
      </c>
      <c r="AB536" s="1">
        <f>IF(COUNTIF($F$2:F536,F536)=1,ROW()-1,ROWS(Clean_Data[OrderID])+1)</f>
        <v>901</v>
      </c>
      <c r="AC536" s="1">
        <f>IF(COUNTIF($G$2:G536,G536)=1,ROW()-1,ROWS(Clean_Data[OrderID])+1)</f>
        <v>901</v>
      </c>
      <c r="AD536" s="1">
        <f>IF(COUNTIF($H$2:H536,H536)=1,ROW()-1,ROWS(Clean_Data[OrderID])+1)</f>
        <v>901</v>
      </c>
      <c r="AE536" s="1">
        <f>IF(COUNTIF($V$2:V536,V536)=1,V536,ROWS(Clean_Data[OrderID])+1)</f>
        <v>901</v>
      </c>
      <c r="AF536" s="1">
        <f>IF(COUNTIF($U$2:U536,U536)=1,U536,ROWS(Clean_Data[OrderID])+1)</f>
        <v>901</v>
      </c>
      <c r="AG536" s="1">
        <f>IF(COUNTIF($E$2:E536,E536)=1,ROW()-1,ROWS(Clean_Data[OrderID])+1)</f>
        <v>901</v>
      </c>
    </row>
    <row r="537" spans="1:33" ht="20" customHeight="1">
      <c r="A537" s="3" t="s">
        <v>912</v>
      </c>
      <c r="B537" s="2">
        <v>46283</v>
      </c>
      <c r="C537" s="3">
        <v>19</v>
      </c>
      <c r="D537" s="3" t="s">
        <v>913</v>
      </c>
      <c r="E537" s="3" t="s">
        <v>91</v>
      </c>
      <c r="F537" s="3" t="s">
        <v>92</v>
      </c>
      <c r="G537" s="3" t="s">
        <v>93</v>
      </c>
      <c r="H537" s="3" t="s">
        <v>94</v>
      </c>
      <c r="I537" s="3">
        <v>5</v>
      </c>
      <c r="J537" s="11">
        <v>95</v>
      </c>
      <c r="K537" s="4">
        <v>0</v>
      </c>
      <c r="L537" s="3" t="s">
        <v>95</v>
      </c>
      <c r="M537" s="3">
        <v>17</v>
      </c>
      <c r="N537" s="3">
        <v>7</v>
      </c>
      <c r="O537" s="3">
        <v>5</v>
      </c>
      <c r="P537" s="11">
        <f>Clean_Data[[#This Row],[Quantity]]*Clean_Data[[#This Row],[UnitPrice]]</f>
        <v>475</v>
      </c>
      <c r="Q537" s="11">
        <f>ROUND(Clean_Data[[#This Row],[GrossSales]]*Clean_Data[[#This Row],[DiscountPct]],2)</f>
        <v>0</v>
      </c>
      <c r="R537" s="11">
        <f>IF(Clean_Data[[#This Row],[Status]]="Delivered",ROUND(Clean_Data[[#This Row],[GrossSales]]-Clean_Data[[#This Row],[DiscountAmount]],2),0)</f>
        <v>475</v>
      </c>
      <c r="S537" s="3" t="str">
        <f>IF(Clean_Data[[#This Row],[OrderHour]]&lt;6,"Night",IF(Clean_Data[[#This Row],[OrderHour]]&lt;12,"Morning",IF(Clean_Data[[#This Row],[OrderHour]]&lt;18,"Afternoon","Evening")))</f>
        <v>Evening</v>
      </c>
      <c r="T537" s="3" t="str">
        <f>TEXT(Clean_Data[[#This Row],[OrderDate]],"[$-409]ddd")</f>
        <v>Fri</v>
      </c>
      <c r="U537" s="3">
        <f>WEEKDAY(Clean_Data[[#This Row],[OrderDate]],2)</f>
        <v>5</v>
      </c>
      <c r="V537" s="3">
        <f>INT(Clean_Data[[#This Row],[OrderHour]]/6)+1</f>
        <v>4</v>
      </c>
      <c r="W537" s="3">
        <f>IF(Clean_Data[[#This Row],[Status]]="Delivered",1,0)</f>
        <v>1</v>
      </c>
      <c r="X537" s="3">
        <f>IF(Clean_Data[[#This Row],[Status]]="Delivered",IF(Clean_Data[[#This Row],[DeliveryMinutes]]&lt;=Dashboard!$X$5,1,0),0)</f>
        <v>1</v>
      </c>
      <c r="Y5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7" s="3">
        <f>IF(AND(Clean_Data[[#This Row],[Include]]=1,Clean_Data[[#This Row],[DeliveredFlag]]=1),1,0)</f>
        <v>1</v>
      </c>
      <c r="AA537" s="1">
        <f>IF(COUNTIF($D$2:D537,D537)=1,ROW()-1,ROWS(Clean_Data[OrderID])+1)</f>
        <v>536</v>
      </c>
      <c r="AB537" s="1">
        <f>IF(COUNTIF($F$2:F537,F537)=1,ROW()-1,ROWS(Clean_Data[OrderID])+1)</f>
        <v>901</v>
      </c>
      <c r="AC537" s="1">
        <f>IF(COUNTIF($G$2:G537,G537)=1,ROW()-1,ROWS(Clean_Data[OrderID])+1)</f>
        <v>901</v>
      </c>
      <c r="AD537" s="1">
        <f>IF(COUNTIF($H$2:H537,H537)=1,ROW()-1,ROWS(Clean_Data[OrderID])+1)</f>
        <v>901</v>
      </c>
      <c r="AE537" s="1">
        <f>IF(COUNTIF($V$2:V537,V537)=1,V537,ROWS(Clean_Data[OrderID])+1)</f>
        <v>901</v>
      </c>
      <c r="AF537" s="1">
        <f>IF(COUNTIF($U$2:U537,U537)=1,U537,ROWS(Clean_Data[OrderID])+1)</f>
        <v>901</v>
      </c>
      <c r="AG537" s="1">
        <f>IF(COUNTIF($E$2:E537,E537)=1,ROW()-1,ROWS(Clean_Data[OrderID])+1)</f>
        <v>901</v>
      </c>
    </row>
    <row r="538" spans="1:33" ht="20" customHeight="1">
      <c r="A538" s="3" t="s">
        <v>914</v>
      </c>
      <c r="B538" s="2">
        <v>46283</v>
      </c>
      <c r="C538" s="3">
        <v>11</v>
      </c>
      <c r="D538" s="3" t="s">
        <v>236</v>
      </c>
      <c r="E538" s="3" t="s">
        <v>91</v>
      </c>
      <c r="F538" s="3" t="s">
        <v>121</v>
      </c>
      <c r="G538" s="3" t="s">
        <v>122</v>
      </c>
      <c r="H538" s="3" t="s">
        <v>153</v>
      </c>
      <c r="I538" s="3">
        <v>1</v>
      </c>
      <c r="J538" s="11">
        <v>130</v>
      </c>
      <c r="K538" s="4">
        <v>0</v>
      </c>
      <c r="L538" s="3" t="s">
        <v>95</v>
      </c>
      <c r="M538" s="3">
        <v>24</v>
      </c>
      <c r="N538" s="3">
        <v>7</v>
      </c>
      <c r="O538" s="3">
        <v>4</v>
      </c>
      <c r="P538" s="11">
        <f>Clean_Data[[#This Row],[Quantity]]*Clean_Data[[#This Row],[UnitPrice]]</f>
        <v>130</v>
      </c>
      <c r="Q538" s="11">
        <f>ROUND(Clean_Data[[#This Row],[GrossSales]]*Clean_Data[[#This Row],[DiscountPct]],2)</f>
        <v>0</v>
      </c>
      <c r="R538" s="11">
        <f>IF(Clean_Data[[#This Row],[Status]]="Delivered",ROUND(Clean_Data[[#This Row],[GrossSales]]-Clean_Data[[#This Row],[DiscountAmount]],2),0)</f>
        <v>130</v>
      </c>
      <c r="S538" s="3" t="str">
        <f>IF(Clean_Data[[#This Row],[OrderHour]]&lt;6,"Night",IF(Clean_Data[[#This Row],[OrderHour]]&lt;12,"Morning",IF(Clean_Data[[#This Row],[OrderHour]]&lt;18,"Afternoon","Evening")))</f>
        <v>Morning</v>
      </c>
      <c r="T538" s="3" t="str">
        <f>TEXT(Clean_Data[[#This Row],[OrderDate]],"[$-409]ddd")</f>
        <v>Fri</v>
      </c>
      <c r="U538" s="3">
        <f>WEEKDAY(Clean_Data[[#This Row],[OrderDate]],2)</f>
        <v>5</v>
      </c>
      <c r="V538" s="3">
        <f>INT(Clean_Data[[#This Row],[OrderHour]]/6)+1</f>
        <v>2</v>
      </c>
      <c r="W538" s="3">
        <f>IF(Clean_Data[[#This Row],[Status]]="Delivered",1,0)</f>
        <v>1</v>
      </c>
      <c r="X538" s="3">
        <f>IF(Clean_Data[[#This Row],[Status]]="Delivered",IF(Clean_Data[[#This Row],[DeliveryMinutes]]&lt;=Dashboard!$X$5,1,0),0)</f>
        <v>1</v>
      </c>
      <c r="Y5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8" s="3">
        <f>IF(AND(Clean_Data[[#This Row],[Include]]=1,Clean_Data[[#This Row],[DeliveredFlag]]=1),1,0)</f>
        <v>1</v>
      </c>
      <c r="AA538" s="1">
        <f>IF(COUNTIF($D$2:D538,D538)=1,ROW()-1,ROWS(Clean_Data[OrderID])+1)</f>
        <v>901</v>
      </c>
      <c r="AB538" s="1">
        <f>IF(COUNTIF($F$2:F538,F538)=1,ROW()-1,ROWS(Clean_Data[OrderID])+1)</f>
        <v>901</v>
      </c>
      <c r="AC538" s="1">
        <f>IF(COUNTIF($G$2:G538,G538)=1,ROW()-1,ROWS(Clean_Data[OrderID])+1)</f>
        <v>901</v>
      </c>
      <c r="AD538" s="1">
        <f>IF(COUNTIF($H$2:H538,H538)=1,ROW()-1,ROWS(Clean_Data[OrderID])+1)</f>
        <v>901</v>
      </c>
      <c r="AE538" s="1">
        <f>IF(COUNTIF($V$2:V538,V538)=1,V538,ROWS(Clean_Data[OrderID])+1)</f>
        <v>901</v>
      </c>
      <c r="AF538" s="1">
        <f>IF(COUNTIF($U$2:U538,U538)=1,U538,ROWS(Clean_Data[OrderID])+1)</f>
        <v>901</v>
      </c>
      <c r="AG538" s="1">
        <f>IF(COUNTIF($E$2:E538,E538)=1,ROW()-1,ROWS(Clean_Data[OrderID])+1)</f>
        <v>901</v>
      </c>
    </row>
    <row r="539" spans="1:33" ht="20" customHeight="1">
      <c r="A539" s="3" t="s">
        <v>915</v>
      </c>
      <c r="B539" s="2">
        <v>46283</v>
      </c>
      <c r="C539" s="3">
        <v>22</v>
      </c>
      <c r="D539" s="3" t="s">
        <v>421</v>
      </c>
      <c r="E539" s="3" t="s">
        <v>117</v>
      </c>
      <c r="F539" s="3" t="s">
        <v>139</v>
      </c>
      <c r="G539" s="3" t="s">
        <v>93</v>
      </c>
      <c r="H539" s="3" t="s">
        <v>94</v>
      </c>
      <c r="I539" s="3">
        <v>2</v>
      </c>
      <c r="J539" s="11">
        <v>95</v>
      </c>
      <c r="K539" s="4">
        <v>0</v>
      </c>
      <c r="L539" s="3" t="s">
        <v>95</v>
      </c>
      <c r="M539" s="3">
        <v>16</v>
      </c>
      <c r="N539" s="3">
        <v>12</v>
      </c>
      <c r="O539" s="3">
        <v>5</v>
      </c>
      <c r="P539" s="11">
        <f>Clean_Data[[#This Row],[Quantity]]*Clean_Data[[#This Row],[UnitPrice]]</f>
        <v>190</v>
      </c>
      <c r="Q539" s="11">
        <f>ROUND(Clean_Data[[#This Row],[GrossSales]]*Clean_Data[[#This Row],[DiscountPct]],2)</f>
        <v>0</v>
      </c>
      <c r="R539" s="11">
        <f>IF(Clean_Data[[#This Row],[Status]]="Delivered",ROUND(Clean_Data[[#This Row],[GrossSales]]-Clean_Data[[#This Row],[DiscountAmount]],2),0)</f>
        <v>190</v>
      </c>
      <c r="S539" s="3" t="str">
        <f>IF(Clean_Data[[#This Row],[OrderHour]]&lt;6,"Night",IF(Clean_Data[[#This Row],[OrderHour]]&lt;12,"Morning",IF(Clean_Data[[#This Row],[OrderHour]]&lt;18,"Afternoon","Evening")))</f>
        <v>Evening</v>
      </c>
      <c r="T539" s="3" t="str">
        <f>TEXT(Clean_Data[[#This Row],[OrderDate]],"[$-409]ddd")</f>
        <v>Fri</v>
      </c>
      <c r="U539" s="3">
        <f>WEEKDAY(Clean_Data[[#This Row],[OrderDate]],2)</f>
        <v>5</v>
      </c>
      <c r="V539" s="3">
        <f>INT(Clean_Data[[#This Row],[OrderHour]]/6)+1</f>
        <v>4</v>
      </c>
      <c r="W539" s="3">
        <f>IF(Clean_Data[[#This Row],[Status]]="Delivered",1,0)</f>
        <v>1</v>
      </c>
      <c r="X539" s="3">
        <f>IF(Clean_Data[[#This Row],[Status]]="Delivered",IF(Clean_Data[[#This Row],[DeliveryMinutes]]&lt;=Dashboard!$X$5,1,0),0)</f>
        <v>1</v>
      </c>
      <c r="Y5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39" s="3">
        <f>IF(AND(Clean_Data[[#This Row],[Include]]=1,Clean_Data[[#This Row],[DeliveredFlag]]=1),1,0)</f>
        <v>1</v>
      </c>
      <c r="AA539" s="1">
        <f>IF(COUNTIF($D$2:D539,D539)=1,ROW()-1,ROWS(Clean_Data[OrderID])+1)</f>
        <v>901</v>
      </c>
      <c r="AB539" s="1">
        <f>IF(COUNTIF($F$2:F539,F539)=1,ROW()-1,ROWS(Clean_Data[OrderID])+1)</f>
        <v>901</v>
      </c>
      <c r="AC539" s="1">
        <f>IF(COUNTIF($G$2:G539,G539)=1,ROW()-1,ROWS(Clean_Data[OrderID])+1)</f>
        <v>901</v>
      </c>
      <c r="AD539" s="1">
        <f>IF(COUNTIF($H$2:H539,H539)=1,ROW()-1,ROWS(Clean_Data[OrderID])+1)</f>
        <v>901</v>
      </c>
      <c r="AE539" s="1">
        <f>IF(COUNTIF($V$2:V539,V539)=1,V539,ROWS(Clean_Data[OrderID])+1)</f>
        <v>901</v>
      </c>
      <c r="AF539" s="1">
        <f>IF(COUNTIF($U$2:U539,U539)=1,U539,ROWS(Clean_Data[OrderID])+1)</f>
        <v>901</v>
      </c>
      <c r="AG539" s="1">
        <f>IF(COUNTIF($E$2:E539,E539)=1,ROW()-1,ROWS(Clean_Data[OrderID])+1)</f>
        <v>901</v>
      </c>
    </row>
    <row r="540" spans="1:33" ht="20" customHeight="1">
      <c r="A540" s="3" t="s">
        <v>916</v>
      </c>
      <c r="B540" s="2">
        <v>46283</v>
      </c>
      <c r="C540" s="3">
        <v>22</v>
      </c>
      <c r="D540" s="3" t="s">
        <v>460</v>
      </c>
      <c r="E540" s="3" t="s">
        <v>117</v>
      </c>
      <c r="F540" s="3" t="s">
        <v>98</v>
      </c>
      <c r="G540" s="3" t="s">
        <v>99</v>
      </c>
      <c r="H540" s="3" t="s">
        <v>100</v>
      </c>
      <c r="I540" s="3">
        <v>4</v>
      </c>
      <c r="J540" s="11">
        <v>120</v>
      </c>
      <c r="K540" s="4">
        <v>0</v>
      </c>
      <c r="L540" s="3" t="s">
        <v>95</v>
      </c>
      <c r="M540" s="3">
        <v>22</v>
      </c>
      <c r="N540" s="3">
        <v>11</v>
      </c>
      <c r="O540" s="3">
        <v>5</v>
      </c>
      <c r="P540" s="11">
        <f>Clean_Data[[#This Row],[Quantity]]*Clean_Data[[#This Row],[UnitPrice]]</f>
        <v>480</v>
      </c>
      <c r="Q540" s="11">
        <f>ROUND(Clean_Data[[#This Row],[GrossSales]]*Clean_Data[[#This Row],[DiscountPct]],2)</f>
        <v>0</v>
      </c>
      <c r="R540" s="11">
        <f>IF(Clean_Data[[#This Row],[Status]]="Delivered",ROUND(Clean_Data[[#This Row],[GrossSales]]-Clean_Data[[#This Row],[DiscountAmount]],2),0)</f>
        <v>480</v>
      </c>
      <c r="S540" s="3" t="str">
        <f>IF(Clean_Data[[#This Row],[OrderHour]]&lt;6,"Night",IF(Clean_Data[[#This Row],[OrderHour]]&lt;12,"Morning",IF(Clean_Data[[#This Row],[OrderHour]]&lt;18,"Afternoon","Evening")))</f>
        <v>Evening</v>
      </c>
      <c r="T540" s="3" t="str">
        <f>TEXT(Clean_Data[[#This Row],[OrderDate]],"[$-409]ddd")</f>
        <v>Fri</v>
      </c>
      <c r="U540" s="3">
        <f>WEEKDAY(Clean_Data[[#This Row],[OrderDate]],2)</f>
        <v>5</v>
      </c>
      <c r="V540" s="3">
        <f>INT(Clean_Data[[#This Row],[OrderHour]]/6)+1</f>
        <v>4</v>
      </c>
      <c r="W540" s="3">
        <f>IF(Clean_Data[[#This Row],[Status]]="Delivered",1,0)</f>
        <v>1</v>
      </c>
      <c r="X540" s="3">
        <f>IF(Clean_Data[[#This Row],[Status]]="Delivered",IF(Clean_Data[[#This Row],[DeliveryMinutes]]&lt;=Dashboard!$X$5,1,0),0)</f>
        <v>1</v>
      </c>
      <c r="Y5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0" s="3">
        <f>IF(AND(Clean_Data[[#This Row],[Include]]=1,Clean_Data[[#This Row],[DeliveredFlag]]=1),1,0)</f>
        <v>1</v>
      </c>
      <c r="AA540" s="1">
        <f>IF(COUNTIF($D$2:D540,D540)=1,ROW()-1,ROWS(Clean_Data[OrderID])+1)</f>
        <v>901</v>
      </c>
      <c r="AB540" s="1">
        <f>IF(COUNTIF($F$2:F540,F540)=1,ROW()-1,ROWS(Clean_Data[OrderID])+1)</f>
        <v>901</v>
      </c>
      <c r="AC540" s="1">
        <f>IF(COUNTIF($G$2:G540,G540)=1,ROW()-1,ROWS(Clean_Data[OrderID])+1)</f>
        <v>901</v>
      </c>
      <c r="AD540" s="1">
        <f>IF(COUNTIF($H$2:H540,H540)=1,ROW()-1,ROWS(Clean_Data[OrderID])+1)</f>
        <v>901</v>
      </c>
      <c r="AE540" s="1">
        <f>IF(COUNTIF($V$2:V540,V540)=1,V540,ROWS(Clean_Data[OrderID])+1)</f>
        <v>901</v>
      </c>
      <c r="AF540" s="1">
        <f>IF(COUNTIF($U$2:U540,U540)=1,U540,ROWS(Clean_Data[OrderID])+1)</f>
        <v>901</v>
      </c>
      <c r="AG540" s="1">
        <f>IF(COUNTIF($E$2:E540,E540)=1,ROW()-1,ROWS(Clean_Data[OrderID])+1)</f>
        <v>901</v>
      </c>
    </row>
    <row r="541" spans="1:33" ht="20" customHeight="1">
      <c r="A541" s="3" t="s">
        <v>917</v>
      </c>
      <c r="B541" s="2">
        <v>46283</v>
      </c>
      <c r="C541" s="3">
        <v>14</v>
      </c>
      <c r="D541" s="3" t="s">
        <v>479</v>
      </c>
      <c r="E541" s="3" t="s">
        <v>117</v>
      </c>
      <c r="F541" s="3" t="s">
        <v>121</v>
      </c>
      <c r="G541" s="3" t="s">
        <v>99</v>
      </c>
      <c r="H541" s="3" t="s">
        <v>130</v>
      </c>
      <c r="I541" s="3">
        <v>5</v>
      </c>
      <c r="J541" s="11">
        <v>85</v>
      </c>
      <c r="K541" s="4">
        <v>0</v>
      </c>
      <c r="L541" s="3" t="s">
        <v>95</v>
      </c>
      <c r="M541" s="3">
        <v>21</v>
      </c>
      <c r="N541" s="3">
        <v>7</v>
      </c>
      <c r="O541" s="3">
        <v>5</v>
      </c>
      <c r="P541" s="11">
        <f>Clean_Data[[#This Row],[Quantity]]*Clean_Data[[#This Row],[UnitPrice]]</f>
        <v>425</v>
      </c>
      <c r="Q541" s="11">
        <f>ROUND(Clean_Data[[#This Row],[GrossSales]]*Clean_Data[[#This Row],[DiscountPct]],2)</f>
        <v>0</v>
      </c>
      <c r="R541" s="11">
        <f>IF(Clean_Data[[#This Row],[Status]]="Delivered",ROUND(Clean_Data[[#This Row],[GrossSales]]-Clean_Data[[#This Row],[DiscountAmount]],2),0)</f>
        <v>425</v>
      </c>
      <c r="S541" s="3" t="str">
        <f>IF(Clean_Data[[#This Row],[OrderHour]]&lt;6,"Night",IF(Clean_Data[[#This Row],[OrderHour]]&lt;12,"Morning",IF(Clean_Data[[#This Row],[OrderHour]]&lt;18,"Afternoon","Evening")))</f>
        <v>Afternoon</v>
      </c>
      <c r="T541" s="3" t="str">
        <f>TEXT(Clean_Data[[#This Row],[OrderDate]],"[$-409]ddd")</f>
        <v>Fri</v>
      </c>
      <c r="U541" s="3">
        <f>WEEKDAY(Clean_Data[[#This Row],[OrderDate]],2)</f>
        <v>5</v>
      </c>
      <c r="V541" s="3">
        <f>INT(Clean_Data[[#This Row],[OrderHour]]/6)+1</f>
        <v>3</v>
      </c>
      <c r="W541" s="3">
        <f>IF(Clean_Data[[#This Row],[Status]]="Delivered",1,0)</f>
        <v>1</v>
      </c>
      <c r="X541" s="3">
        <f>IF(Clean_Data[[#This Row],[Status]]="Delivered",IF(Clean_Data[[#This Row],[DeliveryMinutes]]&lt;=Dashboard!$X$5,1,0),0)</f>
        <v>1</v>
      </c>
      <c r="Y5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1" s="3">
        <f>IF(AND(Clean_Data[[#This Row],[Include]]=1,Clean_Data[[#This Row],[DeliveredFlag]]=1),1,0)</f>
        <v>1</v>
      </c>
      <c r="AA541" s="1">
        <f>IF(COUNTIF($D$2:D541,D541)=1,ROW()-1,ROWS(Clean_Data[OrderID])+1)</f>
        <v>901</v>
      </c>
      <c r="AB541" s="1">
        <f>IF(COUNTIF($F$2:F541,F541)=1,ROW()-1,ROWS(Clean_Data[OrderID])+1)</f>
        <v>901</v>
      </c>
      <c r="AC541" s="1">
        <f>IF(COUNTIF($G$2:G541,G541)=1,ROW()-1,ROWS(Clean_Data[OrderID])+1)</f>
        <v>901</v>
      </c>
      <c r="AD541" s="1">
        <f>IF(COUNTIF($H$2:H541,H541)=1,ROW()-1,ROWS(Clean_Data[OrderID])+1)</f>
        <v>901</v>
      </c>
      <c r="AE541" s="1">
        <f>IF(COUNTIF($V$2:V541,V541)=1,V541,ROWS(Clean_Data[OrderID])+1)</f>
        <v>901</v>
      </c>
      <c r="AF541" s="1">
        <f>IF(COUNTIF($U$2:U541,U541)=1,U541,ROWS(Clean_Data[OrderID])+1)</f>
        <v>901</v>
      </c>
      <c r="AG541" s="1">
        <f>IF(COUNTIF($E$2:E541,E541)=1,ROW()-1,ROWS(Clean_Data[OrderID])+1)</f>
        <v>901</v>
      </c>
    </row>
    <row r="542" spans="1:33" ht="20" customHeight="1">
      <c r="A542" s="3" t="s">
        <v>918</v>
      </c>
      <c r="B542" s="2">
        <v>46284</v>
      </c>
      <c r="C542" s="3">
        <v>23</v>
      </c>
      <c r="D542" s="3" t="s">
        <v>576</v>
      </c>
      <c r="E542" s="3" t="s">
        <v>91</v>
      </c>
      <c r="F542" s="3" t="s">
        <v>109</v>
      </c>
      <c r="G542" s="3" t="s">
        <v>110</v>
      </c>
      <c r="H542" s="3" t="s">
        <v>111</v>
      </c>
      <c r="I542" s="3">
        <v>3</v>
      </c>
      <c r="J542" s="11">
        <v>115</v>
      </c>
      <c r="K542" s="4">
        <v>0.05</v>
      </c>
      <c r="L542" s="3" t="s">
        <v>95</v>
      </c>
      <c r="M542" s="3">
        <v>32</v>
      </c>
      <c r="N542" s="3">
        <v>10</v>
      </c>
      <c r="O542" s="3">
        <v>4</v>
      </c>
      <c r="P542" s="11">
        <f>Clean_Data[[#This Row],[Quantity]]*Clean_Data[[#This Row],[UnitPrice]]</f>
        <v>345</v>
      </c>
      <c r="Q542" s="11">
        <f>ROUND(Clean_Data[[#This Row],[GrossSales]]*Clean_Data[[#This Row],[DiscountPct]],2)</f>
        <v>17.25</v>
      </c>
      <c r="R542" s="11">
        <f>IF(Clean_Data[[#This Row],[Status]]="Delivered",ROUND(Clean_Data[[#This Row],[GrossSales]]-Clean_Data[[#This Row],[DiscountAmount]],2),0)</f>
        <v>327.75</v>
      </c>
      <c r="S542" s="3" t="str">
        <f>IF(Clean_Data[[#This Row],[OrderHour]]&lt;6,"Night",IF(Clean_Data[[#This Row],[OrderHour]]&lt;12,"Morning",IF(Clean_Data[[#This Row],[OrderHour]]&lt;18,"Afternoon","Evening")))</f>
        <v>Evening</v>
      </c>
      <c r="T542" s="3" t="str">
        <f>TEXT(Clean_Data[[#This Row],[OrderDate]],"[$-409]ddd")</f>
        <v>Sat</v>
      </c>
      <c r="U542" s="3">
        <f>WEEKDAY(Clean_Data[[#This Row],[OrderDate]],2)</f>
        <v>6</v>
      </c>
      <c r="V542" s="3">
        <f>INT(Clean_Data[[#This Row],[OrderHour]]/6)+1</f>
        <v>4</v>
      </c>
      <c r="W542" s="3">
        <f>IF(Clean_Data[[#This Row],[Status]]="Delivered",1,0)</f>
        <v>1</v>
      </c>
      <c r="X542" s="3">
        <f>IF(Clean_Data[[#This Row],[Status]]="Delivered",IF(Clean_Data[[#This Row],[DeliveryMinutes]]&lt;=Dashboard!$X$5,1,0),0)</f>
        <v>0</v>
      </c>
      <c r="Y5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2" s="3">
        <f>IF(AND(Clean_Data[[#This Row],[Include]]=1,Clean_Data[[#This Row],[DeliveredFlag]]=1),1,0)</f>
        <v>1</v>
      </c>
      <c r="AA542" s="1">
        <f>IF(COUNTIF($D$2:D542,D542)=1,ROW()-1,ROWS(Clean_Data[OrderID])+1)</f>
        <v>901</v>
      </c>
      <c r="AB542" s="1">
        <f>IF(COUNTIF($F$2:F542,F542)=1,ROW()-1,ROWS(Clean_Data[OrderID])+1)</f>
        <v>901</v>
      </c>
      <c r="AC542" s="1">
        <f>IF(COUNTIF($G$2:G542,G542)=1,ROW()-1,ROWS(Clean_Data[OrderID])+1)</f>
        <v>901</v>
      </c>
      <c r="AD542" s="1">
        <f>IF(COUNTIF($H$2:H542,H542)=1,ROW()-1,ROWS(Clean_Data[OrderID])+1)</f>
        <v>901</v>
      </c>
      <c r="AE542" s="1">
        <f>IF(COUNTIF($V$2:V542,V542)=1,V542,ROWS(Clean_Data[OrderID])+1)</f>
        <v>901</v>
      </c>
      <c r="AF542" s="1">
        <f>IF(COUNTIF($U$2:U542,U542)=1,U542,ROWS(Clean_Data[OrderID])+1)</f>
        <v>901</v>
      </c>
      <c r="AG542" s="1">
        <f>IF(COUNTIF($E$2:E542,E542)=1,ROW()-1,ROWS(Clean_Data[OrderID])+1)</f>
        <v>901</v>
      </c>
    </row>
    <row r="543" spans="1:33" ht="20" customHeight="1">
      <c r="A543" s="3" t="s">
        <v>919</v>
      </c>
      <c r="B543" s="2">
        <v>46284</v>
      </c>
      <c r="C543" s="3">
        <v>14</v>
      </c>
      <c r="D543" s="3" t="s">
        <v>337</v>
      </c>
      <c r="E543" s="3" t="s">
        <v>117</v>
      </c>
      <c r="F543" s="3" t="s">
        <v>92</v>
      </c>
      <c r="G543" s="3" t="s">
        <v>122</v>
      </c>
      <c r="H543" s="3" t="s">
        <v>214</v>
      </c>
      <c r="I543" s="3">
        <v>1</v>
      </c>
      <c r="J543" s="11">
        <v>55</v>
      </c>
      <c r="K543" s="4">
        <v>0.1</v>
      </c>
      <c r="L543" s="3" t="s">
        <v>95</v>
      </c>
      <c r="M543" s="3">
        <v>20</v>
      </c>
      <c r="N543" s="3">
        <v>13</v>
      </c>
      <c r="O543" s="3">
        <v>4</v>
      </c>
      <c r="P543" s="11">
        <f>Clean_Data[[#This Row],[Quantity]]*Clean_Data[[#This Row],[UnitPrice]]</f>
        <v>55</v>
      </c>
      <c r="Q543" s="11">
        <f>ROUND(Clean_Data[[#This Row],[GrossSales]]*Clean_Data[[#This Row],[DiscountPct]],2)</f>
        <v>5.5</v>
      </c>
      <c r="R543" s="11">
        <f>IF(Clean_Data[[#This Row],[Status]]="Delivered",ROUND(Clean_Data[[#This Row],[GrossSales]]-Clean_Data[[#This Row],[DiscountAmount]],2),0)</f>
        <v>49.5</v>
      </c>
      <c r="S543" s="3" t="str">
        <f>IF(Clean_Data[[#This Row],[OrderHour]]&lt;6,"Night",IF(Clean_Data[[#This Row],[OrderHour]]&lt;12,"Morning",IF(Clean_Data[[#This Row],[OrderHour]]&lt;18,"Afternoon","Evening")))</f>
        <v>Afternoon</v>
      </c>
      <c r="T543" s="3" t="str">
        <f>TEXT(Clean_Data[[#This Row],[OrderDate]],"[$-409]ddd")</f>
        <v>Sat</v>
      </c>
      <c r="U543" s="3">
        <f>WEEKDAY(Clean_Data[[#This Row],[OrderDate]],2)</f>
        <v>6</v>
      </c>
      <c r="V543" s="3">
        <f>INT(Clean_Data[[#This Row],[OrderHour]]/6)+1</f>
        <v>3</v>
      </c>
      <c r="W543" s="3">
        <f>IF(Clean_Data[[#This Row],[Status]]="Delivered",1,0)</f>
        <v>1</v>
      </c>
      <c r="X543" s="3">
        <f>IF(Clean_Data[[#This Row],[Status]]="Delivered",IF(Clean_Data[[#This Row],[DeliveryMinutes]]&lt;=Dashboard!$X$5,1,0),0)</f>
        <v>1</v>
      </c>
      <c r="Y5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3" s="3">
        <f>IF(AND(Clean_Data[[#This Row],[Include]]=1,Clean_Data[[#This Row],[DeliveredFlag]]=1),1,0)</f>
        <v>1</v>
      </c>
      <c r="AA543" s="1">
        <f>IF(COUNTIF($D$2:D543,D543)=1,ROW()-1,ROWS(Clean_Data[OrderID])+1)</f>
        <v>901</v>
      </c>
      <c r="AB543" s="1">
        <f>IF(COUNTIF($F$2:F543,F543)=1,ROW()-1,ROWS(Clean_Data[OrderID])+1)</f>
        <v>901</v>
      </c>
      <c r="AC543" s="1">
        <f>IF(COUNTIF($G$2:G543,G543)=1,ROW()-1,ROWS(Clean_Data[OrderID])+1)</f>
        <v>901</v>
      </c>
      <c r="AD543" s="1">
        <f>IF(COUNTIF($H$2:H543,H543)=1,ROW()-1,ROWS(Clean_Data[OrderID])+1)</f>
        <v>901</v>
      </c>
      <c r="AE543" s="1">
        <f>IF(COUNTIF($V$2:V543,V543)=1,V543,ROWS(Clean_Data[OrderID])+1)</f>
        <v>901</v>
      </c>
      <c r="AF543" s="1">
        <f>IF(COUNTIF($U$2:U543,U543)=1,U543,ROWS(Clean_Data[OrderID])+1)</f>
        <v>901</v>
      </c>
      <c r="AG543" s="1">
        <f>IF(COUNTIF($E$2:E543,E543)=1,ROW()-1,ROWS(Clean_Data[OrderID])+1)</f>
        <v>901</v>
      </c>
    </row>
    <row r="544" spans="1:33" ht="20" customHeight="1">
      <c r="A544" s="3" t="s">
        <v>920</v>
      </c>
      <c r="B544" s="2">
        <v>46284</v>
      </c>
      <c r="C544" s="3">
        <v>17</v>
      </c>
      <c r="D544" s="3" t="s">
        <v>921</v>
      </c>
      <c r="E544" s="3" t="s">
        <v>117</v>
      </c>
      <c r="F544" s="3" t="s">
        <v>109</v>
      </c>
      <c r="G544" s="3" t="s">
        <v>99</v>
      </c>
      <c r="H544" s="3" t="s">
        <v>104</v>
      </c>
      <c r="I544" s="3">
        <v>6</v>
      </c>
      <c r="J544" s="11">
        <v>240</v>
      </c>
      <c r="K544" s="4">
        <v>0</v>
      </c>
      <c r="L544" s="3" t="s">
        <v>95</v>
      </c>
      <c r="M544" s="3">
        <v>28</v>
      </c>
      <c r="N544" s="3">
        <v>13</v>
      </c>
      <c r="O544" s="3">
        <v>4</v>
      </c>
      <c r="P544" s="11">
        <f>Clean_Data[[#This Row],[Quantity]]*Clean_Data[[#This Row],[UnitPrice]]</f>
        <v>1440</v>
      </c>
      <c r="Q544" s="11">
        <f>ROUND(Clean_Data[[#This Row],[GrossSales]]*Clean_Data[[#This Row],[DiscountPct]],2)</f>
        <v>0</v>
      </c>
      <c r="R544" s="11">
        <f>IF(Clean_Data[[#This Row],[Status]]="Delivered",ROUND(Clean_Data[[#This Row],[GrossSales]]-Clean_Data[[#This Row],[DiscountAmount]],2),0)</f>
        <v>1440</v>
      </c>
      <c r="S544" s="3" t="str">
        <f>IF(Clean_Data[[#This Row],[OrderHour]]&lt;6,"Night",IF(Clean_Data[[#This Row],[OrderHour]]&lt;12,"Morning",IF(Clean_Data[[#This Row],[OrderHour]]&lt;18,"Afternoon","Evening")))</f>
        <v>Afternoon</v>
      </c>
      <c r="T544" s="3" t="str">
        <f>TEXT(Clean_Data[[#This Row],[OrderDate]],"[$-409]ddd")</f>
        <v>Sat</v>
      </c>
      <c r="U544" s="3">
        <f>WEEKDAY(Clean_Data[[#This Row],[OrderDate]],2)</f>
        <v>6</v>
      </c>
      <c r="V544" s="3">
        <f>INT(Clean_Data[[#This Row],[OrderHour]]/6)+1</f>
        <v>3</v>
      </c>
      <c r="W544" s="3">
        <f>IF(Clean_Data[[#This Row],[Status]]="Delivered",1,0)</f>
        <v>1</v>
      </c>
      <c r="X544" s="3">
        <f>IF(Clean_Data[[#This Row],[Status]]="Delivered",IF(Clean_Data[[#This Row],[DeliveryMinutes]]&lt;=Dashboard!$X$5,1,0),0)</f>
        <v>1</v>
      </c>
      <c r="Y5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4" s="3">
        <f>IF(AND(Clean_Data[[#This Row],[Include]]=1,Clean_Data[[#This Row],[DeliveredFlag]]=1),1,0)</f>
        <v>1</v>
      </c>
      <c r="AA544" s="1">
        <f>IF(COUNTIF($D$2:D544,D544)=1,ROW()-1,ROWS(Clean_Data[OrderID])+1)</f>
        <v>543</v>
      </c>
      <c r="AB544" s="1">
        <f>IF(COUNTIF($F$2:F544,F544)=1,ROW()-1,ROWS(Clean_Data[OrderID])+1)</f>
        <v>901</v>
      </c>
      <c r="AC544" s="1">
        <f>IF(COUNTIF($G$2:G544,G544)=1,ROW()-1,ROWS(Clean_Data[OrderID])+1)</f>
        <v>901</v>
      </c>
      <c r="AD544" s="1">
        <f>IF(COUNTIF($H$2:H544,H544)=1,ROW()-1,ROWS(Clean_Data[OrderID])+1)</f>
        <v>901</v>
      </c>
      <c r="AE544" s="1">
        <f>IF(COUNTIF($V$2:V544,V544)=1,V544,ROWS(Clean_Data[OrderID])+1)</f>
        <v>901</v>
      </c>
      <c r="AF544" s="1">
        <f>IF(COUNTIF($U$2:U544,U544)=1,U544,ROWS(Clean_Data[OrderID])+1)</f>
        <v>901</v>
      </c>
      <c r="AG544" s="1">
        <f>IF(COUNTIF($E$2:E544,E544)=1,ROW()-1,ROWS(Clean_Data[OrderID])+1)</f>
        <v>901</v>
      </c>
    </row>
    <row r="545" spans="1:33" ht="20" customHeight="1">
      <c r="A545" s="3" t="s">
        <v>922</v>
      </c>
      <c r="B545" s="2">
        <v>46284</v>
      </c>
      <c r="C545" s="3">
        <v>17</v>
      </c>
      <c r="D545" s="3" t="s">
        <v>742</v>
      </c>
      <c r="E545" s="3" t="s">
        <v>91</v>
      </c>
      <c r="F545" s="3" t="s">
        <v>121</v>
      </c>
      <c r="G545" s="3" t="s">
        <v>110</v>
      </c>
      <c r="H545" s="3" t="s">
        <v>114</v>
      </c>
      <c r="I545" s="3">
        <v>4</v>
      </c>
      <c r="J545" s="11">
        <v>145</v>
      </c>
      <c r="K545" s="4">
        <v>0</v>
      </c>
      <c r="L545" s="3" t="s">
        <v>95</v>
      </c>
      <c r="M545" s="3">
        <v>14</v>
      </c>
      <c r="N545" s="3">
        <v>4</v>
      </c>
      <c r="O545" s="3">
        <v>5</v>
      </c>
      <c r="P545" s="11">
        <f>Clean_Data[[#This Row],[Quantity]]*Clean_Data[[#This Row],[UnitPrice]]</f>
        <v>580</v>
      </c>
      <c r="Q545" s="11">
        <f>ROUND(Clean_Data[[#This Row],[GrossSales]]*Clean_Data[[#This Row],[DiscountPct]],2)</f>
        <v>0</v>
      </c>
      <c r="R545" s="11">
        <f>IF(Clean_Data[[#This Row],[Status]]="Delivered",ROUND(Clean_Data[[#This Row],[GrossSales]]-Clean_Data[[#This Row],[DiscountAmount]],2),0)</f>
        <v>580</v>
      </c>
      <c r="S545" s="3" t="str">
        <f>IF(Clean_Data[[#This Row],[OrderHour]]&lt;6,"Night",IF(Clean_Data[[#This Row],[OrderHour]]&lt;12,"Morning",IF(Clean_Data[[#This Row],[OrderHour]]&lt;18,"Afternoon","Evening")))</f>
        <v>Afternoon</v>
      </c>
      <c r="T545" s="3" t="str">
        <f>TEXT(Clean_Data[[#This Row],[OrderDate]],"[$-409]ddd")</f>
        <v>Sat</v>
      </c>
      <c r="U545" s="3">
        <f>WEEKDAY(Clean_Data[[#This Row],[OrderDate]],2)</f>
        <v>6</v>
      </c>
      <c r="V545" s="3">
        <f>INT(Clean_Data[[#This Row],[OrderHour]]/6)+1</f>
        <v>3</v>
      </c>
      <c r="W545" s="3">
        <f>IF(Clean_Data[[#This Row],[Status]]="Delivered",1,0)</f>
        <v>1</v>
      </c>
      <c r="X545" s="3">
        <f>IF(Clean_Data[[#This Row],[Status]]="Delivered",IF(Clean_Data[[#This Row],[DeliveryMinutes]]&lt;=Dashboard!$X$5,1,0),0)</f>
        <v>1</v>
      </c>
      <c r="Y5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5" s="3">
        <f>IF(AND(Clean_Data[[#This Row],[Include]]=1,Clean_Data[[#This Row],[DeliveredFlag]]=1),1,0)</f>
        <v>1</v>
      </c>
      <c r="AA545" s="1">
        <f>IF(COUNTIF($D$2:D545,D545)=1,ROW()-1,ROWS(Clean_Data[OrderID])+1)</f>
        <v>901</v>
      </c>
      <c r="AB545" s="1">
        <f>IF(COUNTIF($F$2:F545,F545)=1,ROW()-1,ROWS(Clean_Data[OrderID])+1)</f>
        <v>901</v>
      </c>
      <c r="AC545" s="1">
        <f>IF(COUNTIF($G$2:G545,G545)=1,ROW()-1,ROWS(Clean_Data[OrderID])+1)</f>
        <v>901</v>
      </c>
      <c r="AD545" s="1">
        <f>IF(COUNTIF($H$2:H545,H545)=1,ROW()-1,ROWS(Clean_Data[OrderID])+1)</f>
        <v>901</v>
      </c>
      <c r="AE545" s="1">
        <f>IF(COUNTIF($V$2:V545,V545)=1,V545,ROWS(Clean_Data[OrderID])+1)</f>
        <v>901</v>
      </c>
      <c r="AF545" s="1">
        <f>IF(COUNTIF($U$2:U545,U545)=1,U545,ROWS(Clean_Data[OrderID])+1)</f>
        <v>901</v>
      </c>
      <c r="AG545" s="1">
        <f>IF(COUNTIF($E$2:E545,E545)=1,ROW()-1,ROWS(Clean_Data[OrderID])+1)</f>
        <v>901</v>
      </c>
    </row>
    <row r="546" spans="1:33" ht="20" customHeight="1">
      <c r="A546" s="3" t="s">
        <v>923</v>
      </c>
      <c r="B546" s="2">
        <v>46284</v>
      </c>
      <c r="C546" s="3">
        <v>18</v>
      </c>
      <c r="D546" s="3" t="s">
        <v>267</v>
      </c>
      <c r="E546" s="3" t="s">
        <v>91</v>
      </c>
      <c r="F546" s="3" t="s">
        <v>139</v>
      </c>
      <c r="G546" s="3" t="s">
        <v>99</v>
      </c>
      <c r="H546" s="3" t="s">
        <v>104</v>
      </c>
      <c r="I546" s="3">
        <v>5</v>
      </c>
      <c r="J546" s="11">
        <v>240</v>
      </c>
      <c r="K546" s="4">
        <v>0.1</v>
      </c>
      <c r="L546" s="3" t="s">
        <v>95</v>
      </c>
      <c r="M546" s="3">
        <v>31</v>
      </c>
      <c r="N546" s="3">
        <v>10</v>
      </c>
      <c r="O546" s="3">
        <v>5</v>
      </c>
      <c r="P546" s="11">
        <f>Clean_Data[[#This Row],[Quantity]]*Clean_Data[[#This Row],[UnitPrice]]</f>
        <v>1200</v>
      </c>
      <c r="Q546" s="11">
        <f>ROUND(Clean_Data[[#This Row],[GrossSales]]*Clean_Data[[#This Row],[DiscountPct]],2)</f>
        <v>120</v>
      </c>
      <c r="R546" s="11">
        <f>IF(Clean_Data[[#This Row],[Status]]="Delivered",ROUND(Clean_Data[[#This Row],[GrossSales]]-Clean_Data[[#This Row],[DiscountAmount]],2),0)</f>
        <v>1080</v>
      </c>
      <c r="S546" s="3" t="str">
        <f>IF(Clean_Data[[#This Row],[OrderHour]]&lt;6,"Night",IF(Clean_Data[[#This Row],[OrderHour]]&lt;12,"Morning",IF(Clean_Data[[#This Row],[OrderHour]]&lt;18,"Afternoon","Evening")))</f>
        <v>Evening</v>
      </c>
      <c r="T546" s="3" t="str">
        <f>TEXT(Clean_Data[[#This Row],[OrderDate]],"[$-409]ddd")</f>
        <v>Sat</v>
      </c>
      <c r="U546" s="3">
        <f>WEEKDAY(Clean_Data[[#This Row],[OrderDate]],2)</f>
        <v>6</v>
      </c>
      <c r="V546" s="3">
        <f>INT(Clean_Data[[#This Row],[OrderHour]]/6)+1</f>
        <v>4</v>
      </c>
      <c r="W546" s="3">
        <f>IF(Clean_Data[[#This Row],[Status]]="Delivered",1,0)</f>
        <v>1</v>
      </c>
      <c r="X546" s="3">
        <f>IF(Clean_Data[[#This Row],[Status]]="Delivered",IF(Clean_Data[[#This Row],[DeliveryMinutes]]&lt;=Dashboard!$X$5,1,0),0)</f>
        <v>0</v>
      </c>
      <c r="Y5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6" s="3">
        <f>IF(AND(Clean_Data[[#This Row],[Include]]=1,Clean_Data[[#This Row],[DeliveredFlag]]=1),1,0)</f>
        <v>1</v>
      </c>
      <c r="AA546" s="1">
        <f>IF(COUNTIF($D$2:D546,D546)=1,ROW()-1,ROWS(Clean_Data[OrderID])+1)</f>
        <v>901</v>
      </c>
      <c r="AB546" s="1">
        <f>IF(COUNTIF($F$2:F546,F546)=1,ROW()-1,ROWS(Clean_Data[OrderID])+1)</f>
        <v>901</v>
      </c>
      <c r="AC546" s="1">
        <f>IF(COUNTIF($G$2:G546,G546)=1,ROW()-1,ROWS(Clean_Data[OrderID])+1)</f>
        <v>901</v>
      </c>
      <c r="AD546" s="1">
        <f>IF(COUNTIF($H$2:H546,H546)=1,ROW()-1,ROWS(Clean_Data[OrderID])+1)</f>
        <v>901</v>
      </c>
      <c r="AE546" s="1">
        <f>IF(COUNTIF($V$2:V546,V546)=1,V546,ROWS(Clean_Data[OrderID])+1)</f>
        <v>901</v>
      </c>
      <c r="AF546" s="1">
        <f>IF(COUNTIF($U$2:U546,U546)=1,U546,ROWS(Clean_Data[OrderID])+1)</f>
        <v>901</v>
      </c>
      <c r="AG546" s="1">
        <f>IF(COUNTIF($E$2:E546,E546)=1,ROW()-1,ROWS(Clean_Data[OrderID])+1)</f>
        <v>901</v>
      </c>
    </row>
    <row r="547" spans="1:33" ht="20" customHeight="1">
      <c r="A547" s="3" t="s">
        <v>924</v>
      </c>
      <c r="B547" s="2">
        <v>46284</v>
      </c>
      <c r="C547" s="3">
        <v>10</v>
      </c>
      <c r="D547" s="3" t="s">
        <v>689</v>
      </c>
      <c r="E547" s="3" t="s">
        <v>91</v>
      </c>
      <c r="F547" s="3" t="s">
        <v>98</v>
      </c>
      <c r="G547" s="3" t="s">
        <v>174</v>
      </c>
      <c r="H547" s="3" t="s">
        <v>175</v>
      </c>
      <c r="I547" s="3">
        <v>4</v>
      </c>
      <c r="J547" s="11">
        <v>155</v>
      </c>
      <c r="K547" s="4">
        <v>0</v>
      </c>
      <c r="L547" s="3" t="s">
        <v>95</v>
      </c>
      <c r="M547" s="3">
        <v>13</v>
      </c>
      <c r="N547" s="3">
        <v>11</v>
      </c>
      <c r="O547" s="3">
        <v>4</v>
      </c>
      <c r="P547" s="11">
        <f>Clean_Data[[#This Row],[Quantity]]*Clean_Data[[#This Row],[UnitPrice]]</f>
        <v>620</v>
      </c>
      <c r="Q547" s="11">
        <f>ROUND(Clean_Data[[#This Row],[GrossSales]]*Clean_Data[[#This Row],[DiscountPct]],2)</f>
        <v>0</v>
      </c>
      <c r="R547" s="11">
        <f>IF(Clean_Data[[#This Row],[Status]]="Delivered",ROUND(Clean_Data[[#This Row],[GrossSales]]-Clean_Data[[#This Row],[DiscountAmount]],2),0)</f>
        <v>620</v>
      </c>
      <c r="S547" s="3" t="str">
        <f>IF(Clean_Data[[#This Row],[OrderHour]]&lt;6,"Night",IF(Clean_Data[[#This Row],[OrderHour]]&lt;12,"Morning",IF(Clean_Data[[#This Row],[OrderHour]]&lt;18,"Afternoon","Evening")))</f>
        <v>Morning</v>
      </c>
      <c r="T547" s="3" t="str">
        <f>TEXT(Clean_Data[[#This Row],[OrderDate]],"[$-409]ddd")</f>
        <v>Sat</v>
      </c>
      <c r="U547" s="3">
        <f>WEEKDAY(Clean_Data[[#This Row],[OrderDate]],2)</f>
        <v>6</v>
      </c>
      <c r="V547" s="3">
        <f>INT(Clean_Data[[#This Row],[OrderHour]]/6)+1</f>
        <v>2</v>
      </c>
      <c r="W547" s="3">
        <f>IF(Clean_Data[[#This Row],[Status]]="Delivered",1,0)</f>
        <v>1</v>
      </c>
      <c r="X547" s="3">
        <f>IF(Clean_Data[[#This Row],[Status]]="Delivered",IF(Clean_Data[[#This Row],[DeliveryMinutes]]&lt;=Dashboard!$X$5,1,0),0)</f>
        <v>1</v>
      </c>
      <c r="Y5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7" s="3">
        <f>IF(AND(Clean_Data[[#This Row],[Include]]=1,Clean_Data[[#This Row],[DeliveredFlag]]=1),1,0)</f>
        <v>1</v>
      </c>
      <c r="AA547" s="1">
        <f>IF(COUNTIF($D$2:D547,D547)=1,ROW()-1,ROWS(Clean_Data[OrderID])+1)</f>
        <v>901</v>
      </c>
      <c r="AB547" s="1">
        <f>IF(COUNTIF($F$2:F547,F547)=1,ROW()-1,ROWS(Clean_Data[OrderID])+1)</f>
        <v>901</v>
      </c>
      <c r="AC547" s="1">
        <f>IF(COUNTIF($G$2:G547,G547)=1,ROW()-1,ROWS(Clean_Data[OrderID])+1)</f>
        <v>901</v>
      </c>
      <c r="AD547" s="1">
        <f>IF(COUNTIF($H$2:H547,H547)=1,ROW()-1,ROWS(Clean_Data[OrderID])+1)</f>
        <v>901</v>
      </c>
      <c r="AE547" s="1">
        <f>IF(COUNTIF($V$2:V547,V547)=1,V547,ROWS(Clean_Data[OrderID])+1)</f>
        <v>901</v>
      </c>
      <c r="AF547" s="1">
        <f>IF(COUNTIF($U$2:U547,U547)=1,U547,ROWS(Clean_Data[OrderID])+1)</f>
        <v>901</v>
      </c>
      <c r="AG547" s="1">
        <f>IF(COUNTIF($E$2:E547,E547)=1,ROW()-1,ROWS(Clean_Data[OrderID])+1)</f>
        <v>901</v>
      </c>
    </row>
    <row r="548" spans="1:33" ht="20" customHeight="1">
      <c r="A548" s="3" t="s">
        <v>925</v>
      </c>
      <c r="B548" s="2">
        <v>46284</v>
      </c>
      <c r="C548" s="3">
        <v>13</v>
      </c>
      <c r="D548" s="3" t="s">
        <v>926</v>
      </c>
      <c r="E548" s="3" t="s">
        <v>91</v>
      </c>
      <c r="F548" s="3" t="s">
        <v>139</v>
      </c>
      <c r="G548" s="3" t="s">
        <v>122</v>
      </c>
      <c r="H548" s="3" t="s">
        <v>214</v>
      </c>
      <c r="I548" s="3">
        <v>2</v>
      </c>
      <c r="J548" s="11">
        <v>55</v>
      </c>
      <c r="K548" s="4">
        <v>0</v>
      </c>
      <c r="L548" s="3" t="s">
        <v>95</v>
      </c>
      <c r="M548" s="3">
        <v>32</v>
      </c>
      <c r="N548" s="3">
        <v>6</v>
      </c>
      <c r="O548" s="3">
        <v>4</v>
      </c>
      <c r="P548" s="11">
        <f>Clean_Data[[#This Row],[Quantity]]*Clean_Data[[#This Row],[UnitPrice]]</f>
        <v>110</v>
      </c>
      <c r="Q548" s="11">
        <f>ROUND(Clean_Data[[#This Row],[GrossSales]]*Clean_Data[[#This Row],[DiscountPct]],2)</f>
        <v>0</v>
      </c>
      <c r="R548" s="11">
        <f>IF(Clean_Data[[#This Row],[Status]]="Delivered",ROUND(Clean_Data[[#This Row],[GrossSales]]-Clean_Data[[#This Row],[DiscountAmount]],2),0)</f>
        <v>110</v>
      </c>
      <c r="S548" s="3" t="str">
        <f>IF(Clean_Data[[#This Row],[OrderHour]]&lt;6,"Night",IF(Clean_Data[[#This Row],[OrderHour]]&lt;12,"Morning",IF(Clean_Data[[#This Row],[OrderHour]]&lt;18,"Afternoon","Evening")))</f>
        <v>Afternoon</v>
      </c>
      <c r="T548" s="3" t="str">
        <f>TEXT(Clean_Data[[#This Row],[OrderDate]],"[$-409]ddd")</f>
        <v>Sat</v>
      </c>
      <c r="U548" s="3">
        <f>WEEKDAY(Clean_Data[[#This Row],[OrderDate]],2)</f>
        <v>6</v>
      </c>
      <c r="V548" s="3">
        <f>INT(Clean_Data[[#This Row],[OrderHour]]/6)+1</f>
        <v>3</v>
      </c>
      <c r="W548" s="3">
        <f>IF(Clean_Data[[#This Row],[Status]]="Delivered",1,0)</f>
        <v>1</v>
      </c>
      <c r="X548" s="3">
        <f>IF(Clean_Data[[#This Row],[Status]]="Delivered",IF(Clean_Data[[#This Row],[DeliveryMinutes]]&lt;=Dashboard!$X$5,1,0),0)</f>
        <v>0</v>
      </c>
      <c r="Y5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8" s="3">
        <f>IF(AND(Clean_Data[[#This Row],[Include]]=1,Clean_Data[[#This Row],[DeliveredFlag]]=1),1,0)</f>
        <v>1</v>
      </c>
      <c r="AA548" s="1">
        <f>IF(COUNTIF($D$2:D548,D548)=1,ROW()-1,ROWS(Clean_Data[OrderID])+1)</f>
        <v>547</v>
      </c>
      <c r="AB548" s="1">
        <f>IF(COUNTIF($F$2:F548,F548)=1,ROW()-1,ROWS(Clean_Data[OrderID])+1)</f>
        <v>901</v>
      </c>
      <c r="AC548" s="1">
        <f>IF(COUNTIF($G$2:G548,G548)=1,ROW()-1,ROWS(Clean_Data[OrderID])+1)</f>
        <v>901</v>
      </c>
      <c r="AD548" s="1">
        <f>IF(COUNTIF($H$2:H548,H548)=1,ROW()-1,ROWS(Clean_Data[OrderID])+1)</f>
        <v>901</v>
      </c>
      <c r="AE548" s="1">
        <f>IF(COUNTIF($V$2:V548,V548)=1,V548,ROWS(Clean_Data[OrderID])+1)</f>
        <v>901</v>
      </c>
      <c r="AF548" s="1">
        <f>IF(COUNTIF($U$2:U548,U548)=1,U548,ROWS(Clean_Data[OrderID])+1)</f>
        <v>901</v>
      </c>
      <c r="AG548" s="1">
        <f>IF(COUNTIF($E$2:E548,E548)=1,ROW()-1,ROWS(Clean_Data[OrderID])+1)</f>
        <v>901</v>
      </c>
    </row>
    <row r="549" spans="1:33" ht="20" customHeight="1">
      <c r="A549" s="3" t="s">
        <v>927</v>
      </c>
      <c r="B549" s="2">
        <v>46284</v>
      </c>
      <c r="C549" s="3">
        <v>16</v>
      </c>
      <c r="D549" s="3" t="s">
        <v>671</v>
      </c>
      <c r="E549" s="3" t="s">
        <v>91</v>
      </c>
      <c r="F549" s="3" t="s">
        <v>109</v>
      </c>
      <c r="G549" s="3" t="s">
        <v>99</v>
      </c>
      <c r="H549" s="3" t="s">
        <v>104</v>
      </c>
      <c r="I549" s="3">
        <v>2</v>
      </c>
      <c r="J549" s="11">
        <v>240</v>
      </c>
      <c r="K549" s="4">
        <v>0.05</v>
      </c>
      <c r="L549" s="3" t="s">
        <v>95</v>
      </c>
      <c r="M549" s="3">
        <v>36</v>
      </c>
      <c r="N549" s="3">
        <v>7</v>
      </c>
      <c r="O549" s="3">
        <v>5</v>
      </c>
      <c r="P549" s="11">
        <f>Clean_Data[[#This Row],[Quantity]]*Clean_Data[[#This Row],[UnitPrice]]</f>
        <v>480</v>
      </c>
      <c r="Q549" s="11">
        <f>ROUND(Clean_Data[[#This Row],[GrossSales]]*Clean_Data[[#This Row],[DiscountPct]],2)</f>
        <v>24</v>
      </c>
      <c r="R549" s="11">
        <f>IF(Clean_Data[[#This Row],[Status]]="Delivered",ROUND(Clean_Data[[#This Row],[GrossSales]]-Clean_Data[[#This Row],[DiscountAmount]],2),0)</f>
        <v>456</v>
      </c>
      <c r="S549" s="3" t="str">
        <f>IF(Clean_Data[[#This Row],[OrderHour]]&lt;6,"Night",IF(Clean_Data[[#This Row],[OrderHour]]&lt;12,"Morning",IF(Clean_Data[[#This Row],[OrderHour]]&lt;18,"Afternoon","Evening")))</f>
        <v>Afternoon</v>
      </c>
      <c r="T549" s="3" t="str">
        <f>TEXT(Clean_Data[[#This Row],[OrderDate]],"[$-409]ddd")</f>
        <v>Sat</v>
      </c>
      <c r="U549" s="3">
        <f>WEEKDAY(Clean_Data[[#This Row],[OrderDate]],2)</f>
        <v>6</v>
      </c>
      <c r="V549" s="3">
        <f>INT(Clean_Data[[#This Row],[OrderHour]]/6)+1</f>
        <v>3</v>
      </c>
      <c r="W549" s="3">
        <f>IF(Clean_Data[[#This Row],[Status]]="Delivered",1,0)</f>
        <v>1</v>
      </c>
      <c r="X549" s="3">
        <f>IF(Clean_Data[[#This Row],[Status]]="Delivered",IF(Clean_Data[[#This Row],[DeliveryMinutes]]&lt;=Dashboard!$X$5,1,0),0)</f>
        <v>0</v>
      </c>
      <c r="Y5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49" s="3">
        <f>IF(AND(Clean_Data[[#This Row],[Include]]=1,Clean_Data[[#This Row],[DeliveredFlag]]=1),1,0)</f>
        <v>1</v>
      </c>
      <c r="AA549" s="1">
        <f>IF(COUNTIF($D$2:D549,D549)=1,ROW()-1,ROWS(Clean_Data[OrderID])+1)</f>
        <v>901</v>
      </c>
      <c r="AB549" s="1">
        <f>IF(COUNTIF($F$2:F549,F549)=1,ROW()-1,ROWS(Clean_Data[OrderID])+1)</f>
        <v>901</v>
      </c>
      <c r="AC549" s="1">
        <f>IF(COUNTIF($G$2:G549,G549)=1,ROW()-1,ROWS(Clean_Data[OrderID])+1)</f>
        <v>901</v>
      </c>
      <c r="AD549" s="1">
        <f>IF(COUNTIF($H$2:H549,H549)=1,ROW()-1,ROWS(Clean_Data[OrderID])+1)</f>
        <v>901</v>
      </c>
      <c r="AE549" s="1">
        <f>IF(COUNTIF($V$2:V549,V549)=1,V549,ROWS(Clean_Data[OrderID])+1)</f>
        <v>901</v>
      </c>
      <c r="AF549" s="1">
        <f>IF(COUNTIF($U$2:U549,U549)=1,U549,ROWS(Clean_Data[OrderID])+1)</f>
        <v>901</v>
      </c>
      <c r="AG549" s="1">
        <f>IF(COUNTIF($E$2:E549,E549)=1,ROW()-1,ROWS(Clean_Data[OrderID])+1)</f>
        <v>901</v>
      </c>
    </row>
    <row r="550" spans="1:33" ht="20" customHeight="1">
      <c r="A550" s="3" t="s">
        <v>928</v>
      </c>
      <c r="B550" s="2">
        <v>46284</v>
      </c>
      <c r="C550" s="3">
        <v>17</v>
      </c>
      <c r="D550" s="3" t="s">
        <v>276</v>
      </c>
      <c r="E550" s="3" t="s">
        <v>117</v>
      </c>
      <c r="F550" s="3" t="s">
        <v>109</v>
      </c>
      <c r="G550" s="3" t="s">
        <v>174</v>
      </c>
      <c r="H550" s="3" t="s">
        <v>175</v>
      </c>
      <c r="I550" s="3">
        <v>5</v>
      </c>
      <c r="J550" s="11">
        <v>155</v>
      </c>
      <c r="K550" s="4">
        <v>0.05</v>
      </c>
      <c r="L550" s="3" t="s">
        <v>95</v>
      </c>
      <c r="M550" s="3">
        <v>16</v>
      </c>
      <c r="N550" s="3">
        <v>6</v>
      </c>
      <c r="O550" s="3">
        <v>4</v>
      </c>
      <c r="P550" s="11">
        <f>Clean_Data[[#This Row],[Quantity]]*Clean_Data[[#This Row],[UnitPrice]]</f>
        <v>775</v>
      </c>
      <c r="Q550" s="11">
        <f>ROUND(Clean_Data[[#This Row],[GrossSales]]*Clean_Data[[#This Row],[DiscountPct]],2)</f>
        <v>38.75</v>
      </c>
      <c r="R550" s="11">
        <f>IF(Clean_Data[[#This Row],[Status]]="Delivered",ROUND(Clean_Data[[#This Row],[GrossSales]]-Clean_Data[[#This Row],[DiscountAmount]],2),0)</f>
        <v>736.25</v>
      </c>
      <c r="S550" s="3" t="str">
        <f>IF(Clean_Data[[#This Row],[OrderHour]]&lt;6,"Night",IF(Clean_Data[[#This Row],[OrderHour]]&lt;12,"Morning",IF(Clean_Data[[#This Row],[OrderHour]]&lt;18,"Afternoon","Evening")))</f>
        <v>Afternoon</v>
      </c>
      <c r="T550" s="3" t="str">
        <f>TEXT(Clean_Data[[#This Row],[OrderDate]],"[$-409]ddd")</f>
        <v>Sat</v>
      </c>
      <c r="U550" s="3">
        <f>WEEKDAY(Clean_Data[[#This Row],[OrderDate]],2)</f>
        <v>6</v>
      </c>
      <c r="V550" s="3">
        <f>INT(Clean_Data[[#This Row],[OrderHour]]/6)+1</f>
        <v>3</v>
      </c>
      <c r="W550" s="3">
        <f>IF(Clean_Data[[#This Row],[Status]]="Delivered",1,0)</f>
        <v>1</v>
      </c>
      <c r="X550" s="3">
        <f>IF(Clean_Data[[#This Row],[Status]]="Delivered",IF(Clean_Data[[#This Row],[DeliveryMinutes]]&lt;=Dashboard!$X$5,1,0),0)</f>
        <v>1</v>
      </c>
      <c r="Y5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0" s="3">
        <f>IF(AND(Clean_Data[[#This Row],[Include]]=1,Clean_Data[[#This Row],[DeliveredFlag]]=1),1,0)</f>
        <v>1</v>
      </c>
      <c r="AA550" s="1">
        <f>IF(COUNTIF($D$2:D550,D550)=1,ROW()-1,ROWS(Clean_Data[OrderID])+1)</f>
        <v>901</v>
      </c>
      <c r="AB550" s="1">
        <f>IF(COUNTIF($F$2:F550,F550)=1,ROW()-1,ROWS(Clean_Data[OrderID])+1)</f>
        <v>901</v>
      </c>
      <c r="AC550" s="1">
        <f>IF(COUNTIF($G$2:G550,G550)=1,ROW()-1,ROWS(Clean_Data[OrderID])+1)</f>
        <v>901</v>
      </c>
      <c r="AD550" s="1">
        <f>IF(COUNTIF($H$2:H550,H550)=1,ROW()-1,ROWS(Clean_Data[OrderID])+1)</f>
        <v>901</v>
      </c>
      <c r="AE550" s="1">
        <f>IF(COUNTIF($V$2:V550,V550)=1,V550,ROWS(Clean_Data[OrderID])+1)</f>
        <v>901</v>
      </c>
      <c r="AF550" s="1">
        <f>IF(COUNTIF($U$2:U550,U550)=1,U550,ROWS(Clean_Data[OrderID])+1)</f>
        <v>901</v>
      </c>
      <c r="AG550" s="1">
        <f>IF(COUNTIF($E$2:E550,E550)=1,ROW()-1,ROWS(Clean_Data[OrderID])+1)</f>
        <v>901</v>
      </c>
    </row>
    <row r="551" spans="1:33" ht="20" customHeight="1">
      <c r="A551" s="3" t="s">
        <v>929</v>
      </c>
      <c r="B551" s="2">
        <v>46284</v>
      </c>
      <c r="C551" s="3">
        <v>19</v>
      </c>
      <c r="D551" s="3" t="s">
        <v>930</v>
      </c>
      <c r="E551" s="3" t="s">
        <v>117</v>
      </c>
      <c r="F551" s="3" t="s">
        <v>121</v>
      </c>
      <c r="G551" s="3" t="s">
        <v>122</v>
      </c>
      <c r="H551" s="3" t="s">
        <v>123</v>
      </c>
      <c r="I551" s="3">
        <v>3</v>
      </c>
      <c r="J551" s="11">
        <v>45</v>
      </c>
      <c r="K551" s="4">
        <v>0</v>
      </c>
      <c r="L551" s="3" t="s">
        <v>95</v>
      </c>
      <c r="M551" s="3">
        <v>27</v>
      </c>
      <c r="N551" s="3">
        <v>9</v>
      </c>
      <c r="O551" s="3">
        <v>5</v>
      </c>
      <c r="P551" s="11">
        <f>Clean_Data[[#This Row],[Quantity]]*Clean_Data[[#This Row],[UnitPrice]]</f>
        <v>135</v>
      </c>
      <c r="Q551" s="11">
        <f>ROUND(Clean_Data[[#This Row],[GrossSales]]*Clean_Data[[#This Row],[DiscountPct]],2)</f>
        <v>0</v>
      </c>
      <c r="R551" s="11">
        <f>IF(Clean_Data[[#This Row],[Status]]="Delivered",ROUND(Clean_Data[[#This Row],[GrossSales]]-Clean_Data[[#This Row],[DiscountAmount]],2),0)</f>
        <v>135</v>
      </c>
      <c r="S551" s="3" t="str">
        <f>IF(Clean_Data[[#This Row],[OrderHour]]&lt;6,"Night",IF(Clean_Data[[#This Row],[OrderHour]]&lt;12,"Morning",IF(Clean_Data[[#This Row],[OrderHour]]&lt;18,"Afternoon","Evening")))</f>
        <v>Evening</v>
      </c>
      <c r="T551" s="3" t="str">
        <f>TEXT(Clean_Data[[#This Row],[OrderDate]],"[$-409]ddd")</f>
        <v>Sat</v>
      </c>
      <c r="U551" s="3">
        <f>WEEKDAY(Clean_Data[[#This Row],[OrderDate]],2)</f>
        <v>6</v>
      </c>
      <c r="V551" s="3">
        <f>INT(Clean_Data[[#This Row],[OrderHour]]/6)+1</f>
        <v>4</v>
      </c>
      <c r="W551" s="3">
        <f>IF(Clean_Data[[#This Row],[Status]]="Delivered",1,0)</f>
        <v>1</v>
      </c>
      <c r="X551" s="3">
        <f>IF(Clean_Data[[#This Row],[Status]]="Delivered",IF(Clean_Data[[#This Row],[DeliveryMinutes]]&lt;=Dashboard!$X$5,1,0),0)</f>
        <v>1</v>
      </c>
      <c r="Y5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1" s="3">
        <f>IF(AND(Clean_Data[[#This Row],[Include]]=1,Clean_Data[[#This Row],[DeliveredFlag]]=1),1,0)</f>
        <v>1</v>
      </c>
      <c r="AA551" s="1">
        <f>IF(COUNTIF($D$2:D551,D551)=1,ROW()-1,ROWS(Clean_Data[OrderID])+1)</f>
        <v>550</v>
      </c>
      <c r="AB551" s="1">
        <f>IF(COUNTIF($F$2:F551,F551)=1,ROW()-1,ROWS(Clean_Data[OrderID])+1)</f>
        <v>901</v>
      </c>
      <c r="AC551" s="1">
        <f>IF(COUNTIF($G$2:G551,G551)=1,ROW()-1,ROWS(Clean_Data[OrderID])+1)</f>
        <v>901</v>
      </c>
      <c r="AD551" s="1">
        <f>IF(COUNTIF($H$2:H551,H551)=1,ROW()-1,ROWS(Clean_Data[OrderID])+1)</f>
        <v>901</v>
      </c>
      <c r="AE551" s="1">
        <f>IF(COUNTIF($V$2:V551,V551)=1,V551,ROWS(Clean_Data[OrderID])+1)</f>
        <v>901</v>
      </c>
      <c r="AF551" s="1">
        <f>IF(COUNTIF($U$2:U551,U551)=1,U551,ROWS(Clean_Data[OrderID])+1)</f>
        <v>901</v>
      </c>
      <c r="AG551" s="1">
        <f>IF(COUNTIF($E$2:E551,E551)=1,ROW()-1,ROWS(Clean_Data[OrderID])+1)</f>
        <v>901</v>
      </c>
    </row>
    <row r="552" spans="1:33" ht="20" customHeight="1">
      <c r="A552" s="3" t="s">
        <v>931</v>
      </c>
      <c r="B552" s="2">
        <v>46284</v>
      </c>
      <c r="C552" s="3">
        <v>21</v>
      </c>
      <c r="D552" s="3" t="s">
        <v>777</v>
      </c>
      <c r="E552" s="3" t="s">
        <v>91</v>
      </c>
      <c r="F552" s="3" t="s">
        <v>109</v>
      </c>
      <c r="G552" s="3" t="s">
        <v>135</v>
      </c>
      <c r="H552" s="3" t="s">
        <v>162</v>
      </c>
      <c r="I552" s="3">
        <v>1</v>
      </c>
      <c r="J552" s="11">
        <v>180</v>
      </c>
      <c r="K552" s="4">
        <v>0</v>
      </c>
      <c r="L552" s="3" t="s">
        <v>95</v>
      </c>
      <c r="M552" s="3">
        <v>23</v>
      </c>
      <c r="N552" s="3">
        <v>14</v>
      </c>
      <c r="O552" s="3">
        <v>4</v>
      </c>
      <c r="P552" s="11">
        <f>Clean_Data[[#This Row],[Quantity]]*Clean_Data[[#This Row],[UnitPrice]]</f>
        <v>180</v>
      </c>
      <c r="Q552" s="11">
        <f>ROUND(Clean_Data[[#This Row],[GrossSales]]*Clean_Data[[#This Row],[DiscountPct]],2)</f>
        <v>0</v>
      </c>
      <c r="R552" s="11">
        <f>IF(Clean_Data[[#This Row],[Status]]="Delivered",ROUND(Clean_Data[[#This Row],[GrossSales]]-Clean_Data[[#This Row],[DiscountAmount]],2),0)</f>
        <v>180</v>
      </c>
      <c r="S552" s="3" t="str">
        <f>IF(Clean_Data[[#This Row],[OrderHour]]&lt;6,"Night",IF(Clean_Data[[#This Row],[OrderHour]]&lt;12,"Morning",IF(Clean_Data[[#This Row],[OrderHour]]&lt;18,"Afternoon","Evening")))</f>
        <v>Evening</v>
      </c>
      <c r="T552" s="3" t="str">
        <f>TEXT(Clean_Data[[#This Row],[OrderDate]],"[$-409]ddd")</f>
        <v>Sat</v>
      </c>
      <c r="U552" s="3">
        <f>WEEKDAY(Clean_Data[[#This Row],[OrderDate]],2)</f>
        <v>6</v>
      </c>
      <c r="V552" s="3">
        <f>INT(Clean_Data[[#This Row],[OrderHour]]/6)+1</f>
        <v>4</v>
      </c>
      <c r="W552" s="3">
        <f>IF(Clean_Data[[#This Row],[Status]]="Delivered",1,0)</f>
        <v>1</v>
      </c>
      <c r="X552" s="3">
        <f>IF(Clean_Data[[#This Row],[Status]]="Delivered",IF(Clean_Data[[#This Row],[DeliveryMinutes]]&lt;=Dashboard!$X$5,1,0),0)</f>
        <v>1</v>
      </c>
      <c r="Y5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2" s="3">
        <f>IF(AND(Clean_Data[[#This Row],[Include]]=1,Clean_Data[[#This Row],[DeliveredFlag]]=1),1,0)</f>
        <v>1</v>
      </c>
      <c r="AA552" s="1">
        <f>IF(COUNTIF($D$2:D552,D552)=1,ROW()-1,ROWS(Clean_Data[OrderID])+1)</f>
        <v>901</v>
      </c>
      <c r="AB552" s="1">
        <f>IF(COUNTIF($F$2:F552,F552)=1,ROW()-1,ROWS(Clean_Data[OrderID])+1)</f>
        <v>901</v>
      </c>
      <c r="AC552" s="1">
        <f>IF(COUNTIF($G$2:G552,G552)=1,ROW()-1,ROWS(Clean_Data[OrderID])+1)</f>
        <v>901</v>
      </c>
      <c r="AD552" s="1">
        <f>IF(COUNTIF($H$2:H552,H552)=1,ROW()-1,ROWS(Clean_Data[OrderID])+1)</f>
        <v>901</v>
      </c>
      <c r="AE552" s="1">
        <f>IF(COUNTIF($V$2:V552,V552)=1,V552,ROWS(Clean_Data[OrderID])+1)</f>
        <v>901</v>
      </c>
      <c r="AF552" s="1">
        <f>IF(COUNTIF($U$2:U552,U552)=1,U552,ROWS(Clean_Data[OrderID])+1)</f>
        <v>901</v>
      </c>
      <c r="AG552" s="1">
        <f>IF(COUNTIF($E$2:E552,E552)=1,ROW()-1,ROWS(Clean_Data[OrderID])+1)</f>
        <v>901</v>
      </c>
    </row>
    <row r="553" spans="1:33" ht="20" customHeight="1">
      <c r="A553" s="3" t="s">
        <v>932</v>
      </c>
      <c r="B553" s="2">
        <v>46284</v>
      </c>
      <c r="C553" s="3">
        <v>23</v>
      </c>
      <c r="D553" s="3" t="s">
        <v>933</v>
      </c>
      <c r="E553" s="3" t="s">
        <v>117</v>
      </c>
      <c r="F553" s="3" t="s">
        <v>139</v>
      </c>
      <c r="G553" s="3" t="s">
        <v>93</v>
      </c>
      <c r="H553" s="3" t="s">
        <v>146</v>
      </c>
      <c r="I553" s="3">
        <v>5</v>
      </c>
      <c r="J553" s="11">
        <v>110</v>
      </c>
      <c r="K553" s="4">
        <v>0</v>
      </c>
      <c r="L553" s="3" t="s">
        <v>95</v>
      </c>
      <c r="M553" s="3">
        <v>32</v>
      </c>
      <c r="N553" s="3">
        <v>6</v>
      </c>
      <c r="O553" s="3">
        <v>4</v>
      </c>
      <c r="P553" s="11">
        <f>Clean_Data[[#This Row],[Quantity]]*Clean_Data[[#This Row],[UnitPrice]]</f>
        <v>550</v>
      </c>
      <c r="Q553" s="11">
        <f>ROUND(Clean_Data[[#This Row],[GrossSales]]*Clean_Data[[#This Row],[DiscountPct]],2)</f>
        <v>0</v>
      </c>
      <c r="R553" s="11">
        <f>IF(Clean_Data[[#This Row],[Status]]="Delivered",ROUND(Clean_Data[[#This Row],[GrossSales]]-Clean_Data[[#This Row],[DiscountAmount]],2),0)</f>
        <v>550</v>
      </c>
      <c r="S553" s="3" t="str">
        <f>IF(Clean_Data[[#This Row],[OrderHour]]&lt;6,"Night",IF(Clean_Data[[#This Row],[OrderHour]]&lt;12,"Morning",IF(Clean_Data[[#This Row],[OrderHour]]&lt;18,"Afternoon","Evening")))</f>
        <v>Evening</v>
      </c>
      <c r="T553" s="3" t="str">
        <f>TEXT(Clean_Data[[#This Row],[OrderDate]],"[$-409]ddd")</f>
        <v>Sat</v>
      </c>
      <c r="U553" s="3">
        <f>WEEKDAY(Clean_Data[[#This Row],[OrderDate]],2)</f>
        <v>6</v>
      </c>
      <c r="V553" s="3">
        <f>INT(Clean_Data[[#This Row],[OrderHour]]/6)+1</f>
        <v>4</v>
      </c>
      <c r="W553" s="3">
        <f>IF(Clean_Data[[#This Row],[Status]]="Delivered",1,0)</f>
        <v>1</v>
      </c>
      <c r="X553" s="3">
        <f>IF(Clean_Data[[#This Row],[Status]]="Delivered",IF(Clean_Data[[#This Row],[DeliveryMinutes]]&lt;=Dashboard!$X$5,1,0),0)</f>
        <v>0</v>
      </c>
      <c r="Y5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3" s="3">
        <f>IF(AND(Clean_Data[[#This Row],[Include]]=1,Clean_Data[[#This Row],[DeliveredFlag]]=1),1,0)</f>
        <v>1</v>
      </c>
      <c r="AA553" s="1">
        <f>IF(COUNTIF($D$2:D553,D553)=1,ROW()-1,ROWS(Clean_Data[OrderID])+1)</f>
        <v>552</v>
      </c>
      <c r="AB553" s="1">
        <f>IF(COUNTIF($F$2:F553,F553)=1,ROW()-1,ROWS(Clean_Data[OrderID])+1)</f>
        <v>901</v>
      </c>
      <c r="AC553" s="1">
        <f>IF(COUNTIF($G$2:G553,G553)=1,ROW()-1,ROWS(Clean_Data[OrderID])+1)</f>
        <v>901</v>
      </c>
      <c r="AD553" s="1">
        <f>IF(COUNTIF($H$2:H553,H553)=1,ROW()-1,ROWS(Clean_Data[OrderID])+1)</f>
        <v>901</v>
      </c>
      <c r="AE553" s="1">
        <f>IF(COUNTIF($V$2:V553,V553)=1,V553,ROWS(Clean_Data[OrderID])+1)</f>
        <v>901</v>
      </c>
      <c r="AF553" s="1">
        <f>IF(COUNTIF($U$2:U553,U553)=1,U553,ROWS(Clean_Data[OrderID])+1)</f>
        <v>901</v>
      </c>
      <c r="AG553" s="1">
        <f>IF(COUNTIF($E$2:E553,E553)=1,ROW()-1,ROWS(Clean_Data[OrderID])+1)</f>
        <v>901</v>
      </c>
    </row>
    <row r="554" spans="1:33" ht="20" customHeight="1">
      <c r="A554" s="3" t="s">
        <v>934</v>
      </c>
      <c r="B554" s="2">
        <v>46284</v>
      </c>
      <c r="C554" s="3">
        <v>11</v>
      </c>
      <c r="D554" s="3" t="s">
        <v>485</v>
      </c>
      <c r="E554" s="3" t="s">
        <v>91</v>
      </c>
      <c r="F554" s="3" t="s">
        <v>98</v>
      </c>
      <c r="G554" s="3" t="s">
        <v>135</v>
      </c>
      <c r="H554" s="3" t="s">
        <v>162</v>
      </c>
      <c r="I554" s="3">
        <v>4</v>
      </c>
      <c r="J554" s="11">
        <v>180</v>
      </c>
      <c r="K554" s="4">
        <v>0.1</v>
      </c>
      <c r="L554" s="3" t="s">
        <v>95</v>
      </c>
      <c r="M554" s="3">
        <v>25</v>
      </c>
      <c r="N554" s="3">
        <v>14</v>
      </c>
      <c r="O554" s="3">
        <v>5</v>
      </c>
      <c r="P554" s="11">
        <f>Clean_Data[[#This Row],[Quantity]]*Clean_Data[[#This Row],[UnitPrice]]</f>
        <v>720</v>
      </c>
      <c r="Q554" s="11">
        <f>ROUND(Clean_Data[[#This Row],[GrossSales]]*Clean_Data[[#This Row],[DiscountPct]],2)</f>
        <v>72</v>
      </c>
      <c r="R554" s="11">
        <f>IF(Clean_Data[[#This Row],[Status]]="Delivered",ROUND(Clean_Data[[#This Row],[GrossSales]]-Clean_Data[[#This Row],[DiscountAmount]],2),0)</f>
        <v>648</v>
      </c>
      <c r="S554" s="3" t="str">
        <f>IF(Clean_Data[[#This Row],[OrderHour]]&lt;6,"Night",IF(Clean_Data[[#This Row],[OrderHour]]&lt;12,"Morning",IF(Clean_Data[[#This Row],[OrderHour]]&lt;18,"Afternoon","Evening")))</f>
        <v>Morning</v>
      </c>
      <c r="T554" s="3" t="str">
        <f>TEXT(Clean_Data[[#This Row],[OrderDate]],"[$-409]ddd")</f>
        <v>Sat</v>
      </c>
      <c r="U554" s="3">
        <f>WEEKDAY(Clean_Data[[#This Row],[OrderDate]],2)</f>
        <v>6</v>
      </c>
      <c r="V554" s="3">
        <f>INT(Clean_Data[[#This Row],[OrderHour]]/6)+1</f>
        <v>2</v>
      </c>
      <c r="W554" s="3">
        <f>IF(Clean_Data[[#This Row],[Status]]="Delivered",1,0)</f>
        <v>1</v>
      </c>
      <c r="X554" s="3">
        <f>IF(Clean_Data[[#This Row],[Status]]="Delivered",IF(Clean_Data[[#This Row],[DeliveryMinutes]]&lt;=Dashboard!$X$5,1,0),0)</f>
        <v>1</v>
      </c>
      <c r="Y5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4" s="3">
        <f>IF(AND(Clean_Data[[#This Row],[Include]]=1,Clean_Data[[#This Row],[DeliveredFlag]]=1),1,0)</f>
        <v>1</v>
      </c>
      <c r="AA554" s="1">
        <f>IF(COUNTIF($D$2:D554,D554)=1,ROW()-1,ROWS(Clean_Data[OrderID])+1)</f>
        <v>901</v>
      </c>
      <c r="AB554" s="1">
        <f>IF(COUNTIF($F$2:F554,F554)=1,ROW()-1,ROWS(Clean_Data[OrderID])+1)</f>
        <v>901</v>
      </c>
      <c r="AC554" s="1">
        <f>IF(COUNTIF($G$2:G554,G554)=1,ROW()-1,ROWS(Clean_Data[OrderID])+1)</f>
        <v>901</v>
      </c>
      <c r="AD554" s="1">
        <f>IF(COUNTIF($H$2:H554,H554)=1,ROW()-1,ROWS(Clean_Data[OrderID])+1)</f>
        <v>901</v>
      </c>
      <c r="AE554" s="1">
        <f>IF(COUNTIF($V$2:V554,V554)=1,V554,ROWS(Clean_Data[OrderID])+1)</f>
        <v>901</v>
      </c>
      <c r="AF554" s="1">
        <f>IF(COUNTIF($U$2:U554,U554)=1,U554,ROWS(Clean_Data[OrderID])+1)</f>
        <v>901</v>
      </c>
      <c r="AG554" s="1">
        <f>IF(COUNTIF($E$2:E554,E554)=1,ROW()-1,ROWS(Clean_Data[OrderID])+1)</f>
        <v>901</v>
      </c>
    </row>
    <row r="555" spans="1:33" ht="20" customHeight="1">
      <c r="A555" s="3" t="s">
        <v>935</v>
      </c>
      <c r="B555" s="2">
        <v>46284</v>
      </c>
      <c r="C555" s="3">
        <v>18</v>
      </c>
      <c r="D555" s="3" t="s">
        <v>167</v>
      </c>
      <c r="E555" s="3" t="s">
        <v>91</v>
      </c>
      <c r="F555" s="3" t="s">
        <v>98</v>
      </c>
      <c r="G555" s="3" t="s">
        <v>174</v>
      </c>
      <c r="H555" s="3" t="s">
        <v>274</v>
      </c>
      <c r="I555" s="3">
        <v>5</v>
      </c>
      <c r="J555" s="11">
        <v>90</v>
      </c>
      <c r="K555" s="4">
        <v>0</v>
      </c>
      <c r="L555" s="3" t="s">
        <v>95</v>
      </c>
      <c r="M555" s="3">
        <v>26</v>
      </c>
      <c r="N555" s="3">
        <v>15</v>
      </c>
      <c r="O555" s="3">
        <v>4</v>
      </c>
      <c r="P555" s="11">
        <f>Clean_Data[[#This Row],[Quantity]]*Clean_Data[[#This Row],[UnitPrice]]</f>
        <v>450</v>
      </c>
      <c r="Q555" s="11">
        <f>ROUND(Clean_Data[[#This Row],[GrossSales]]*Clean_Data[[#This Row],[DiscountPct]],2)</f>
        <v>0</v>
      </c>
      <c r="R555" s="11">
        <f>IF(Clean_Data[[#This Row],[Status]]="Delivered",ROUND(Clean_Data[[#This Row],[GrossSales]]-Clean_Data[[#This Row],[DiscountAmount]],2),0)</f>
        <v>450</v>
      </c>
      <c r="S555" s="3" t="str">
        <f>IF(Clean_Data[[#This Row],[OrderHour]]&lt;6,"Night",IF(Clean_Data[[#This Row],[OrderHour]]&lt;12,"Morning",IF(Clean_Data[[#This Row],[OrderHour]]&lt;18,"Afternoon","Evening")))</f>
        <v>Evening</v>
      </c>
      <c r="T555" s="3" t="str">
        <f>TEXT(Clean_Data[[#This Row],[OrderDate]],"[$-409]ddd")</f>
        <v>Sat</v>
      </c>
      <c r="U555" s="3">
        <f>WEEKDAY(Clean_Data[[#This Row],[OrderDate]],2)</f>
        <v>6</v>
      </c>
      <c r="V555" s="3">
        <f>INT(Clean_Data[[#This Row],[OrderHour]]/6)+1</f>
        <v>4</v>
      </c>
      <c r="W555" s="3">
        <f>IF(Clean_Data[[#This Row],[Status]]="Delivered",1,0)</f>
        <v>1</v>
      </c>
      <c r="X555" s="3">
        <f>IF(Clean_Data[[#This Row],[Status]]="Delivered",IF(Clean_Data[[#This Row],[DeliveryMinutes]]&lt;=Dashboard!$X$5,1,0),0)</f>
        <v>1</v>
      </c>
      <c r="Y5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5" s="3">
        <f>IF(AND(Clean_Data[[#This Row],[Include]]=1,Clean_Data[[#This Row],[DeliveredFlag]]=1),1,0)</f>
        <v>1</v>
      </c>
      <c r="AA555" s="1">
        <f>IF(COUNTIF($D$2:D555,D555)=1,ROW()-1,ROWS(Clean_Data[OrderID])+1)</f>
        <v>901</v>
      </c>
      <c r="AB555" s="1">
        <f>IF(COUNTIF($F$2:F555,F555)=1,ROW()-1,ROWS(Clean_Data[OrderID])+1)</f>
        <v>901</v>
      </c>
      <c r="AC555" s="1">
        <f>IF(COUNTIF($G$2:G555,G555)=1,ROW()-1,ROWS(Clean_Data[OrderID])+1)</f>
        <v>901</v>
      </c>
      <c r="AD555" s="1">
        <f>IF(COUNTIF($H$2:H555,H555)=1,ROW()-1,ROWS(Clean_Data[OrderID])+1)</f>
        <v>901</v>
      </c>
      <c r="AE555" s="1">
        <f>IF(COUNTIF($V$2:V555,V555)=1,V555,ROWS(Clean_Data[OrderID])+1)</f>
        <v>901</v>
      </c>
      <c r="AF555" s="1">
        <f>IF(COUNTIF($U$2:U555,U555)=1,U555,ROWS(Clean_Data[OrderID])+1)</f>
        <v>901</v>
      </c>
      <c r="AG555" s="1">
        <f>IF(COUNTIF($E$2:E555,E555)=1,ROW()-1,ROWS(Clean_Data[OrderID])+1)</f>
        <v>901</v>
      </c>
    </row>
    <row r="556" spans="1:33" ht="20" customHeight="1">
      <c r="A556" s="3" t="s">
        <v>936</v>
      </c>
      <c r="B556" s="2">
        <v>46284</v>
      </c>
      <c r="C556" s="3">
        <v>17</v>
      </c>
      <c r="D556" s="3" t="s">
        <v>257</v>
      </c>
      <c r="E556" s="3" t="s">
        <v>91</v>
      </c>
      <c r="F556" s="3" t="s">
        <v>98</v>
      </c>
      <c r="G556" s="3" t="s">
        <v>93</v>
      </c>
      <c r="H556" s="3" t="s">
        <v>118</v>
      </c>
      <c r="I556" s="3">
        <v>5</v>
      </c>
      <c r="J556" s="11">
        <v>45</v>
      </c>
      <c r="K556" s="4">
        <v>0</v>
      </c>
      <c r="L556" s="3" t="s">
        <v>95</v>
      </c>
      <c r="M556" s="3">
        <v>24</v>
      </c>
      <c r="N556" s="3">
        <v>6</v>
      </c>
      <c r="O556" s="3">
        <v>4</v>
      </c>
      <c r="P556" s="11">
        <f>Clean_Data[[#This Row],[Quantity]]*Clean_Data[[#This Row],[UnitPrice]]</f>
        <v>225</v>
      </c>
      <c r="Q556" s="11">
        <f>ROUND(Clean_Data[[#This Row],[GrossSales]]*Clean_Data[[#This Row],[DiscountPct]],2)</f>
        <v>0</v>
      </c>
      <c r="R556" s="11">
        <f>IF(Clean_Data[[#This Row],[Status]]="Delivered",ROUND(Clean_Data[[#This Row],[GrossSales]]-Clean_Data[[#This Row],[DiscountAmount]],2),0)</f>
        <v>225</v>
      </c>
      <c r="S556" s="3" t="str">
        <f>IF(Clean_Data[[#This Row],[OrderHour]]&lt;6,"Night",IF(Clean_Data[[#This Row],[OrderHour]]&lt;12,"Morning",IF(Clean_Data[[#This Row],[OrderHour]]&lt;18,"Afternoon","Evening")))</f>
        <v>Afternoon</v>
      </c>
      <c r="T556" s="3" t="str">
        <f>TEXT(Clean_Data[[#This Row],[OrderDate]],"[$-409]ddd")</f>
        <v>Sat</v>
      </c>
      <c r="U556" s="3">
        <f>WEEKDAY(Clean_Data[[#This Row],[OrderDate]],2)</f>
        <v>6</v>
      </c>
      <c r="V556" s="3">
        <f>INT(Clean_Data[[#This Row],[OrderHour]]/6)+1</f>
        <v>3</v>
      </c>
      <c r="W556" s="3">
        <f>IF(Clean_Data[[#This Row],[Status]]="Delivered",1,0)</f>
        <v>1</v>
      </c>
      <c r="X556" s="3">
        <f>IF(Clean_Data[[#This Row],[Status]]="Delivered",IF(Clean_Data[[#This Row],[DeliveryMinutes]]&lt;=Dashboard!$X$5,1,0),0)</f>
        <v>1</v>
      </c>
      <c r="Y5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6" s="3">
        <f>IF(AND(Clean_Data[[#This Row],[Include]]=1,Clean_Data[[#This Row],[DeliveredFlag]]=1),1,0)</f>
        <v>1</v>
      </c>
      <c r="AA556" s="1">
        <f>IF(COUNTIF($D$2:D556,D556)=1,ROW()-1,ROWS(Clean_Data[OrderID])+1)</f>
        <v>901</v>
      </c>
      <c r="AB556" s="1">
        <f>IF(COUNTIF($F$2:F556,F556)=1,ROW()-1,ROWS(Clean_Data[OrderID])+1)</f>
        <v>901</v>
      </c>
      <c r="AC556" s="1">
        <f>IF(COUNTIF($G$2:G556,G556)=1,ROW()-1,ROWS(Clean_Data[OrderID])+1)</f>
        <v>901</v>
      </c>
      <c r="AD556" s="1">
        <f>IF(COUNTIF($H$2:H556,H556)=1,ROW()-1,ROWS(Clean_Data[OrderID])+1)</f>
        <v>901</v>
      </c>
      <c r="AE556" s="1">
        <f>IF(COUNTIF($V$2:V556,V556)=1,V556,ROWS(Clean_Data[OrderID])+1)</f>
        <v>901</v>
      </c>
      <c r="AF556" s="1">
        <f>IF(COUNTIF($U$2:U556,U556)=1,U556,ROWS(Clean_Data[OrderID])+1)</f>
        <v>901</v>
      </c>
      <c r="AG556" s="1">
        <f>IF(COUNTIF($E$2:E556,E556)=1,ROW()-1,ROWS(Clean_Data[OrderID])+1)</f>
        <v>901</v>
      </c>
    </row>
    <row r="557" spans="1:33" ht="20" customHeight="1">
      <c r="A557" s="3" t="s">
        <v>937</v>
      </c>
      <c r="B557" s="2">
        <v>46284</v>
      </c>
      <c r="C557" s="3">
        <v>23</v>
      </c>
      <c r="D557" s="3" t="s">
        <v>436</v>
      </c>
      <c r="E557" s="3" t="s">
        <v>117</v>
      </c>
      <c r="F557" s="3" t="s">
        <v>98</v>
      </c>
      <c r="G557" s="3" t="s">
        <v>93</v>
      </c>
      <c r="H557" s="3" t="s">
        <v>146</v>
      </c>
      <c r="I557" s="3">
        <v>4</v>
      </c>
      <c r="J557" s="11">
        <v>110</v>
      </c>
      <c r="K557" s="4">
        <v>0.1</v>
      </c>
      <c r="L557" s="3" t="s">
        <v>95</v>
      </c>
      <c r="M557" s="3">
        <v>27</v>
      </c>
      <c r="N557" s="3">
        <v>12</v>
      </c>
      <c r="O557" s="3">
        <v>4</v>
      </c>
      <c r="P557" s="11">
        <f>Clean_Data[[#This Row],[Quantity]]*Clean_Data[[#This Row],[UnitPrice]]</f>
        <v>440</v>
      </c>
      <c r="Q557" s="11">
        <f>ROUND(Clean_Data[[#This Row],[GrossSales]]*Clean_Data[[#This Row],[DiscountPct]],2)</f>
        <v>44</v>
      </c>
      <c r="R557" s="11">
        <f>IF(Clean_Data[[#This Row],[Status]]="Delivered",ROUND(Clean_Data[[#This Row],[GrossSales]]-Clean_Data[[#This Row],[DiscountAmount]],2),0)</f>
        <v>396</v>
      </c>
      <c r="S557" s="3" t="str">
        <f>IF(Clean_Data[[#This Row],[OrderHour]]&lt;6,"Night",IF(Clean_Data[[#This Row],[OrderHour]]&lt;12,"Morning",IF(Clean_Data[[#This Row],[OrderHour]]&lt;18,"Afternoon","Evening")))</f>
        <v>Evening</v>
      </c>
      <c r="T557" s="3" t="str">
        <f>TEXT(Clean_Data[[#This Row],[OrderDate]],"[$-409]ddd")</f>
        <v>Sat</v>
      </c>
      <c r="U557" s="3">
        <f>WEEKDAY(Clean_Data[[#This Row],[OrderDate]],2)</f>
        <v>6</v>
      </c>
      <c r="V557" s="3">
        <f>INT(Clean_Data[[#This Row],[OrderHour]]/6)+1</f>
        <v>4</v>
      </c>
      <c r="W557" s="3">
        <f>IF(Clean_Data[[#This Row],[Status]]="Delivered",1,0)</f>
        <v>1</v>
      </c>
      <c r="X557" s="3">
        <f>IF(Clean_Data[[#This Row],[Status]]="Delivered",IF(Clean_Data[[#This Row],[DeliveryMinutes]]&lt;=Dashboard!$X$5,1,0),0)</f>
        <v>1</v>
      </c>
      <c r="Y5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7" s="3">
        <f>IF(AND(Clean_Data[[#This Row],[Include]]=1,Clean_Data[[#This Row],[DeliveredFlag]]=1),1,0)</f>
        <v>1</v>
      </c>
      <c r="AA557" s="1">
        <f>IF(COUNTIF($D$2:D557,D557)=1,ROW()-1,ROWS(Clean_Data[OrderID])+1)</f>
        <v>901</v>
      </c>
      <c r="AB557" s="1">
        <f>IF(COUNTIF($F$2:F557,F557)=1,ROW()-1,ROWS(Clean_Data[OrderID])+1)</f>
        <v>901</v>
      </c>
      <c r="AC557" s="1">
        <f>IF(COUNTIF($G$2:G557,G557)=1,ROW()-1,ROWS(Clean_Data[OrderID])+1)</f>
        <v>901</v>
      </c>
      <c r="AD557" s="1">
        <f>IF(COUNTIF($H$2:H557,H557)=1,ROW()-1,ROWS(Clean_Data[OrderID])+1)</f>
        <v>901</v>
      </c>
      <c r="AE557" s="1">
        <f>IF(COUNTIF($V$2:V557,V557)=1,V557,ROWS(Clean_Data[OrderID])+1)</f>
        <v>901</v>
      </c>
      <c r="AF557" s="1">
        <f>IF(COUNTIF($U$2:U557,U557)=1,U557,ROWS(Clean_Data[OrderID])+1)</f>
        <v>901</v>
      </c>
      <c r="AG557" s="1">
        <f>IF(COUNTIF($E$2:E557,E557)=1,ROW()-1,ROWS(Clean_Data[OrderID])+1)</f>
        <v>901</v>
      </c>
    </row>
    <row r="558" spans="1:33" ht="20" customHeight="1">
      <c r="A558" s="3" t="s">
        <v>938</v>
      </c>
      <c r="B558" s="2">
        <v>46284</v>
      </c>
      <c r="C558" s="3">
        <v>8</v>
      </c>
      <c r="D558" s="3" t="s">
        <v>939</v>
      </c>
      <c r="E558" s="3" t="s">
        <v>91</v>
      </c>
      <c r="F558" s="3" t="s">
        <v>139</v>
      </c>
      <c r="G558" s="3" t="s">
        <v>93</v>
      </c>
      <c r="H558" s="3" t="s">
        <v>94</v>
      </c>
      <c r="I558" s="3">
        <v>5</v>
      </c>
      <c r="J558" s="11">
        <v>95</v>
      </c>
      <c r="K558" s="4">
        <v>0</v>
      </c>
      <c r="L558" s="3" t="s">
        <v>95</v>
      </c>
      <c r="M558" s="3">
        <v>26</v>
      </c>
      <c r="N558" s="3">
        <v>9</v>
      </c>
      <c r="O558" s="3">
        <v>4</v>
      </c>
      <c r="P558" s="11">
        <f>Clean_Data[[#This Row],[Quantity]]*Clean_Data[[#This Row],[UnitPrice]]</f>
        <v>475</v>
      </c>
      <c r="Q558" s="11">
        <f>ROUND(Clean_Data[[#This Row],[GrossSales]]*Clean_Data[[#This Row],[DiscountPct]],2)</f>
        <v>0</v>
      </c>
      <c r="R558" s="11">
        <f>IF(Clean_Data[[#This Row],[Status]]="Delivered",ROUND(Clean_Data[[#This Row],[GrossSales]]-Clean_Data[[#This Row],[DiscountAmount]],2),0)</f>
        <v>475</v>
      </c>
      <c r="S558" s="3" t="str">
        <f>IF(Clean_Data[[#This Row],[OrderHour]]&lt;6,"Night",IF(Clean_Data[[#This Row],[OrderHour]]&lt;12,"Morning",IF(Clean_Data[[#This Row],[OrderHour]]&lt;18,"Afternoon","Evening")))</f>
        <v>Morning</v>
      </c>
      <c r="T558" s="3" t="str">
        <f>TEXT(Clean_Data[[#This Row],[OrderDate]],"[$-409]ddd")</f>
        <v>Sat</v>
      </c>
      <c r="U558" s="3">
        <f>WEEKDAY(Clean_Data[[#This Row],[OrderDate]],2)</f>
        <v>6</v>
      </c>
      <c r="V558" s="3">
        <f>INT(Clean_Data[[#This Row],[OrderHour]]/6)+1</f>
        <v>2</v>
      </c>
      <c r="W558" s="3">
        <f>IF(Clean_Data[[#This Row],[Status]]="Delivered",1,0)</f>
        <v>1</v>
      </c>
      <c r="X558" s="3">
        <f>IF(Clean_Data[[#This Row],[Status]]="Delivered",IF(Clean_Data[[#This Row],[DeliveryMinutes]]&lt;=Dashboard!$X$5,1,0),0)</f>
        <v>1</v>
      </c>
      <c r="Y5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8" s="3">
        <f>IF(AND(Clean_Data[[#This Row],[Include]]=1,Clean_Data[[#This Row],[DeliveredFlag]]=1),1,0)</f>
        <v>1</v>
      </c>
      <c r="AA558" s="1">
        <f>IF(COUNTIF($D$2:D558,D558)=1,ROW()-1,ROWS(Clean_Data[OrderID])+1)</f>
        <v>557</v>
      </c>
      <c r="AB558" s="1">
        <f>IF(COUNTIF($F$2:F558,F558)=1,ROW()-1,ROWS(Clean_Data[OrderID])+1)</f>
        <v>901</v>
      </c>
      <c r="AC558" s="1">
        <f>IF(COUNTIF($G$2:G558,G558)=1,ROW()-1,ROWS(Clean_Data[OrderID])+1)</f>
        <v>901</v>
      </c>
      <c r="AD558" s="1">
        <f>IF(COUNTIF($H$2:H558,H558)=1,ROW()-1,ROWS(Clean_Data[OrderID])+1)</f>
        <v>901</v>
      </c>
      <c r="AE558" s="1">
        <f>IF(COUNTIF($V$2:V558,V558)=1,V558,ROWS(Clean_Data[OrderID])+1)</f>
        <v>901</v>
      </c>
      <c r="AF558" s="1">
        <f>IF(COUNTIF($U$2:U558,U558)=1,U558,ROWS(Clean_Data[OrderID])+1)</f>
        <v>901</v>
      </c>
      <c r="AG558" s="1">
        <f>IF(COUNTIF($E$2:E558,E558)=1,ROW()-1,ROWS(Clean_Data[OrderID])+1)</f>
        <v>901</v>
      </c>
    </row>
    <row r="559" spans="1:33" ht="20" customHeight="1">
      <c r="A559" s="3" t="s">
        <v>940</v>
      </c>
      <c r="B559" s="2">
        <v>46284</v>
      </c>
      <c r="C559" s="3">
        <v>21</v>
      </c>
      <c r="D559" s="3" t="s">
        <v>527</v>
      </c>
      <c r="E559" s="3" t="s">
        <v>91</v>
      </c>
      <c r="F559" s="3" t="s">
        <v>121</v>
      </c>
      <c r="G559" s="3" t="s">
        <v>122</v>
      </c>
      <c r="H559" s="3" t="s">
        <v>123</v>
      </c>
      <c r="I559" s="3">
        <v>4</v>
      </c>
      <c r="J559" s="11">
        <v>45</v>
      </c>
      <c r="K559" s="4">
        <v>0</v>
      </c>
      <c r="L559" s="3" t="s">
        <v>95</v>
      </c>
      <c r="M559" s="3">
        <v>25</v>
      </c>
      <c r="N559" s="3">
        <v>13</v>
      </c>
      <c r="O559" s="3">
        <v>5</v>
      </c>
      <c r="P559" s="11">
        <f>Clean_Data[[#This Row],[Quantity]]*Clean_Data[[#This Row],[UnitPrice]]</f>
        <v>180</v>
      </c>
      <c r="Q559" s="11">
        <f>ROUND(Clean_Data[[#This Row],[GrossSales]]*Clean_Data[[#This Row],[DiscountPct]],2)</f>
        <v>0</v>
      </c>
      <c r="R559" s="11">
        <f>IF(Clean_Data[[#This Row],[Status]]="Delivered",ROUND(Clean_Data[[#This Row],[GrossSales]]-Clean_Data[[#This Row],[DiscountAmount]],2),0)</f>
        <v>180</v>
      </c>
      <c r="S559" s="3" t="str">
        <f>IF(Clean_Data[[#This Row],[OrderHour]]&lt;6,"Night",IF(Clean_Data[[#This Row],[OrderHour]]&lt;12,"Morning",IF(Clean_Data[[#This Row],[OrderHour]]&lt;18,"Afternoon","Evening")))</f>
        <v>Evening</v>
      </c>
      <c r="T559" s="3" t="str">
        <f>TEXT(Clean_Data[[#This Row],[OrderDate]],"[$-409]ddd")</f>
        <v>Sat</v>
      </c>
      <c r="U559" s="3">
        <f>WEEKDAY(Clean_Data[[#This Row],[OrderDate]],2)</f>
        <v>6</v>
      </c>
      <c r="V559" s="3">
        <f>INT(Clean_Data[[#This Row],[OrderHour]]/6)+1</f>
        <v>4</v>
      </c>
      <c r="W559" s="3">
        <f>IF(Clean_Data[[#This Row],[Status]]="Delivered",1,0)</f>
        <v>1</v>
      </c>
      <c r="X559" s="3">
        <f>IF(Clean_Data[[#This Row],[Status]]="Delivered",IF(Clean_Data[[#This Row],[DeliveryMinutes]]&lt;=Dashboard!$X$5,1,0),0)</f>
        <v>1</v>
      </c>
      <c r="Y5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59" s="3">
        <f>IF(AND(Clean_Data[[#This Row],[Include]]=1,Clean_Data[[#This Row],[DeliveredFlag]]=1),1,0)</f>
        <v>1</v>
      </c>
      <c r="AA559" s="1">
        <f>IF(COUNTIF($D$2:D559,D559)=1,ROW()-1,ROWS(Clean_Data[OrderID])+1)</f>
        <v>901</v>
      </c>
      <c r="AB559" s="1">
        <f>IF(COUNTIF($F$2:F559,F559)=1,ROW()-1,ROWS(Clean_Data[OrderID])+1)</f>
        <v>901</v>
      </c>
      <c r="AC559" s="1">
        <f>IF(COUNTIF($G$2:G559,G559)=1,ROW()-1,ROWS(Clean_Data[OrderID])+1)</f>
        <v>901</v>
      </c>
      <c r="AD559" s="1">
        <f>IF(COUNTIF($H$2:H559,H559)=1,ROW()-1,ROWS(Clean_Data[OrderID])+1)</f>
        <v>901</v>
      </c>
      <c r="AE559" s="1">
        <f>IF(COUNTIF($V$2:V559,V559)=1,V559,ROWS(Clean_Data[OrderID])+1)</f>
        <v>901</v>
      </c>
      <c r="AF559" s="1">
        <f>IF(COUNTIF($U$2:U559,U559)=1,U559,ROWS(Clean_Data[OrderID])+1)</f>
        <v>901</v>
      </c>
      <c r="AG559" s="1">
        <f>IF(COUNTIF($E$2:E559,E559)=1,ROW()-1,ROWS(Clean_Data[OrderID])+1)</f>
        <v>901</v>
      </c>
    </row>
    <row r="560" spans="1:33" ht="20" customHeight="1">
      <c r="A560" s="3" t="s">
        <v>941</v>
      </c>
      <c r="B560" s="2">
        <v>46284</v>
      </c>
      <c r="C560" s="3">
        <v>18</v>
      </c>
      <c r="D560" s="3" t="s">
        <v>289</v>
      </c>
      <c r="E560" s="3" t="s">
        <v>117</v>
      </c>
      <c r="F560" s="3" t="s">
        <v>109</v>
      </c>
      <c r="G560" s="3" t="s">
        <v>122</v>
      </c>
      <c r="H560" s="3" t="s">
        <v>153</v>
      </c>
      <c r="I560" s="3">
        <v>4</v>
      </c>
      <c r="J560" s="11">
        <v>130</v>
      </c>
      <c r="K560" s="4">
        <v>0</v>
      </c>
      <c r="L560" s="3" t="s">
        <v>95</v>
      </c>
      <c r="M560" s="3">
        <v>15</v>
      </c>
      <c r="N560" s="3">
        <v>5</v>
      </c>
      <c r="O560" s="3">
        <v>5</v>
      </c>
      <c r="P560" s="11">
        <f>Clean_Data[[#This Row],[Quantity]]*Clean_Data[[#This Row],[UnitPrice]]</f>
        <v>520</v>
      </c>
      <c r="Q560" s="11">
        <f>ROUND(Clean_Data[[#This Row],[GrossSales]]*Clean_Data[[#This Row],[DiscountPct]],2)</f>
        <v>0</v>
      </c>
      <c r="R560" s="11">
        <f>IF(Clean_Data[[#This Row],[Status]]="Delivered",ROUND(Clean_Data[[#This Row],[GrossSales]]-Clean_Data[[#This Row],[DiscountAmount]],2),0)</f>
        <v>520</v>
      </c>
      <c r="S560" s="3" t="str">
        <f>IF(Clean_Data[[#This Row],[OrderHour]]&lt;6,"Night",IF(Clean_Data[[#This Row],[OrderHour]]&lt;12,"Morning",IF(Clean_Data[[#This Row],[OrderHour]]&lt;18,"Afternoon","Evening")))</f>
        <v>Evening</v>
      </c>
      <c r="T560" s="3" t="str">
        <f>TEXT(Clean_Data[[#This Row],[OrderDate]],"[$-409]ddd")</f>
        <v>Sat</v>
      </c>
      <c r="U560" s="3">
        <f>WEEKDAY(Clean_Data[[#This Row],[OrderDate]],2)</f>
        <v>6</v>
      </c>
      <c r="V560" s="3">
        <f>INT(Clean_Data[[#This Row],[OrderHour]]/6)+1</f>
        <v>4</v>
      </c>
      <c r="W560" s="3">
        <f>IF(Clean_Data[[#This Row],[Status]]="Delivered",1,0)</f>
        <v>1</v>
      </c>
      <c r="X560" s="3">
        <f>IF(Clean_Data[[#This Row],[Status]]="Delivered",IF(Clean_Data[[#This Row],[DeliveryMinutes]]&lt;=Dashboard!$X$5,1,0),0)</f>
        <v>1</v>
      </c>
      <c r="Y5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0" s="3">
        <f>IF(AND(Clean_Data[[#This Row],[Include]]=1,Clean_Data[[#This Row],[DeliveredFlag]]=1),1,0)</f>
        <v>1</v>
      </c>
      <c r="AA560" s="1">
        <f>IF(COUNTIF($D$2:D560,D560)=1,ROW()-1,ROWS(Clean_Data[OrderID])+1)</f>
        <v>901</v>
      </c>
      <c r="AB560" s="1">
        <f>IF(COUNTIF($F$2:F560,F560)=1,ROW()-1,ROWS(Clean_Data[OrderID])+1)</f>
        <v>901</v>
      </c>
      <c r="AC560" s="1">
        <f>IF(COUNTIF($G$2:G560,G560)=1,ROW()-1,ROWS(Clean_Data[OrderID])+1)</f>
        <v>901</v>
      </c>
      <c r="AD560" s="1">
        <f>IF(COUNTIF($H$2:H560,H560)=1,ROW()-1,ROWS(Clean_Data[OrderID])+1)</f>
        <v>901</v>
      </c>
      <c r="AE560" s="1">
        <f>IF(COUNTIF($V$2:V560,V560)=1,V560,ROWS(Clean_Data[OrderID])+1)</f>
        <v>901</v>
      </c>
      <c r="AF560" s="1">
        <f>IF(COUNTIF($U$2:U560,U560)=1,U560,ROWS(Clean_Data[OrderID])+1)</f>
        <v>901</v>
      </c>
      <c r="AG560" s="1">
        <f>IF(COUNTIF($E$2:E560,E560)=1,ROW()-1,ROWS(Clean_Data[OrderID])+1)</f>
        <v>901</v>
      </c>
    </row>
    <row r="561" spans="1:33" ht="20" customHeight="1">
      <c r="A561" s="3" t="s">
        <v>942</v>
      </c>
      <c r="B561" s="2">
        <v>46284</v>
      </c>
      <c r="C561" s="3">
        <v>15</v>
      </c>
      <c r="D561" s="3" t="s">
        <v>195</v>
      </c>
      <c r="E561" s="3" t="s">
        <v>91</v>
      </c>
      <c r="F561" s="3" t="s">
        <v>109</v>
      </c>
      <c r="G561" s="3" t="s">
        <v>93</v>
      </c>
      <c r="H561" s="3" t="s">
        <v>118</v>
      </c>
      <c r="I561" s="3">
        <v>5</v>
      </c>
      <c r="J561" s="11">
        <v>45</v>
      </c>
      <c r="K561" s="4">
        <v>0</v>
      </c>
      <c r="L561" s="3" t="s">
        <v>95</v>
      </c>
      <c r="M561" s="3">
        <v>21</v>
      </c>
      <c r="N561" s="3">
        <v>12</v>
      </c>
      <c r="O561" s="3">
        <v>5</v>
      </c>
      <c r="P561" s="11">
        <f>Clean_Data[[#This Row],[Quantity]]*Clean_Data[[#This Row],[UnitPrice]]</f>
        <v>225</v>
      </c>
      <c r="Q561" s="11">
        <f>ROUND(Clean_Data[[#This Row],[GrossSales]]*Clean_Data[[#This Row],[DiscountPct]],2)</f>
        <v>0</v>
      </c>
      <c r="R561" s="11">
        <f>IF(Clean_Data[[#This Row],[Status]]="Delivered",ROUND(Clean_Data[[#This Row],[GrossSales]]-Clean_Data[[#This Row],[DiscountAmount]],2),0)</f>
        <v>225</v>
      </c>
      <c r="S561" s="3" t="str">
        <f>IF(Clean_Data[[#This Row],[OrderHour]]&lt;6,"Night",IF(Clean_Data[[#This Row],[OrderHour]]&lt;12,"Morning",IF(Clean_Data[[#This Row],[OrderHour]]&lt;18,"Afternoon","Evening")))</f>
        <v>Afternoon</v>
      </c>
      <c r="T561" s="3" t="str">
        <f>TEXT(Clean_Data[[#This Row],[OrderDate]],"[$-409]ddd")</f>
        <v>Sat</v>
      </c>
      <c r="U561" s="3">
        <f>WEEKDAY(Clean_Data[[#This Row],[OrderDate]],2)</f>
        <v>6</v>
      </c>
      <c r="V561" s="3">
        <f>INT(Clean_Data[[#This Row],[OrderHour]]/6)+1</f>
        <v>3</v>
      </c>
      <c r="W561" s="3">
        <f>IF(Clean_Data[[#This Row],[Status]]="Delivered",1,0)</f>
        <v>1</v>
      </c>
      <c r="X561" s="3">
        <f>IF(Clean_Data[[#This Row],[Status]]="Delivered",IF(Clean_Data[[#This Row],[DeliveryMinutes]]&lt;=Dashboard!$X$5,1,0),0)</f>
        <v>1</v>
      </c>
      <c r="Y5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1" s="3">
        <f>IF(AND(Clean_Data[[#This Row],[Include]]=1,Clean_Data[[#This Row],[DeliveredFlag]]=1),1,0)</f>
        <v>1</v>
      </c>
      <c r="AA561" s="1">
        <f>IF(COUNTIF($D$2:D561,D561)=1,ROW()-1,ROWS(Clean_Data[OrderID])+1)</f>
        <v>901</v>
      </c>
      <c r="AB561" s="1">
        <f>IF(COUNTIF($F$2:F561,F561)=1,ROW()-1,ROWS(Clean_Data[OrderID])+1)</f>
        <v>901</v>
      </c>
      <c r="AC561" s="1">
        <f>IF(COUNTIF($G$2:G561,G561)=1,ROW()-1,ROWS(Clean_Data[OrderID])+1)</f>
        <v>901</v>
      </c>
      <c r="AD561" s="1">
        <f>IF(COUNTIF($H$2:H561,H561)=1,ROW()-1,ROWS(Clean_Data[OrderID])+1)</f>
        <v>901</v>
      </c>
      <c r="AE561" s="1">
        <f>IF(COUNTIF($V$2:V561,V561)=1,V561,ROWS(Clean_Data[OrderID])+1)</f>
        <v>901</v>
      </c>
      <c r="AF561" s="1">
        <f>IF(COUNTIF($U$2:U561,U561)=1,U561,ROWS(Clean_Data[OrderID])+1)</f>
        <v>901</v>
      </c>
      <c r="AG561" s="1">
        <f>IF(COUNTIF($E$2:E561,E561)=1,ROW()-1,ROWS(Clean_Data[OrderID])+1)</f>
        <v>901</v>
      </c>
    </row>
    <row r="562" spans="1:33" ht="20" customHeight="1">
      <c r="A562" s="3" t="s">
        <v>943</v>
      </c>
      <c r="B562" s="2">
        <v>46284</v>
      </c>
      <c r="C562" s="3">
        <v>6</v>
      </c>
      <c r="D562" s="3" t="s">
        <v>944</v>
      </c>
      <c r="E562" s="3" t="s">
        <v>91</v>
      </c>
      <c r="F562" s="3" t="s">
        <v>139</v>
      </c>
      <c r="G562" s="3" t="s">
        <v>93</v>
      </c>
      <c r="H562" s="3" t="s">
        <v>94</v>
      </c>
      <c r="I562" s="3">
        <v>2</v>
      </c>
      <c r="J562" s="11">
        <v>95</v>
      </c>
      <c r="K562" s="4">
        <v>0.05</v>
      </c>
      <c r="L562" s="3" t="s">
        <v>95</v>
      </c>
      <c r="M562" s="3">
        <v>23</v>
      </c>
      <c r="N562" s="3">
        <v>9</v>
      </c>
      <c r="O562" s="3">
        <v>4</v>
      </c>
      <c r="P562" s="11">
        <f>Clean_Data[[#This Row],[Quantity]]*Clean_Data[[#This Row],[UnitPrice]]</f>
        <v>190</v>
      </c>
      <c r="Q562" s="11">
        <f>ROUND(Clean_Data[[#This Row],[GrossSales]]*Clean_Data[[#This Row],[DiscountPct]],2)</f>
        <v>9.5</v>
      </c>
      <c r="R562" s="11">
        <f>IF(Clean_Data[[#This Row],[Status]]="Delivered",ROUND(Clean_Data[[#This Row],[GrossSales]]-Clean_Data[[#This Row],[DiscountAmount]],2),0)</f>
        <v>180.5</v>
      </c>
      <c r="S562" s="3" t="str">
        <f>IF(Clean_Data[[#This Row],[OrderHour]]&lt;6,"Night",IF(Clean_Data[[#This Row],[OrderHour]]&lt;12,"Morning",IF(Clean_Data[[#This Row],[OrderHour]]&lt;18,"Afternoon","Evening")))</f>
        <v>Morning</v>
      </c>
      <c r="T562" s="3" t="str">
        <f>TEXT(Clean_Data[[#This Row],[OrderDate]],"[$-409]ddd")</f>
        <v>Sat</v>
      </c>
      <c r="U562" s="3">
        <f>WEEKDAY(Clean_Data[[#This Row],[OrderDate]],2)</f>
        <v>6</v>
      </c>
      <c r="V562" s="3">
        <f>INT(Clean_Data[[#This Row],[OrderHour]]/6)+1</f>
        <v>2</v>
      </c>
      <c r="W562" s="3">
        <f>IF(Clean_Data[[#This Row],[Status]]="Delivered",1,0)</f>
        <v>1</v>
      </c>
      <c r="X562" s="3">
        <f>IF(Clean_Data[[#This Row],[Status]]="Delivered",IF(Clean_Data[[#This Row],[DeliveryMinutes]]&lt;=Dashboard!$X$5,1,0),0)</f>
        <v>1</v>
      </c>
      <c r="Y5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2" s="3">
        <f>IF(AND(Clean_Data[[#This Row],[Include]]=1,Clean_Data[[#This Row],[DeliveredFlag]]=1),1,0)</f>
        <v>1</v>
      </c>
      <c r="AA562" s="1">
        <f>IF(COUNTIF($D$2:D562,D562)=1,ROW()-1,ROWS(Clean_Data[OrderID])+1)</f>
        <v>561</v>
      </c>
      <c r="AB562" s="1">
        <f>IF(COUNTIF($F$2:F562,F562)=1,ROW()-1,ROWS(Clean_Data[OrderID])+1)</f>
        <v>901</v>
      </c>
      <c r="AC562" s="1">
        <f>IF(COUNTIF($G$2:G562,G562)=1,ROW()-1,ROWS(Clean_Data[OrderID])+1)</f>
        <v>901</v>
      </c>
      <c r="AD562" s="1">
        <f>IF(COUNTIF($H$2:H562,H562)=1,ROW()-1,ROWS(Clean_Data[OrderID])+1)</f>
        <v>901</v>
      </c>
      <c r="AE562" s="1">
        <f>IF(COUNTIF($V$2:V562,V562)=1,V562,ROWS(Clean_Data[OrderID])+1)</f>
        <v>901</v>
      </c>
      <c r="AF562" s="1">
        <f>IF(COUNTIF($U$2:U562,U562)=1,U562,ROWS(Clean_Data[OrderID])+1)</f>
        <v>901</v>
      </c>
      <c r="AG562" s="1">
        <f>IF(COUNTIF($E$2:E562,E562)=1,ROW()-1,ROWS(Clean_Data[OrderID])+1)</f>
        <v>901</v>
      </c>
    </row>
    <row r="563" spans="1:33" ht="20" customHeight="1">
      <c r="A563" s="3" t="s">
        <v>945</v>
      </c>
      <c r="B563" s="2">
        <v>46284</v>
      </c>
      <c r="C563" s="3">
        <v>7</v>
      </c>
      <c r="D563" s="3" t="s">
        <v>687</v>
      </c>
      <c r="E563" s="3" t="s">
        <v>91</v>
      </c>
      <c r="F563" s="3" t="s">
        <v>98</v>
      </c>
      <c r="G563" s="3" t="s">
        <v>93</v>
      </c>
      <c r="H563" s="3" t="s">
        <v>118</v>
      </c>
      <c r="I563" s="3">
        <v>3</v>
      </c>
      <c r="J563" s="11">
        <v>45</v>
      </c>
      <c r="K563" s="4">
        <v>0</v>
      </c>
      <c r="L563" s="3" t="s">
        <v>95</v>
      </c>
      <c r="M563" s="3">
        <v>23</v>
      </c>
      <c r="N563" s="3">
        <v>13</v>
      </c>
      <c r="O563" s="3">
        <v>5</v>
      </c>
      <c r="P563" s="11">
        <f>Clean_Data[[#This Row],[Quantity]]*Clean_Data[[#This Row],[UnitPrice]]</f>
        <v>135</v>
      </c>
      <c r="Q563" s="11">
        <f>ROUND(Clean_Data[[#This Row],[GrossSales]]*Clean_Data[[#This Row],[DiscountPct]],2)</f>
        <v>0</v>
      </c>
      <c r="R563" s="11">
        <f>IF(Clean_Data[[#This Row],[Status]]="Delivered",ROUND(Clean_Data[[#This Row],[GrossSales]]-Clean_Data[[#This Row],[DiscountAmount]],2),0)</f>
        <v>135</v>
      </c>
      <c r="S563" s="3" t="str">
        <f>IF(Clean_Data[[#This Row],[OrderHour]]&lt;6,"Night",IF(Clean_Data[[#This Row],[OrderHour]]&lt;12,"Morning",IF(Clean_Data[[#This Row],[OrderHour]]&lt;18,"Afternoon","Evening")))</f>
        <v>Morning</v>
      </c>
      <c r="T563" s="3" t="str">
        <f>TEXT(Clean_Data[[#This Row],[OrderDate]],"[$-409]ddd")</f>
        <v>Sat</v>
      </c>
      <c r="U563" s="3">
        <f>WEEKDAY(Clean_Data[[#This Row],[OrderDate]],2)</f>
        <v>6</v>
      </c>
      <c r="V563" s="3">
        <f>INT(Clean_Data[[#This Row],[OrderHour]]/6)+1</f>
        <v>2</v>
      </c>
      <c r="W563" s="3">
        <f>IF(Clean_Data[[#This Row],[Status]]="Delivered",1,0)</f>
        <v>1</v>
      </c>
      <c r="X563" s="3">
        <f>IF(Clean_Data[[#This Row],[Status]]="Delivered",IF(Clean_Data[[#This Row],[DeliveryMinutes]]&lt;=Dashboard!$X$5,1,0),0)</f>
        <v>1</v>
      </c>
      <c r="Y5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3" s="3">
        <f>IF(AND(Clean_Data[[#This Row],[Include]]=1,Clean_Data[[#This Row],[DeliveredFlag]]=1),1,0)</f>
        <v>1</v>
      </c>
      <c r="AA563" s="1">
        <f>IF(COUNTIF($D$2:D563,D563)=1,ROW()-1,ROWS(Clean_Data[OrderID])+1)</f>
        <v>901</v>
      </c>
      <c r="AB563" s="1">
        <f>IF(COUNTIF($F$2:F563,F563)=1,ROW()-1,ROWS(Clean_Data[OrderID])+1)</f>
        <v>901</v>
      </c>
      <c r="AC563" s="1">
        <f>IF(COUNTIF($G$2:G563,G563)=1,ROW()-1,ROWS(Clean_Data[OrderID])+1)</f>
        <v>901</v>
      </c>
      <c r="AD563" s="1">
        <f>IF(COUNTIF($H$2:H563,H563)=1,ROW()-1,ROWS(Clean_Data[OrderID])+1)</f>
        <v>901</v>
      </c>
      <c r="AE563" s="1">
        <f>IF(COUNTIF($V$2:V563,V563)=1,V563,ROWS(Clean_Data[OrderID])+1)</f>
        <v>901</v>
      </c>
      <c r="AF563" s="1">
        <f>IF(COUNTIF($U$2:U563,U563)=1,U563,ROWS(Clean_Data[OrderID])+1)</f>
        <v>901</v>
      </c>
      <c r="AG563" s="1">
        <f>IF(COUNTIF($E$2:E563,E563)=1,ROW()-1,ROWS(Clean_Data[OrderID])+1)</f>
        <v>901</v>
      </c>
    </row>
    <row r="564" spans="1:33" ht="20" customHeight="1">
      <c r="A564" s="3" t="s">
        <v>946</v>
      </c>
      <c r="B564" s="2">
        <v>46284</v>
      </c>
      <c r="C564" s="3">
        <v>23</v>
      </c>
      <c r="D564" s="3" t="s">
        <v>579</v>
      </c>
      <c r="E564" s="3" t="s">
        <v>117</v>
      </c>
      <c r="F564" s="3" t="s">
        <v>121</v>
      </c>
      <c r="G564" s="3" t="s">
        <v>110</v>
      </c>
      <c r="H564" s="3" t="s">
        <v>111</v>
      </c>
      <c r="I564" s="3">
        <v>4</v>
      </c>
      <c r="J564" s="11">
        <v>115</v>
      </c>
      <c r="K564" s="4">
        <v>0</v>
      </c>
      <c r="L564" s="3" t="s">
        <v>95</v>
      </c>
      <c r="M564" s="3">
        <v>24</v>
      </c>
      <c r="N564" s="3">
        <v>8</v>
      </c>
      <c r="O564" s="3">
        <v>4</v>
      </c>
      <c r="P564" s="11">
        <f>Clean_Data[[#This Row],[Quantity]]*Clean_Data[[#This Row],[UnitPrice]]</f>
        <v>460</v>
      </c>
      <c r="Q564" s="11">
        <f>ROUND(Clean_Data[[#This Row],[GrossSales]]*Clean_Data[[#This Row],[DiscountPct]],2)</f>
        <v>0</v>
      </c>
      <c r="R564" s="11">
        <f>IF(Clean_Data[[#This Row],[Status]]="Delivered",ROUND(Clean_Data[[#This Row],[GrossSales]]-Clean_Data[[#This Row],[DiscountAmount]],2),0)</f>
        <v>460</v>
      </c>
      <c r="S564" s="3" t="str">
        <f>IF(Clean_Data[[#This Row],[OrderHour]]&lt;6,"Night",IF(Clean_Data[[#This Row],[OrderHour]]&lt;12,"Morning",IF(Clean_Data[[#This Row],[OrderHour]]&lt;18,"Afternoon","Evening")))</f>
        <v>Evening</v>
      </c>
      <c r="T564" s="3" t="str">
        <f>TEXT(Clean_Data[[#This Row],[OrderDate]],"[$-409]ddd")</f>
        <v>Sat</v>
      </c>
      <c r="U564" s="3">
        <f>WEEKDAY(Clean_Data[[#This Row],[OrderDate]],2)</f>
        <v>6</v>
      </c>
      <c r="V564" s="3">
        <f>INT(Clean_Data[[#This Row],[OrderHour]]/6)+1</f>
        <v>4</v>
      </c>
      <c r="W564" s="3">
        <f>IF(Clean_Data[[#This Row],[Status]]="Delivered",1,0)</f>
        <v>1</v>
      </c>
      <c r="X564" s="3">
        <f>IF(Clean_Data[[#This Row],[Status]]="Delivered",IF(Clean_Data[[#This Row],[DeliveryMinutes]]&lt;=Dashboard!$X$5,1,0),0)</f>
        <v>1</v>
      </c>
      <c r="Y5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4" s="3">
        <f>IF(AND(Clean_Data[[#This Row],[Include]]=1,Clean_Data[[#This Row],[DeliveredFlag]]=1),1,0)</f>
        <v>1</v>
      </c>
      <c r="AA564" s="1">
        <f>IF(COUNTIF($D$2:D564,D564)=1,ROW()-1,ROWS(Clean_Data[OrderID])+1)</f>
        <v>901</v>
      </c>
      <c r="AB564" s="1">
        <f>IF(COUNTIF($F$2:F564,F564)=1,ROW()-1,ROWS(Clean_Data[OrderID])+1)</f>
        <v>901</v>
      </c>
      <c r="AC564" s="1">
        <f>IF(COUNTIF($G$2:G564,G564)=1,ROW()-1,ROWS(Clean_Data[OrderID])+1)</f>
        <v>901</v>
      </c>
      <c r="AD564" s="1">
        <f>IF(COUNTIF($H$2:H564,H564)=1,ROW()-1,ROWS(Clean_Data[OrderID])+1)</f>
        <v>901</v>
      </c>
      <c r="AE564" s="1">
        <f>IF(COUNTIF($V$2:V564,V564)=1,V564,ROWS(Clean_Data[OrderID])+1)</f>
        <v>901</v>
      </c>
      <c r="AF564" s="1">
        <f>IF(COUNTIF($U$2:U564,U564)=1,U564,ROWS(Clean_Data[OrderID])+1)</f>
        <v>901</v>
      </c>
      <c r="AG564" s="1">
        <f>IF(COUNTIF($E$2:E564,E564)=1,ROW()-1,ROWS(Clean_Data[OrderID])+1)</f>
        <v>901</v>
      </c>
    </row>
    <row r="565" spans="1:33" ht="20" customHeight="1">
      <c r="A565" s="3" t="s">
        <v>947</v>
      </c>
      <c r="B565" s="2">
        <v>46284</v>
      </c>
      <c r="C565" s="3">
        <v>7</v>
      </c>
      <c r="D565" s="3" t="s">
        <v>238</v>
      </c>
      <c r="E565" s="3" t="s">
        <v>91</v>
      </c>
      <c r="F565" s="3" t="s">
        <v>92</v>
      </c>
      <c r="G565" s="3" t="s">
        <v>122</v>
      </c>
      <c r="H565" s="3" t="s">
        <v>123</v>
      </c>
      <c r="I565" s="3">
        <v>1</v>
      </c>
      <c r="J565" s="11">
        <v>45</v>
      </c>
      <c r="K565" s="4">
        <v>0.1</v>
      </c>
      <c r="L565" s="3" t="s">
        <v>95</v>
      </c>
      <c r="M565" s="3">
        <v>25</v>
      </c>
      <c r="N565" s="3">
        <v>8</v>
      </c>
      <c r="O565" s="3">
        <v>4</v>
      </c>
      <c r="P565" s="11">
        <f>Clean_Data[[#This Row],[Quantity]]*Clean_Data[[#This Row],[UnitPrice]]</f>
        <v>45</v>
      </c>
      <c r="Q565" s="11">
        <f>ROUND(Clean_Data[[#This Row],[GrossSales]]*Clean_Data[[#This Row],[DiscountPct]],2)</f>
        <v>4.5</v>
      </c>
      <c r="R565" s="11">
        <f>IF(Clean_Data[[#This Row],[Status]]="Delivered",ROUND(Clean_Data[[#This Row],[GrossSales]]-Clean_Data[[#This Row],[DiscountAmount]],2),0)</f>
        <v>40.5</v>
      </c>
      <c r="S565" s="3" t="str">
        <f>IF(Clean_Data[[#This Row],[OrderHour]]&lt;6,"Night",IF(Clean_Data[[#This Row],[OrderHour]]&lt;12,"Morning",IF(Clean_Data[[#This Row],[OrderHour]]&lt;18,"Afternoon","Evening")))</f>
        <v>Morning</v>
      </c>
      <c r="T565" s="3" t="str">
        <f>TEXT(Clean_Data[[#This Row],[OrderDate]],"[$-409]ddd")</f>
        <v>Sat</v>
      </c>
      <c r="U565" s="3">
        <f>WEEKDAY(Clean_Data[[#This Row],[OrderDate]],2)</f>
        <v>6</v>
      </c>
      <c r="V565" s="3">
        <f>INT(Clean_Data[[#This Row],[OrderHour]]/6)+1</f>
        <v>2</v>
      </c>
      <c r="W565" s="3">
        <f>IF(Clean_Data[[#This Row],[Status]]="Delivered",1,0)</f>
        <v>1</v>
      </c>
      <c r="X565" s="3">
        <f>IF(Clean_Data[[#This Row],[Status]]="Delivered",IF(Clean_Data[[#This Row],[DeliveryMinutes]]&lt;=Dashboard!$X$5,1,0),0)</f>
        <v>1</v>
      </c>
      <c r="Y5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5" s="3">
        <f>IF(AND(Clean_Data[[#This Row],[Include]]=1,Clean_Data[[#This Row],[DeliveredFlag]]=1),1,0)</f>
        <v>1</v>
      </c>
      <c r="AA565" s="1">
        <f>IF(COUNTIF($D$2:D565,D565)=1,ROW()-1,ROWS(Clean_Data[OrderID])+1)</f>
        <v>901</v>
      </c>
      <c r="AB565" s="1">
        <f>IF(COUNTIF($F$2:F565,F565)=1,ROW()-1,ROWS(Clean_Data[OrderID])+1)</f>
        <v>901</v>
      </c>
      <c r="AC565" s="1">
        <f>IF(COUNTIF($G$2:G565,G565)=1,ROW()-1,ROWS(Clean_Data[OrderID])+1)</f>
        <v>901</v>
      </c>
      <c r="AD565" s="1">
        <f>IF(COUNTIF($H$2:H565,H565)=1,ROW()-1,ROWS(Clean_Data[OrderID])+1)</f>
        <v>901</v>
      </c>
      <c r="AE565" s="1">
        <f>IF(COUNTIF($V$2:V565,V565)=1,V565,ROWS(Clean_Data[OrderID])+1)</f>
        <v>901</v>
      </c>
      <c r="AF565" s="1">
        <f>IF(COUNTIF($U$2:U565,U565)=1,U565,ROWS(Clean_Data[OrderID])+1)</f>
        <v>901</v>
      </c>
      <c r="AG565" s="1">
        <f>IF(COUNTIF($E$2:E565,E565)=1,ROW()-1,ROWS(Clean_Data[OrderID])+1)</f>
        <v>901</v>
      </c>
    </row>
    <row r="566" spans="1:33" ht="20" customHeight="1">
      <c r="A566" s="3" t="s">
        <v>948</v>
      </c>
      <c r="B566" s="2">
        <v>46284</v>
      </c>
      <c r="C566" s="3">
        <v>18</v>
      </c>
      <c r="D566" s="3" t="s">
        <v>713</v>
      </c>
      <c r="E566" s="3" t="s">
        <v>91</v>
      </c>
      <c r="F566" s="3" t="s">
        <v>109</v>
      </c>
      <c r="G566" s="3" t="s">
        <v>99</v>
      </c>
      <c r="H566" s="3" t="s">
        <v>130</v>
      </c>
      <c r="I566" s="3">
        <v>2</v>
      </c>
      <c r="J566" s="11">
        <v>85</v>
      </c>
      <c r="K566" s="4">
        <v>0.15</v>
      </c>
      <c r="L566" s="3" t="s">
        <v>95</v>
      </c>
      <c r="M566" s="3">
        <v>31</v>
      </c>
      <c r="N566" s="3">
        <v>12</v>
      </c>
      <c r="O566" s="3">
        <v>5</v>
      </c>
      <c r="P566" s="11">
        <f>Clean_Data[[#This Row],[Quantity]]*Clean_Data[[#This Row],[UnitPrice]]</f>
        <v>170</v>
      </c>
      <c r="Q566" s="11">
        <f>ROUND(Clean_Data[[#This Row],[GrossSales]]*Clean_Data[[#This Row],[DiscountPct]],2)</f>
        <v>25.5</v>
      </c>
      <c r="R566" s="11">
        <f>IF(Clean_Data[[#This Row],[Status]]="Delivered",ROUND(Clean_Data[[#This Row],[GrossSales]]-Clean_Data[[#This Row],[DiscountAmount]],2),0)</f>
        <v>144.5</v>
      </c>
      <c r="S566" s="3" t="str">
        <f>IF(Clean_Data[[#This Row],[OrderHour]]&lt;6,"Night",IF(Clean_Data[[#This Row],[OrderHour]]&lt;12,"Morning",IF(Clean_Data[[#This Row],[OrderHour]]&lt;18,"Afternoon","Evening")))</f>
        <v>Evening</v>
      </c>
      <c r="T566" s="3" t="str">
        <f>TEXT(Clean_Data[[#This Row],[OrderDate]],"[$-409]ddd")</f>
        <v>Sat</v>
      </c>
      <c r="U566" s="3">
        <f>WEEKDAY(Clean_Data[[#This Row],[OrderDate]],2)</f>
        <v>6</v>
      </c>
      <c r="V566" s="3">
        <f>INT(Clean_Data[[#This Row],[OrderHour]]/6)+1</f>
        <v>4</v>
      </c>
      <c r="W566" s="3">
        <f>IF(Clean_Data[[#This Row],[Status]]="Delivered",1,0)</f>
        <v>1</v>
      </c>
      <c r="X566" s="3">
        <f>IF(Clean_Data[[#This Row],[Status]]="Delivered",IF(Clean_Data[[#This Row],[DeliveryMinutes]]&lt;=Dashboard!$X$5,1,0),0)</f>
        <v>0</v>
      </c>
      <c r="Y5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6" s="3">
        <f>IF(AND(Clean_Data[[#This Row],[Include]]=1,Clean_Data[[#This Row],[DeliveredFlag]]=1),1,0)</f>
        <v>1</v>
      </c>
      <c r="AA566" s="1">
        <f>IF(COUNTIF($D$2:D566,D566)=1,ROW()-1,ROWS(Clean_Data[OrderID])+1)</f>
        <v>901</v>
      </c>
      <c r="AB566" s="1">
        <f>IF(COUNTIF($F$2:F566,F566)=1,ROW()-1,ROWS(Clean_Data[OrderID])+1)</f>
        <v>901</v>
      </c>
      <c r="AC566" s="1">
        <f>IF(COUNTIF($G$2:G566,G566)=1,ROW()-1,ROWS(Clean_Data[OrderID])+1)</f>
        <v>901</v>
      </c>
      <c r="AD566" s="1">
        <f>IF(COUNTIF($H$2:H566,H566)=1,ROW()-1,ROWS(Clean_Data[OrderID])+1)</f>
        <v>901</v>
      </c>
      <c r="AE566" s="1">
        <f>IF(COUNTIF($V$2:V566,V566)=1,V566,ROWS(Clean_Data[OrderID])+1)</f>
        <v>901</v>
      </c>
      <c r="AF566" s="1">
        <f>IF(COUNTIF($U$2:U566,U566)=1,U566,ROWS(Clean_Data[OrderID])+1)</f>
        <v>901</v>
      </c>
      <c r="AG566" s="1">
        <f>IF(COUNTIF($E$2:E566,E566)=1,ROW()-1,ROWS(Clean_Data[OrderID])+1)</f>
        <v>901</v>
      </c>
    </row>
    <row r="567" spans="1:33" ht="20" customHeight="1">
      <c r="A567" s="3" t="s">
        <v>949</v>
      </c>
      <c r="B567" s="2">
        <v>46284</v>
      </c>
      <c r="C567" s="3">
        <v>19</v>
      </c>
      <c r="D567" s="3" t="s">
        <v>492</v>
      </c>
      <c r="E567" s="3" t="s">
        <v>91</v>
      </c>
      <c r="F567" s="3" t="s">
        <v>121</v>
      </c>
      <c r="G567" s="3" t="s">
        <v>174</v>
      </c>
      <c r="H567" s="3" t="s">
        <v>175</v>
      </c>
      <c r="I567" s="3">
        <v>5</v>
      </c>
      <c r="J567" s="11">
        <v>155</v>
      </c>
      <c r="K567" s="4">
        <v>0.15</v>
      </c>
      <c r="L567" s="3" t="s">
        <v>95</v>
      </c>
      <c r="M567" s="3">
        <v>31</v>
      </c>
      <c r="N567" s="3">
        <v>10</v>
      </c>
      <c r="O567" s="3">
        <v>4</v>
      </c>
      <c r="P567" s="11">
        <f>Clean_Data[[#This Row],[Quantity]]*Clean_Data[[#This Row],[UnitPrice]]</f>
        <v>775</v>
      </c>
      <c r="Q567" s="11">
        <f>ROUND(Clean_Data[[#This Row],[GrossSales]]*Clean_Data[[#This Row],[DiscountPct]],2)</f>
        <v>116.25</v>
      </c>
      <c r="R567" s="11">
        <f>IF(Clean_Data[[#This Row],[Status]]="Delivered",ROUND(Clean_Data[[#This Row],[GrossSales]]-Clean_Data[[#This Row],[DiscountAmount]],2),0)</f>
        <v>658.75</v>
      </c>
      <c r="S567" s="3" t="str">
        <f>IF(Clean_Data[[#This Row],[OrderHour]]&lt;6,"Night",IF(Clean_Data[[#This Row],[OrderHour]]&lt;12,"Morning",IF(Clean_Data[[#This Row],[OrderHour]]&lt;18,"Afternoon","Evening")))</f>
        <v>Evening</v>
      </c>
      <c r="T567" s="3" t="str">
        <f>TEXT(Clean_Data[[#This Row],[OrderDate]],"[$-409]ddd")</f>
        <v>Sat</v>
      </c>
      <c r="U567" s="3">
        <f>WEEKDAY(Clean_Data[[#This Row],[OrderDate]],2)</f>
        <v>6</v>
      </c>
      <c r="V567" s="3">
        <f>INT(Clean_Data[[#This Row],[OrderHour]]/6)+1</f>
        <v>4</v>
      </c>
      <c r="W567" s="3">
        <f>IF(Clean_Data[[#This Row],[Status]]="Delivered",1,0)</f>
        <v>1</v>
      </c>
      <c r="X567" s="3">
        <f>IF(Clean_Data[[#This Row],[Status]]="Delivered",IF(Clean_Data[[#This Row],[DeliveryMinutes]]&lt;=Dashboard!$X$5,1,0),0)</f>
        <v>0</v>
      </c>
      <c r="Y5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7" s="3">
        <f>IF(AND(Clean_Data[[#This Row],[Include]]=1,Clean_Data[[#This Row],[DeliveredFlag]]=1),1,0)</f>
        <v>1</v>
      </c>
      <c r="AA567" s="1">
        <f>IF(COUNTIF($D$2:D567,D567)=1,ROW()-1,ROWS(Clean_Data[OrderID])+1)</f>
        <v>901</v>
      </c>
      <c r="AB567" s="1">
        <f>IF(COUNTIF($F$2:F567,F567)=1,ROW()-1,ROWS(Clean_Data[OrderID])+1)</f>
        <v>901</v>
      </c>
      <c r="AC567" s="1">
        <f>IF(COUNTIF($G$2:G567,G567)=1,ROW()-1,ROWS(Clean_Data[OrderID])+1)</f>
        <v>901</v>
      </c>
      <c r="AD567" s="1">
        <f>IF(COUNTIF($H$2:H567,H567)=1,ROW()-1,ROWS(Clean_Data[OrderID])+1)</f>
        <v>901</v>
      </c>
      <c r="AE567" s="1">
        <f>IF(COUNTIF($V$2:V567,V567)=1,V567,ROWS(Clean_Data[OrderID])+1)</f>
        <v>901</v>
      </c>
      <c r="AF567" s="1">
        <f>IF(COUNTIF($U$2:U567,U567)=1,U567,ROWS(Clean_Data[OrderID])+1)</f>
        <v>901</v>
      </c>
      <c r="AG567" s="1">
        <f>IF(COUNTIF($E$2:E567,E567)=1,ROW()-1,ROWS(Clean_Data[OrderID])+1)</f>
        <v>901</v>
      </c>
    </row>
    <row r="568" spans="1:33" ht="20" customHeight="1">
      <c r="A568" s="3" t="s">
        <v>950</v>
      </c>
      <c r="B568" s="2">
        <v>46284</v>
      </c>
      <c r="C568" s="3">
        <v>17</v>
      </c>
      <c r="D568" s="3" t="s">
        <v>448</v>
      </c>
      <c r="E568" s="3" t="s">
        <v>91</v>
      </c>
      <c r="F568" s="3" t="s">
        <v>98</v>
      </c>
      <c r="G568" s="3" t="s">
        <v>135</v>
      </c>
      <c r="H568" s="3" t="s">
        <v>136</v>
      </c>
      <c r="I568" s="3">
        <v>2</v>
      </c>
      <c r="J568" s="11">
        <v>40</v>
      </c>
      <c r="K568" s="4">
        <v>0.15</v>
      </c>
      <c r="L568" s="3" t="s">
        <v>95</v>
      </c>
      <c r="M568" s="3">
        <v>14</v>
      </c>
      <c r="N568" s="3">
        <v>8</v>
      </c>
      <c r="O568" s="3">
        <v>4</v>
      </c>
      <c r="P568" s="11">
        <f>Clean_Data[[#This Row],[Quantity]]*Clean_Data[[#This Row],[UnitPrice]]</f>
        <v>80</v>
      </c>
      <c r="Q568" s="11">
        <f>ROUND(Clean_Data[[#This Row],[GrossSales]]*Clean_Data[[#This Row],[DiscountPct]],2)</f>
        <v>12</v>
      </c>
      <c r="R568" s="11">
        <f>IF(Clean_Data[[#This Row],[Status]]="Delivered",ROUND(Clean_Data[[#This Row],[GrossSales]]-Clean_Data[[#This Row],[DiscountAmount]],2),0)</f>
        <v>68</v>
      </c>
      <c r="S568" s="3" t="str">
        <f>IF(Clean_Data[[#This Row],[OrderHour]]&lt;6,"Night",IF(Clean_Data[[#This Row],[OrderHour]]&lt;12,"Morning",IF(Clean_Data[[#This Row],[OrderHour]]&lt;18,"Afternoon","Evening")))</f>
        <v>Afternoon</v>
      </c>
      <c r="T568" s="3" t="str">
        <f>TEXT(Clean_Data[[#This Row],[OrderDate]],"[$-409]ddd")</f>
        <v>Sat</v>
      </c>
      <c r="U568" s="3">
        <f>WEEKDAY(Clean_Data[[#This Row],[OrderDate]],2)</f>
        <v>6</v>
      </c>
      <c r="V568" s="3">
        <f>INT(Clean_Data[[#This Row],[OrderHour]]/6)+1</f>
        <v>3</v>
      </c>
      <c r="W568" s="3">
        <f>IF(Clean_Data[[#This Row],[Status]]="Delivered",1,0)</f>
        <v>1</v>
      </c>
      <c r="X568" s="3">
        <f>IF(Clean_Data[[#This Row],[Status]]="Delivered",IF(Clean_Data[[#This Row],[DeliveryMinutes]]&lt;=Dashboard!$X$5,1,0),0)</f>
        <v>1</v>
      </c>
      <c r="Y5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8" s="3">
        <f>IF(AND(Clean_Data[[#This Row],[Include]]=1,Clean_Data[[#This Row],[DeliveredFlag]]=1),1,0)</f>
        <v>1</v>
      </c>
      <c r="AA568" s="1">
        <f>IF(COUNTIF($D$2:D568,D568)=1,ROW()-1,ROWS(Clean_Data[OrderID])+1)</f>
        <v>901</v>
      </c>
      <c r="AB568" s="1">
        <f>IF(COUNTIF($F$2:F568,F568)=1,ROW()-1,ROWS(Clean_Data[OrderID])+1)</f>
        <v>901</v>
      </c>
      <c r="AC568" s="1">
        <f>IF(COUNTIF($G$2:G568,G568)=1,ROW()-1,ROWS(Clean_Data[OrderID])+1)</f>
        <v>901</v>
      </c>
      <c r="AD568" s="1">
        <f>IF(COUNTIF($H$2:H568,H568)=1,ROW()-1,ROWS(Clean_Data[OrderID])+1)</f>
        <v>901</v>
      </c>
      <c r="AE568" s="1">
        <f>IF(COUNTIF($V$2:V568,V568)=1,V568,ROWS(Clean_Data[OrderID])+1)</f>
        <v>901</v>
      </c>
      <c r="AF568" s="1">
        <f>IF(COUNTIF($U$2:U568,U568)=1,U568,ROWS(Clean_Data[OrderID])+1)</f>
        <v>901</v>
      </c>
      <c r="AG568" s="1">
        <f>IF(COUNTIF($E$2:E568,E568)=1,ROW()-1,ROWS(Clean_Data[OrderID])+1)</f>
        <v>901</v>
      </c>
    </row>
    <row r="569" spans="1:33" ht="20" customHeight="1">
      <c r="A569" s="3" t="s">
        <v>951</v>
      </c>
      <c r="B569" s="2">
        <v>46284</v>
      </c>
      <c r="C569" s="3">
        <v>23</v>
      </c>
      <c r="D569" s="3" t="s">
        <v>157</v>
      </c>
      <c r="E569" s="3" t="s">
        <v>91</v>
      </c>
      <c r="F569" s="3" t="s">
        <v>98</v>
      </c>
      <c r="G569" s="3" t="s">
        <v>135</v>
      </c>
      <c r="H569" s="3" t="s">
        <v>162</v>
      </c>
      <c r="I569" s="3">
        <v>6</v>
      </c>
      <c r="J569" s="11">
        <v>180</v>
      </c>
      <c r="K569" s="4">
        <v>0</v>
      </c>
      <c r="L569" s="3" t="s">
        <v>95</v>
      </c>
      <c r="M569" s="3">
        <v>19</v>
      </c>
      <c r="N569" s="3">
        <v>12</v>
      </c>
      <c r="O569" s="3">
        <v>3</v>
      </c>
      <c r="P569" s="11">
        <f>Clean_Data[[#This Row],[Quantity]]*Clean_Data[[#This Row],[UnitPrice]]</f>
        <v>1080</v>
      </c>
      <c r="Q569" s="11">
        <f>ROUND(Clean_Data[[#This Row],[GrossSales]]*Clean_Data[[#This Row],[DiscountPct]],2)</f>
        <v>0</v>
      </c>
      <c r="R569" s="11">
        <f>IF(Clean_Data[[#This Row],[Status]]="Delivered",ROUND(Clean_Data[[#This Row],[GrossSales]]-Clean_Data[[#This Row],[DiscountAmount]],2),0)</f>
        <v>1080</v>
      </c>
      <c r="S569" s="3" t="str">
        <f>IF(Clean_Data[[#This Row],[OrderHour]]&lt;6,"Night",IF(Clean_Data[[#This Row],[OrderHour]]&lt;12,"Morning",IF(Clean_Data[[#This Row],[OrderHour]]&lt;18,"Afternoon","Evening")))</f>
        <v>Evening</v>
      </c>
      <c r="T569" s="3" t="str">
        <f>TEXT(Clean_Data[[#This Row],[OrderDate]],"[$-409]ddd")</f>
        <v>Sat</v>
      </c>
      <c r="U569" s="3">
        <f>WEEKDAY(Clean_Data[[#This Row],[OrderDate]],2)</f>
        <v>6</v>
      </c>
      <c r="V569" s="3">
        <f>INT(Clean_Data[[#This Row],[OrderHour]]/6)+1</f>
        <v>4</v>
      </c>
      <c r="W569" s="3">
        <f>IF(Clean_Data[[#This Row],[Status]]="Delivered",1,0)</f>
        <v>1</v>
      </c>
      <c r="X569" s="3">
        <f>IF(Clean_Data[[#This Row],[Status]]="Delivered",IF(Clean_Data[[#This Row],[DeliveryMinutes]]&lt;=Dashboard!$X$5,1,0),0)</f>
        <v>1</v>
      </c>
      <c r="Y5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69" s="3">
        <f>IF(AND(Clean_Data[[#This Row],[Include]]=1,Clean_Data[[#This Row],[DeliveredFlag]]=1),1,0)</f>
        <v>1</v>
      </c>
      <c r="AA569" s="1">
        <f>IF(COUNTIF($D$2:D569,D569)=1,ROW()-1,ROWS(Clean_Data[OrderID])+1)</f>
        <v>901</v>
      </c>
      <c r="AB569" s="1">
        <f>IF(COUNTIF($F$2:F569,F569)=1,ROW()-1,ROWS(Clean_Data[OrderID])+1)</f>
        <v>901</v>
      </c>
      <c r="AC569" s="1">
        <f>IF(COUNTIF($G$2:G569,G569)=1,ROW()-1,ROWS(Clean_Data[OrderID])+1)</f>
        <v>901</v>
      </c>
      <c r="AD569" s="1">
        <f>IF(COUNTIF($H$2:H569,H569)=1,ROW()-1,ROWS(Clean_Data[OrderID])+1)</f>
        <v>901</v>
      </c>
      <c r="AE569" s="1">
        <f>IF(COUNTIF($V$2:V569,V569)=1,V569,ROWS(Clean_Data[OrderID])+1)</f>
        <v>901</v>
      </c>
      <c r="AF569" s="1">
        <f>IF(COUNTIF($U$2:U569,U569)=1,U569,ROWS(Clean_Data[OrderID])+1)</f>
        <v>901</v>
      </c>
      <c r="AG569" s="1">
        <f>IF(COUNTIF($E$2:E569,E569)=1,ROW()-1,ROWS(Clean_Data[OrderID])+1)</f>
        <v>901</v>
      </c>
    </row>
    <row r="570" spans="1:33" ht="20" customHeight="1">
      <c r="A570" s="3" t="s">
        <v>952</v>
      </c>
      <c r="B570" s="2">
        <v>46284</v>
      </c>
      <c r="C570" s="3">
        <v>13</v>
      </c>
      <c r="D570" s="3" t="s">
        <v>794</v>
      </c>
      <c r="E570" s="3" t="s">
        <v>117</v>
      </c>
      <c r="F570" s="3" t="s">
        <v>92</v>
      </c>
      <c r="G570" s="3" t="s">
        <v>110</v>
      </c>
      <c r="H570" s="3" t="s">
        <v>114</v>
      </c>
      <c r="I570" s="3">
        <v>2</v>
      </c>
      <c r="J570" s="11">
        <v>145</v>
      </c>
      <c r="K570" s="4">
        <v>0.1</v>
      </c>
      <c r="L570" s="3" t="s">
        <v>95</v>
      </c>
      <c r="M570" s="3">
        <v>25</v>
      </c>
      <c r="N570" s="3">
        <v>7</v>
      </c>
      <c r="O570" s="3">
        <v>4</v>
      </c>
      <c r="P570" s="11">
        <f>Clean_Data[[#This Row],[Quantity]]*Clean_Data[[#This Row],[UnitPrice]]</f>
        <v>290</v>
      </c>
      <c r="Q570" s="11">
        <f>ROUND(Clean_Data[[#This Row],[GrossSales]]*Clean_Data[[#This Row],[DiscountPct]],2)</f>
        <v>29</v>
      </c>
      <c r="R570" s="11">
        <f>IF(Clean_Data[[#This Row],[Status]]="Delivered",ROUND(Clean_Data[[#This Row],[GrossSales]]-Clean_Data[[#This Row],[DiscountAmount]],2),0)</f>
        <v>261</v>
      </c>
      <c r="S570" s="3" t="str">
        <f>IF(Clean_Data[[#This Row],[OrderHour]]&lt;6,"Night",IF(Clean_Data[[#This Row],[OrderHour]]&lt;12,"Morning",IF(Clean_Data[[#This Row],[OrderHour]]&lt;18,"Afternoon","Evening")))</f>
        <v>Afternoon</v>
      </c>
      <c r="T570" s="3" t="str">
        <f>TEXT(Clean_Data[[#This Row],[OrderDate]],"[$-409]ddd")</f>
        <v>Sat</v>
      </c>
      <c r="U570" s="3">
        <f>WEEKDAY(Clean_Data[[#This Row],[OrderDate]],2)</f>
        <v>6</v>
      </c>
      <c r="V570" s="3">
        <f>INT(Clean_Data[[#This Row],[OrderHour]]/6)+1</f>
        <v>3</v>
      </c>
      <c r="W570" s="3">
        <f>IF(Clean_Data[[#This Row],[Status]]="Delivered",1,0)</f>
        <v>1</v>
      </c>
      <c r="X570" s="3">
        <f>IF(Clean_Data[[#This Row],[Status]]="Delivered",IF(Clean_Data[[#This Row],[DeliveryMinutes]]&lt;=Dashboard!$X$5,1,0),0)</f>
        <v>1</v>
      </c>
      <c r="Y5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0" s="3">
        <f>IF(AND(Clean_Data[[#This Row],[Include]]=1,Clean_Data[[#This Row],[DeliveredFlag]]=1),1,0)</f>
        <v>1</v>
      </c>
      <c r="AA570" s="1">
        <f>IF(COUNTIF($D$2:D570,D570)=1,ROW()-1,ROWS(Clean_Data[OrderID])+1)</f>
        <v>901</v>
      </c>
      <c r="AB570" s="1">
        <f>IF(COUNTIF($F$2:F570,F570)=1,ROW()-1,ROWS(Clean_Data[OrderID])+1)</f>
        <v>901</v>
      </c>
      <c r="AC570" s="1">
        <f>IF(COUNTIF($G$2:G570,G570)=1,ROW()-1,ROWS(Clean_Data[OrderID])+1)</f>
        <v>901</v>
      </c>
      <c r="AD570" s="1">
        <f>IF(COUNTIF($H$2:H570,H570)=1,ROW()-1,ROWS(Clean_Data[OrderID])+1)</f>
        <v>901</v>
      </c>
      <c r="AE570" s="1">
        <f>IF(COUNTIF($V$2:V570,V570)=1,V570,ROWS(Clean_Data[OrderID])+1)</f>
        <v>901</v>
      </c>
      <c r="AF570" s="1">
        <f>IF(COUNTIF($U$2:U570,U570)=1,U570,ROWS(Clean_Data[OrderID])+1)</f>
        <v>901</v>
      </c>
      <c r="AG570" s="1">
        <f>IF(COUNTIF($E$2:E570,E570)=1,ROW()-1,ROWS(Clean_Data[OrderID])+1)</f>
        <v>901</v>
      </c>
    </row>
    <row r="571" spans="1:33" ht="20" customHeight="1">
      <c r="A571" s="3" t="s">
        <v>953</v>
      </c>
      <c r="B571" s="2">
        <v>46284</v>
      </c>
      <c r="C571" s="3">
        <v>17</v>
      </c>
      <c r="D571" s="3" t="s">
        <v>831</v>
      </c>
      <c r="E571" s="3" t="s">
        <v>91</v>
      </c>
      <c r="F571" s="3" t="s">
        <v>121</v>
      </c>
      <c r="G571" s="3" t="s">
        <v>135</v>
      </c>
      <c r="H571" s="3" t="s">
        <v>217</v>
      </c>
      <c r="I571" s="3">
        <v>5</v>
      </c>
      <c r="J571" s="11">
        <v>65</v>
      </c>
      <c r="K571" s="4">
        <v>0.15</v>
      </c>
      <c r="L571" s="3" t="s">
        <v>95</v>
      </c>
      <c r="M571" s="3">
        <v>28</v>
      </c>
      <c r="N571" s="3">
        <v>9</v>
      </c>
      <c r="O571" s="3">
        <v>4</v>
      </c>
      <c r="P571" s="11">
        <f>Clean_Data[[#This Row],[Quantity]]*Clean_Data[[#This Row],[UnitPrice]]</f>
        <v>325</v>
      </c>
      <c r="Q571" s="11">
        <f>ROUND(Clean_Data[[#This Row],[GrossSales]]*Clean_Data[[#This Row],[DiscountPct]],2)</f>
        <v>48.75</v>
      </c>
      <c r="R571" s="11">
        <f>IF(Clean_Data[[#This Row],[Status]]="Delivered",ROUND(Clean_Data[[#This Row],[GrossSales]]-Clean_Data[[#This Row],[DiscountAmount]],2),0)</f>
        <v>276.25</v>
      </c>
      <c r="S571" s="3" t="str">
        <f>IF(Clean_Data[[#This Row],[OrderHour]]&lt;6,"Night",IF(Clean_Data[[#This Row],[OrderHour]]&lt;12,"Morning",IF(Clean_Data[[#This Row],[OrderHour]]&lt;18,"Afternoon","Evening")))</f>
        <v>Afternoon</v>
      </c>
      <c r="T571" s="3" t="str">
        <f>TEXT(Clean_Data[[#This Row],[OrderDate]],"[$-409]ddd")</f>
        <v>Sat</v>
      </c>
      <c r="U571" s="3">
        <f>WEEKDAY(Clean_Data[[#This Row],[OrderDate]],2)</f>
        <v>6</v>
      </c>
      <c r="V571" s="3">
        <f>INT(Clean_Data[[#This Row],[OrderHour]]/6)+1</f>
        <v>3</v>
      </c>
      <c r="W571" s="3">
        <f>IF(Clean_Data[[#This Row],[Status]]="Delivered",1,0)</f>
        <v>1</v>
      </c>
      <c r="X571" s="3">
        <f>IF(Clean_Data[[#This Row],[Status]]="Delivered",IF(Clean_Data[[#This Row],[DeliveryMinutes]]&lt;=Dashboard!$X$5,1,0),0)</f>
        <v>1</v>
      </c>
      <c r="Y5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1" s="3">
        <f>IF(AND(Clean_Data[[#This Row],[Include]]=1,Clean_Data[[#This Row],[DeliveredFlag]]=1),1,0)</f>
        <v>1</v>
      </c>
      <c r="AA571" s="1">
        <f>IF(COUNTIF($D$2:D571,D571)=1,ROW()-1,ROWS(Clean_Data[OrderID])+1)</f>
        <v>901</v>
      </c>
      <c r="AB571" s="1">
        <f>IF(COUNTIF($F$2:F571,F571)=1,ROW()-1,ROWS(Clean_Data[OrderID])+1)</f>
        <v>901</v>
      </c>
      <c r="AC571" s="1">
        <f>IF(COUNTIF($G$2:G571,G571)=1,ROW()-1,ROWS(Clean_Data[OrderID])+1)</f>
        <v>901</v>
      </c>
      <c r="AD571" s="1">
        <f>IF(COUNTIF($H$2:H571,H571)=1,ROW()-1,ROWS(Clean_Data[OrderID])+1)</f>
        <v>901</v>
      </c>
      <c r="AE571" s="1">
        <f>IF(COUNTIF($V$2:V571,V571)=1,V571,ROWS(Clean_Data[OrderID])+1)</f>
        <v>901</v>
      </c>
      <c r="AF571" s="1">
        <f>IF(COUNTIF($U$2:U571,U571)=1,U571,ROWS(Clean_Data[OrderID])+1)</f>
        <v>901</v>
      </c>
      <c r="AG571" s="1">
        <f>IF(COUNTIF($E$2:E571,E571)=1,ROW()-1,ROWS(Clean_Data[OrderID])+1)</f>
        <v>901</v>
      </c>
    </row>
    <row r="572" spans="1:33" ht="20" customHeight="1">
      <c r="A572" s="3" t="s">
        <v>954</v>
      </c>
      <c r="B572" s="2">
        <v>46285</v>
      </c>
      <c r="C572" s="3">
        <v>18</v>
      </c>
      <c r="D572" s="3" t="s">
        <v>295</v>
      </c>
      <c r="E572" s="3" t="s">
        <v>117</v>
      </c>
      <c r="F572" s="3" t="s">
        <v>109</v>
      </c>
      <c r="G572" s="3" t="s">
        <v>174</v>
      </c>
      <c r="H572" s="3" t="s">
        <v>184</v>
      </c>
      <c r="I572" s="3">
        <v>2</v>
      </c>
      <c r="J572" s="11">
        <v>62</v>
      </c>
      <c r="K572" s="4">
        <v>0.1</v>
      </c>
      <c r="L572" s="3" t="s">
        <v>95</v>
      </c>
      <c r="M572" s="3">
        <v>13</v>
      </c>
      <c r="N572" s="3">
        <v>13</v>
      </c>
      <c r="O572" s="3">
        <v>3</v>
      </c>
      <c r="P572" s="11">
        <f>Clean_Data[[#This Row],[Quantity]]*Clean_Data[[#This Row],[UnitPrice]]</f>
        <v>124</v>
      </c>
      <c r="Q572" s="11">
        <f>ROUND(Clean_Data[[#This Row],[GrossSales]]*Clean_Data[[#This Row],[DiscountPct]],2)</f>
        <v>12.4</v>
      </c>
      <c r="R572" s="11">
        <f>IF(Clean_Data[[#This Row],[Status]]="Delivered",ROUND(Clean_Data[[#This Row],[GrossSales]]-Clean_Data[[#This Row],[DiscountAmount]],2),0)</f>
        <v>111.6</v>
      </c>
      <c r="S572" s="3" t="str">
        <f>IF(Clean_Data[[#This Row],[OrderHour]]&lt;6,"Night",IF(Clean_Data[[#This Row],[OrderHour]]&lt;12,"Morning",IF(Clean_Data[[#This Row],[OrderHour]]&lt;18,"Afternoon","Evening")))</f>
        <v>Evening</v>
      </c>
      <c r="T572" s="3" t="str">
        <f>TEXT(Clean_Data[[#This Row],[OrderDate]],"[$-409]ddd")</f>
        <v>Sun</v>
      </c>
      <c r="U572" s="3">
        <f>WEEKDAY(Clean_Data[[#This Row],[OrderDate]],2)</f>
        <v>7</v>
      </c>
      <c r="V572" s="3">
        <f>INT(Clean_Data[[#This Row],[OrderHour]]/6)+1</f>
        <v>4</v>
      </c>
      <c r="W572" s="3">
        <f>IF(Clean_Data[[#This Row],[Status]]="Delivered",1,0)</f>
        <v>1</v>
      </c>
      <c r="X572" s="3">
        <f>IF(Clean_Data[[#This Row],[Status]]="Delivered",IF(Clean_Data[[#This Row],[DeliveryMinutes]]&lt;=Dashboard!$X$5,1,0),0)</f>
        <v>1</v>
      </c>
      <c r="Y5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2" s="3">
        <f>IF(AND(Clean_Data[[#This Row],[Include]]=1,Clean_Data[[#This Row],[DeliveredFlag]]=1),1,0)</f>
        <v>1</v>
      </c>
      <c r="AA572" s="1">
        <f>IF(COUNTIF($D$2:D572,D572)=1,ROW()-1,ROWS(Clean_Data[OrderID])+1)</f>
        <v>901</v>
      </c>
      <c r="AB572" s="1">
        <f>IF(COUNTIF($F$2:F572,F572)=1,ROW()-1,ROWS(Clean_Data[OrderID])+1)</f>
        <v>901</v>
      </c>
      <c r="AC572" s="1">
        <f>IF(COUNTIF($G$2:G572,G572)=1,ROW()-1,ROWS(Clean_Data[OrderID])+1)</f>
        <v>901</v>
      </c>
      <c r="AD572" s="1">
        <f>IF(COUNTIF($H$2:H572,H572)=1,ROW()-1,ROWS(Clean_Data[OrderID])+1)</f>
        <v>901</v>
      </c>
      <c r="AE572" s="1">
        <f>IF(COUNTIF($V$2:V572,V572)=1,V572,ROWS(Clean_Data[OrderID])+1)</f>
        <v>901</v>
      </c>
      <c r="AF572" s="1">
        <f>IF(COUNTIF($U$2:U572,U572)=1,U572,ROWS(Clean_Data[OrderID])+1)</f>
        <v>901</v>
      </c>
      <c r="AG572" s="1">
        <f>IF(COUNTIF($E$2:E572,E572)=1,ROW()-1,ROWS(Clean_Data[OrderID])+1)</f>
        <v>901</v>
      </c>
    </row>
    <row r="573" spans="1:33" ht="20" customHeight="1">
      <c r="A573" s="3" t="s">
        <v>955</v>
      </c>
      <c r="B573" s="2">
        <v>46285</v>
      </c>
      <c r="C573" s="3">
        <v>17</v>
      </c>
      <c r="D573" s="3" t="s">
        <v>236</v>
      </c>
      <c r="E573" s="3" t="s">
        <v>91</v>
      </c>
      <c r="F573" s="3" t="s">
        <v>92</v>
      </c>
      <c r="G573" s="3" t="s">
        <v>93</v>
      </c>
      <c r="H573" s="3" t="s">
        <v>146</v>
      </c>
      <c r="I573" s="3">
        <v>4</v>
      </c>
      <c r="J573" s="11">
        <v>110</v>
      </c>
      <c r="K573" s="4">
        <v>0</v>
      </c>
      <c r="L573" s="3" t="s">
        <v>95</v>
      </c>
      <c r="M573" s="3">
        <v>13</v>
      </c>
      <c r="N573" s="3">
        <v>6</v>
      </c>
      <c r="O573" s="3">
        <v>5</v>
      </c>
      <c r="P573" s="11">
        <f>Clean_Data[[#This Row],[Quantity]]*Clean_Data[[#This Row],[UnitPrice]]</f>
        <v>440</v>
      </c>
      <c r="Q573" s="11">
        <f>ROUND(Clean_Data[[#This Row],[GrossSales]]*Clean_Data[[#This Row],[DiscountPct]],2)</f>
        <v>0</v>
      </c>
      <c r="R573" s="11">
        <f>IF(Clean_Data[[#This Row],[Status]]="Delivered",ROUND(Clean_Data[[#This Row],[GrossSales]]-Clean_Data[[#This Row],[DiscountAmount]],2),0)</f>
        <v>440</v>
      </c>
      <c r="S573" s="3" t="str">
        <f>IF(Clean_Data[[#This Row],[OrderHour]]&lt;6,"Night",IF(Clean_Data[[#This Row],[OrderHour]]&lt;12,"Morning",IF(Clean_Data[[#This Row],[OrderHour]]&lt;18,"Afternoon","Evening")))</f>
        <v>Afternoon</v>
      </c>
      <c r="T573" s="3" t="str">
        <f>TEXT(Clean_Data[[#This Row],[OrderDate]],"[$-409]ddd")</f>
        <v>Sun</v>
      </c>
      <c r="U573" s="3">
        <f>WEEKDAY(Clean_Data[[#This Row],[OrderDate]],2)</f>
        <v>7</v>
      </c>
      <c r="V573" s="3">
        <f>INT(Clean_Data[[#This Row],[OrderHour]]/6)+1</f>
        <v>3</v>
      </c>
      <c r="W573" s="3">
        <f>IF(Clean_Data[[#This Row],[Status]]="Delivered",1,0)</f>
        <v>1</v>
      </c>
      <c r="X573" s="3">
        <f>IF(Clean_Data[[#This Row],[Status]]="Delivered",IF(Clean_Data[[#This Row],[DeliveryMinutes]]&lt;=Dashboard!$X$5,1,0),0)</f>
        <v>1</v>
      </c>
      <c r="Y5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3" s="3">
        <f>IF(AND(Clean_Data[[#This Row],[Include]]=1,Clean_Data[[#This Row],[DeliveredFlag]]=1),1,0)</f>
        <v>1</v>
      </c>
      <c r="AA573" s="1">
        <f>IF(COUNTIF($D$2:D573,D573)=1,ROW()-1,ROWS(Clean_Data[OrderID])+1)</f>
        <v>901</v>
      </c>
      <c r="AB573" s="1">
        <f>IF(COUNTIF($F$2:F573,F573)=1,ROW()-1,ROWS(Clean_Data[OrderID])+1)</f>
        <v>901</v>
      </c>
      <c r="AC573" s="1">
        <f>IF(COUNTIF($G$2:G573,G573)=1,ROW()-1,ROWS(Clean_Data[OrderID])+1)</f>
        <v>901</v>
      </c>
      <c r="AD573" s="1">
        <f>IF(COUNTIF($H$2:H573,H573)=1,ROW()-1,ROWS(Clean_Data[OrderID])+1)</f>
        <v>901</v>
      </c>
      <c r="AE573" s="1">
        <f>IF(COUNTIF($V$2:V573,V573)=1,V573,ROWS(Clean_Data[OrderID])+1)</f>
        <v>901</v>
      </c>
      <c r="AF573" s="1">
        <f>IF(COUNTIF($U$2:U573,U573)=1,U573,ROWS(Clean_Data[OrderID])+1)</f>
        <v>901</v>
      </c>
      <c r="AG573" s="1">
        <f>IF(COUNTIF($E$2:E573,E573)=1,ROW()-1,ROWS(Clean_Data[OrderID])+1)</f>
        <v>901</v>
      </c>
    </row>
    <row r="574" spans="1:33" ht="20" customHeight="1">
      <c r="A574" s="3" t="s">
        <v>956</v>
      </c>
      <c r="B574" s="2">
        <v>46285</v>
      </c>
      <c r="C574" s="3">
        <v>12</v>
      </c>
      <c r="D574" s="3" t="s">
        <v>155</v>
      </c>
      <c r="E574" s="3" t="s">
        <v>91</v>
      </c>
      <c r="F574" s="3" t="s">
        <v>139</v>
      </c>
      <c r="G574" s="3" t="s">
        <v>93</v>
      </c>
      <c r="H574" s="3" t="s">
        <v>146</v>
      </c>
      <c r="I574" s="3">
        <v>3</v>
      </c>
      <c r="J574" s="11">
        <v>110</v>
      </c>
      <c r="K574" s="4">
        <v>0</v>
      </c>
      <c r="L574" s="3" t="s">
        <v>101</v>
      </c>
      <c r="M574" s="3"/>
      <c r="N574" s="3"/>
      <c r="O574" s="3"/>
      <c r="P574" s="11">
        <f>Clean_Data[[#This Row],[Quantity]]*Clean_Data[[#This Row],[UnitPrice]]</f>
        <v>330</v>
      </c>
      <c r="Q574" s="11">
        <f>ROUND(Clean_Data[[#This Row],[GrossSales]]*Clean_Data[[#This Row],[DiscountPct]],2)</f>
        <v>0</v>
      </c>
      <c r="R574" s="11">
        <f>IF(Clean_Data[[#This Row],[Status]]="Delivered",ROUND(Clean_Data[[#This Row],[GrossSales]]-Clean_Data[[#This Row],[DiscountAmount]],2),0)</f>
        <v>0</v>
      </c>
      <c r="S574" s="3" t="str">
        <f>IF(Clean_Data[[#This Row],[OrderHour]]&lt;6,"Night",IF(Clean_Data[[#This Row],[OrderHour]]&lt;12,"Morning",IF(Clean_Data[[#This Row],[OrderHour]]&lt;18,"Afternoon","Evening")))</f>
        <v>Afternoon</v>
      </c>
      <c r="T574" s="3" t="str">
        <f>TEXT(Clean_Data[[#This Row],[OrderDate]],"[$-409]ddd")</f>
        <v>Sun</v>
      </c>
      <c r="U574" s="3">
        <f>WEEKDAY(Clean_Data[[#This Row],[OrderDate]],2)</f>
        <v>7</v>
      </c>
      <c r="V574" s="3">
        <f>INT(Clean_Data[[#This Row],[OrderHour]]/6)+1</f>
        <v>3</v>
      </c>
      <c r="W574" s="3">
        <f>IF(Clean_Data[[#This Row],[Status]]="Delivered",1,0)</f>
        <v>0</v>
      </c>
      <c r="X574" s="3">
        <f>IF(Clean_Data[[#This Row],[Status]]="Delivered",IF(Clean_Data[[#This Row],[DeliveryMinutes]]&lt;=Dashboard!$X$5,1,0),0)</f>
        <v>0</v>
      </c>
      <c r="Y5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4" s="3">
        <f>IF(AND(Clean_Data[[#This Row],[Include]]=1,Clean_Data[[#This Row],[DeliveredFlag]]=1),1,0)</f>
        <v>0</v>
      </c>
      <c r="AA574" s="1">
        <f>IF(COUNTIF($D$2:D574,D574)=1,ROW()-1,ROWS(Clean_Data[OrderID])+1)</f>
        <v>901</v>
      </c>
      <c r="AB574" s="1">
        <f>IF(COUNTIF($F$2:F574,F574)=1,ROW()-1,ROWS(Clean_Data[OrderID])+1)</f>
        <v>901</v>
      </c>
      <c r="AC574" s="1">
        <f>IF(COUNTIF($G$2:G574,G574)=1,ROW()-1,ROWS(Clean_Data[OrderID])+1)</f>
        <v>901</v>
      </c>
      <c r="AD574" s="1">
        <f>IF(COUNTIF($H$2:H574,H574)=1,ROW()-1,ROWS(Clean_Data[OrderID])+1)</f>
        <v>901</v>
      </c>
      <c r="AE574" s="1">
        <f>IF(COUNTIF($V$2:V574,V574)=1,V574,ROWS(Clean_Data[OrderID])+1)</f>
        <v>901</v>
      </c>
      <c r="AF574" s="1">
        <f>IF(COUNTIF($U$2:U574,U574)=1,U574,ROWS(Clean_Data[OrderID])+1)</f>
        <v>901</v>
      </c>
      <c r="AG574" s="1">
        <f>IF(COUNTIF($E$2:E574,E574)=1,ROW()-1,ROWS(Clean_Data[OrderID])+1)</f>
        <v>901</v>
      </c>
    </row>
    <row r="575" spans="1:33" ht="20" customHeight="1">
      <c r="A575" s="3" t="s">
        <v>957</v>
      </c>
      <c r="B575" s="2">
        <v>46285</v>
      </c>
      <c r="C575" s="3">
        <v>12</v>
      </c>
      <c r="D575" s="3" t="s">
        <v>777</v>
      </c>
      <c r="E575" s="3" t="s">
        <v>91</v>
      </c>
      <c r="F575" s="3" t="s">
        <v>92</v>
      </c>
      <c r="G575" s="3" t="s">
        <v>110</v>
      </c>
      <c r="H575" s="3" t="s">
        <v>206</v>
      </c>
      <c r="I575" s="3">
        <v>6</v>
      </c>
      <c r="J575" s="11">
        <v>220</v>
      </c>
      <c r="K575" s="4">
        <v>0.1</v>
      </c>
      <c r="L575" s="3" t="s">
        <v>95</v>
      </c>
      <c r="M575" s="3">
        <v>20</v>
      </c>
      <c r="N575" s="3">
        <v>8</v>
      </c>
      <c r="O575" s="3">
        <v>5</v>
      </c>
      <c r="P575" s="11">
        <f>Clean_Data[[#This Row],[Quantity]]*Clean_Data[[#This Row],[UnitPrice]]</f>
        <v>1320</v>
      </c>
      <c r="Q575" s="11">
        <f>ROUND(Clean_Data[[#This Row],[GrossSales]]*Clean_Data[[#This Row],[DiscountPct]],2)</f>
        <v>132</v>
      </c>
      <c r="R575" s="11">
        <f>IF(Clean_Data[[#This Row],[Status]]="Delivered",ROUND(Clean_Data[[#This Row],[GrossSales]]-Clean_Data[[#This Row],[DiscountAmount]],2),0)</f>
        <v>1188</v>
      </c>
      <c r="S575" s="3" t="str">
        <f>IF(Clean_Data[[#This Row],[OrderHour]]&lt;6,"Night",IF(Clean_Data[[#This Row],[OrderHour]]&lt;12,"Morning",IF(Clean_Data[[#This Row],[OrderHour]]&lt;18,"Afternoon","Evening")))</f>
        <v>Afternoon</v>
      </c>
      <c r="T575" s="3" t="str">
        <f>TEXT(Clean_Data[[#This Row],[OrderDate]],"[$-409]ddd")</f>
        <v>Sun</v>
      </c>
      <c r="U575" s="3">
        <f>WEEKDAY(Clean_Data[[#This Row],[OrderDate]],2)</f>
        <v>7</v>
      </c>
      <c r="V575" s="3">
        <f>INT(Clean_Data[[#This Row],[OrderHour]]/6)+1</f>
        <v>3</v>
      </c>
      <c r="W575" s="3">
        <f>IF(Clean_Data[[#This Row],[Status]]="Delivered",1,0)</f>
        <v>1</v>
      </c>
      <c r="X575" s="3">
        <f>IF(Clean_Data[[#This Row],[Status]]="Delivered",IF(Clean_Data[[#This Row],[DeliveryMinutes]]&lt;=Dashboard!$X$5,1,0),0)</f>
        <v>1</v>
      </c>
      <c r="Y5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5" s="3">
        <f>IF(AND(Clean_Data[[#This Row],[Include]]=1,Clean_Data[[#This Row],[DeliveredFlag]]=1),1,0)</f>
        <v>1</v>
      </c>
      <c r="AA575" s="1">
        <f>IF(COUNTIF($D$2:D575,D575)=1,ROW()-1,ROWS(Clean_Data[OrderID])+1)</f>
        <v>901</v>
      </c>
      <c r="AB575" s="1">
        <f>IF(COUNTIF($F$2:F575,F575)=1,ROW()-1,ROWS(Clean_Data[OrderID])+1)</f>
        <v>901</v>
      </c>
      <c r="AC575" s="1">
        <f>IF(COUNTIF($G$2:G575,G575)=1,ROW()-1,ROWS(Clean_Data[OrderID])+1)</f>
        <v>901</v>
      </c>
      <c r="AD575" s="1">
        <f>IF(COUNTIF($H$2:H575,H575)=1,ROW()-1,ROWS(Clean_Data[OrderID])+1)</f>
        <v>901</v>
      </c>
      <c r="AE575" s="1">
        <f>IF(COUNTIF($V$2:V575,V575)=1,V575,ROWS(Clean_Data[OrderID])+1)</f>
        <v>901</v>
      </c>
      <c r="AF575" s="1">
        <f>IF(COUNTIF($U$2:U575,U575)=1,U575,ROWS(Clean_Data[OrderID])+1)</f>
        <v>901</v>
      </c>
      <c r="AG575" s="1">
        <f>IF(COUNTIF($E$2:E575,E575)=1,ROW()-1,ROWS(Clean_Data[OrderID])+1)</f>
        <v>901</v>
      </c>
    </row>
    <row r="576" spans="1:33" ht="20" customHeight="1">
      <c r="A576" s="3" t="s">
        <v>958</v>
      </c>
      <c r="B576" s="2">
        <v>46285</v>
      </c>
      <c r="C576" s="3">
        <v>18</v>
      </c>
      <c r="D576" s="3" t="s">
        <v>959</v>
      </c>
      <c r="E576" s="3" t="s">
        <v>91</v>
      </c>
      <c r="F576" s="3" t="s">
        <v>98</v>
      </c>
      <c r="G576" s="3" t="s">
        <v>93</v>
      </c>
      <c r="H576" s="3" t="s">
        <v>146</v>
      </c>
      <c r="I576" s="3">
        <v>5</v>
      </c>
      <c r="J576" s="11">
        <v>110</v>
      </c>
      <c r="K576" s="4">
        <v>0</v>
      </c>
      <c r="L576" s="3" t="s">
        <v>95</v>
      </c>
      <c r="M576" s="3">
        <v>22</v>
      </c>
      <c r="N576" s="3">
        <v>10</v>
      </c>
      <c r="O576" s="3">
        <v>5</v>
      </c>
      <c r="P576" s="11">
        <f>Clean_Data[[#This Row],[Quantity]]*Clean_Data[[#This Row],[UnitPrice]]</f>
        <v>550</v>
      </c>
      <c r="Q576" s="11">
        <f>ROUND(Clean_Data[[#This Row],[GrossSales]]*Clean_Data[[#This Row],[DiscountPct]],2)</f>
        <v>0</v>
      </c>
      <c r="R576" s="11">
        <f>IF(Clean_Data[[#This Row],[Status]]="Delivered",ROUND(Clean_Data[[#This Row],[GrossSales]]-Clean_Data[[#This Row],[DiscountAmount]],2),0)</f>
        <v>550</v>
      </c>
      <c r="S576" s="3" t="str">
        <f>IF(Clean_Data[[#This Row],[OrderHour]]&lt;6,"Night",IF(Clean_Data[[#This Row],[OrderHour]]&lt;12,"Morning",IF(Clean_Data[[#This Row],[OrderHour]]&lt;18,"Afternoon","Evening")))</f>
        <v>Evening</v>
      </c>
      <c r="T576" s="3" t="str">
        <f>TEXT(Clean_Data[[#This Row],[OrderDate]],"[$-409]ddd")</f>
        <v>Sun</v>
      </c>
      <c r="U576" s="3">
        <f>WEEKDAY(Clean_Data[[#This Row],[OrderDate]],2)</f>
        <v>7</v>
      </c>
      <c r="V576" s="3">
        <f>INT(Clean_Data[[#This Row],[OrderHour]]/6)+1</f>
        <v>4</v>
      </c>
      <c r="W576" s="3">
        <f>IF(Clean_Data[[#This Row],[Status]]="Delivered",1,0)</f>
        <v>1</v>
      </c>
      <c r="X576" s="3">
        <f>IF(Clean_Data[[#This Row],[Status]]="Delivered",IF(Clean_Data[[#This Row],[DeliveryMinutes]]&lt;=Dashboard!$X$5,1,0),0)</f>
        <v>1</v>
      </c>
      <c r="Y5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6" s="3">
        <f>IF(AND(Clean_Data[[#This Row],[Include]]=1,Clean_Data[[#This Row],[DeliveredFlag]]=1),1,0)</f>
        <v>1</v>
      </c>
      <c r="AA576" s="1">
        <f>IF(COUNTIF($D$2:D576,D576)=1,ROW()-1,ROWS(Clean_Data[OrderID])+1)</f>
        <v>575</v>
      </c>
      <c r="AB576" s="1">
        <f>IF(COUNTIF($F$2:F576,F576)=1,ROW()-1,ROWS(Clean_Data[OrderID])+1)</f>
        <v>901</v>
      </c>
      <c r="AC576" s="1">
        <f>IF(COUNTIF($G$2:G576,G576)=1,ROW()-1,ROWS(Clean_Data[OrderID])+1)</f>
        <v>901</v>
      </c>
      <c r="AD576" s="1">
        <f>IF(COUNTIF($H$2:H576,H576)=1,ROW()-1,ROWS(Clean_Data[OrderID])+1)</f>
        <v>901</v>
      </c>
      <c r="AE576" s="1">
        <f>IF(COUNTIF($V$2:V576,V576)=1,V576,ROWS(Clean_Data[OrderID])+1)</f>
        <v>901</v>
      </c>
      <c r="AF576" s="1">
        <f>IF(COUNTIF($U$2:U576,U576)=1,U576,ROWS(Clean_Data[OrderID])+1)</f>
        <v>901</v>
      </c>
      <c r="AG576" s="1">
        <f>IF(COUNTIF($E$2:E576,E576)=1,ROW()-1,ROWS(Clean_Data[OrderID])+1)</f>
        <v>901</v>
      </c>
    </row>
    <row r="577" spans="1:33" ht="20" customHeight="1">
      <c r="A577" s="3" t="s">
        <v>960</v>
      </c>
      <c r="B577" s="2">
        <v>46285</v>
      </c>
      <c r="C577" s="3">
        <v>19</v>
      </c>
      <c r="D577" s="3" t="s">
        <v>788</v>
      </c>
      <c r="E577" s="3" t="s">
        <v>91</v>
      </c>
      <c r="F577" s="3" t="s">
        <v>98</v>
      </c>
      <c r="G577" s="3" t="s">
        <v>174</v>
      </c>
      <c r="H577" s="3" t="s">
        <v>175</v>
      </c>
      <c r="I577" s="3">
        <v>6</v>
      </c>
      <c r="J577" s="11">
        <v>155</v>
      </c>
      <c r="K577" s="4">
        <v>0</v>
      </c>
      <c r="L577" s="3" t="s">
        <v>95</v>
      </c>
      <c r="M577" s="3">
        <v>16</v>
      </c>
      <c r="N577" s="3">
        <v>10</v>
      </c>
      <c r="O577" s="3">
        <v>3</v>
      </c>
      <c r="P577" s="11">
        <f>Clean_Data[[#This Row],[Quantity]]*Clean_Data[[#This Row],[UnitPrice]]</f>
        <v>930</v>
      </c>
      <c r="Q577" s="11">
        <f>ROUND(Clean_Data[[#This Row],[GrossSales]]*Clean_Data[[#This Row],[DiscountPct]],2)</f>
        <v>0</v>
      </c>
      <c r="R577" s="11">
        <f>IF(Clean_Data[[#This Row],[Status]]="Delivered",ROUND(Clean_Data[[#This Row],[GrossSales]]-Clean_Data[[#This Row],[DiscountAmount]],2),0)</f>
        <v>930</v>
      </c>
      <c r="S577" s="3" t="str">
        <f>IF(Clean_Data[[#This Row],[OrderHour]]&lt;6,"Night",IF(Clean_Data[[#This Row],[OrderHour]]&lt;12,"Morning",IF(Clean_Data[[#This Row],[OrderHour]]&lt;18,"Afternoon","Evening")))</f>
        <v>Evening</v>
      </c>
      <c r="T577" s="3" t="str">
        <f>TEXT(Clean_Data[[#This Row],[OrderDate]],"[$-409]ddd")</f>
        <v>Sun</v>
      </c>
      <c r="U577" s="3">
        <f>WEEKDAY(Clean_Data[[#This Row],[OrderDate]],2)</f>
        <v>7</v>
      </c>
      <c r="V577" s="3">
        <f>INT(Clean_Data[[#This Row],[OrderHour]]/6)+1</f>
        <v>4</v>
      </c>
      <c r="W577" s="3">
        <f>IF(Clean_Data[[#This Row],[Status]]="Delivered",1,0)</f>
        <v>1</v>
      </c>
      <c r="X577" s="3">
        <f>IF(Clean_Data[[#This Row],[Status]]="Delivered",IF(Clean_Data[[#This Row],[DeliveryMinutes]]&lt;=Dashboard!$X$5,1,0),0)</f>
        <v>1</v>
      </c>
      <c r="Y5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7" s="3">
        <f>IF(AND(Clean_Data[[#This Row],[Include]]=1,Clean_Data[[#This Row],[DeliveredFlag]]=1),1,0)</f>
        <v>1</v>
      </c>
      <c r="AA577" s="1">
        <f>IF(COUNTIF($D$2:D577,D577)=1,ROW()-1,ROWS(Clean_Data[OrderID])+1)</f>
        <v>901</v>
      </c>
      <c r="AB577" s="1">
        <f>IF(COUNTIF($F$2:F577,F577)=1,ROW()-1,ROWS(Clean_Data[OrderID])+1)</f>
        <v>901</v>
      </c>
      <c r="AC577" s="1">
        <f>IF(COUNTIF($G$2:G577,G577)=1,ROW()-1,ROWS(Clean_Data[OrderID])+1)</f>
        <v>901</v>
      </c>
      <c r="AD577" s="1">
        <f>IF(COUNTIF($H$2:H577,H577)=1,ROW()-1,ROWS(Clean_Data[OrderID])+1)</f>
        <v>901</v>
      </c>
      <c r="AE577" s="1">
        <f>IF(COUNTIF($V$2:V577,V577)=1,V577,ROWS(Clean_Data[OrderID])+1)</f>
        <v>901</v>
      </c>
      <c r="AF577" s="1">
        <f>IF(COUNTIF($U$2:U577,U577)=1,U577,ROWS(Clean_Data[OrderID])+1)</f>
        <v>901</v>
      </c>
      <c r="AG577" s="1">
        <f>IF(COUNTIF($E$2:E577,E577)=1,ROW()-1,ROWS(Clean_Data[OrderID])+1)</f>
        <v>901</v>
      </c>
    </row>
    <row r="578" spans="1:33" ht="20" customHeight="1">
      <c r="A578" s="3" t="s">
        <v>961</v>
      </c>
      <c r="B578" s="2">
        <v>46285</v>
      </c>
      <c r="C578" s="3">
        <v>16</v>
      </c>
      <c r="D578" s="3" t="s">
        <v>106</v>
      </c>
      <c r="E578" s="3" t="s">
        <v>91</v>
      </c>
      <c r="F578" s="3" t="s">
        <v>109</v>
      </c>
      <c r="G578" s="3" t="s">
        <v>122</v>
      </c>
      <c r="H578" s="3" t="s">
        <v>214</v>
      </c>
      <c r="I578" s="3">
        <v>1</v>
      </c>
      <c r="J578" s="11">
        <v>55</v>
      </c>
      <c r="K578" s="4">
        <v>0</v>
      </c>
      <c r="L578" s="3" t="s">
        <v>95</v>
      </c>
      <c r="M578" s="3">
        <v>25</v>
      </c>
      <c r="N578" s="3">
        <v>11</v>
      </c>
      <c r="O578" s="3">
        <v>4</v>
      </c>
      <c r="P578" s="11">
        <f>Clean_Data[[#This Row],[Quantity]]*Clean_Data[[#This Row],[UnitPrice]]</f>
        <v>55</v>
      </c>
      <c r="Q578" s="11">
        <f>ROUND(Clean_Data[[#This Row],[GrossSales]]*Clean_Data[[#This Row],[DiscountPct]],2)</f>
        <v>0</v>
      </c>
      <c r="R578" s="11">
        <f>IF(Clean_Data[[#This Row],[Status]]="Delivered",ROUND(Clean_Data[[#This Row],[GrossSales]]-Clean_Data[[#This Row],[DiscountAmount]],2),0)</f>
        <v>55</v>
      </c>
      <c r="S578" s="3" t="str">
        <f>IF(Clean_Data[[#This Row],[OrderHour]]&lt;6,"Night",IF(Clean_Data[[#This Row],[OrderHour]]&lt;12,"Morning",IF(Clean_Data[[#This Row],[OrderHour]]&lt;18,"Afternoon","Evening")))</f>
        <v>Afternoon</v>
      </c>
      <c r="T578" s="3" t="str">
        <f>TEXT(Clean_Data[[#This Row],[OrderDate]],"[$-409]ddd")</f>
        <v>Sun</v>
      </c>
      <c r="U578" s="3">
        <f>WEEKDAY(Clean_Data[[#This Row],[OrderDate]],2)</f>
        <v>7</v>
      </c>
      <c r="V578" s="3">
        <f>INT(Clean_Data[[#This Row],[OrderHour]]/6)+1</f>
        <v>3</v>
      </c>
      <c r="W578" s="3">
        <f>IF(Clean_Data[[#This Row],[Status]]="Delivered",1,0)</f>
        <v>1</v>
      </c>
      <c r="X578" s="3">
        <f>IF(Clean_Data[[#This Row],[Status]]="Delivered",IF(Clean_Data[[#This Row],[DeliveryMinutes]]&lt;=Dashboard!$X$5,1,0),0)</f>
        <v>1</v>
      </c>
      <c r="Y5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8" s="3">
        <f>IF(AND(Clean_Data[[#This Row],[Include]]=1,Clean_Data[[#This Row],[DeliveredFlag]]=1),1,0)</f>
        <v>1</v>
      </c>
      <c r="AA578" s="1">
        <f>IF(COUNTIF($D$2:D578,D578)=1,ROW()-1,ROWS(Clean_Data[OrderID])+1)</f>
        <v>901</v>
      </c>
      <c r="AB578" s="1">
        <f>IF(COUNTIF($F$2:F578,F578)=1,ROW()-1,ROWS(Clean_Data[OrderID])+1)</f>
        <v>901</v>
      </c>
      <c r="AC578" s="1">
        <f>IF(COUNTIF($G$2:G578,G578)=1,ROW()-1,ROWS(Clean_Data[OrderID])+1)</f>
        <v>901</v>
      </c>
      <c r="AD578" s="1">
        <f>IF(COUNTIF($H$2:H578,H578)=1,ROW()-1,ROWS(Clean_Data[OrderID])+1)</f>
        <v>901</v>
      </c>
      <c r="AE578" s="1">
        <f>IF(COUNTIF($V$2:V578,V578)=1,V578,ROWS(Clean_Data[OrderID])+1)</f>
        <v>901</v>
      </c>
      <c r="AF578" s="1">
        <f>IF(COUNTIF($U$2:U578,U578)=1,U578,ROWS(Clean_Data[OrderID])+1)</f>
        <v>901</v>
      </c>
      <c r="AG578" s="1">
        <f>IF(COUNTIF($E$2:E578,E578)=1,ROW()-1,ROWS(Clean_Data[OrderID])+1)</f>
        <v>901</v>
      </c>
    </row>
    <row r="579" spans="1:33" ht="20" customHeight="1">
      <c r="A579" s="3" t="s">
        <v>962</v>
      </c>
      <c r="B579" s="2">
        <v>46285</v>
      </c>
      <c r="C579" s="3">
        <v>22</v>
      </c>
      <c r="D579" s="3" t="s">
        <v>963</v>
      </c>
      <c r="E579" s="3" t="s">
        <v>91</v>
      </c>
      <c r="F579" s="3" t="s">
        <v>109</v>
      </c>
      <c r="G579" s="3" t="s">
        <v>99</v>
      </c>
      <c r="H579" s="3" t="s">
        <v>130</v>
      </c>
      <c r="I579" s="3">
        <v>4</v>
      </c>
      <c r="J579" s="11">
        <v>85</v>
      </c>
      <c r="K579" s="4">
        <v>0.15</v>
      </c>
      <c r="L579" s="3" t="s">
        <v>95</v>
      </c>
      <c r="M579" s="3">
        <v>21</v>
      </c>
      <c r="N579" s="3">
        <v>9</v>
      </c>
      <c r="O579" s="3">
        <v>5</v>
      </c>
      <c r="P579" s="11">
        <f>Clean_Data[[#This Row],[Quantity]]*Clean_Data[[#This Row],[UnitPrice]]</f>
        <v>340</v>
      </c>
      <c r="Q579" s="11">
        <f>ROUND(Clean_Data[[#This Row],[GrossSales]]*Clean_Data[[#This Row],[DiscountPct]],2)</f>
        <v>51</v>
      </c>
      <c r="R579" s="11">
        <f>IF(Clean_Data[[#This Row],[Status]]="Delivered",ROUND(Clean_Data[[#This Row],[GrossSales]]-Clean_Data[[#This Row],[DiscountAmount]],2),0)</f>
        <v>289</v>
      </c>
      <c r="S579" s="3" t="str">
        <f>IF(Clean_Data[[#This Row],[OrderHour]]&lt;6,"Night",IF(Clean_Data[[#This Row],[OrderHour]]&lt;12,"Morning",IF(Clean_Data[[#This Row],[OrderHour]]&lt;18,"Afternoon","Evening")))</f>
        <v>Evening</v>
      </c>
      <c r="T579" s="3" t="str">
        <f>TEXT(Clean_Data[[#This Row],[OrderDate]],"[$-409]ddd")</f>
        <v>Sun</v>
      </c>
      <c r="U579" s="3">
        <f>WEEKDAY(Clean_Data[[#This Row],[OrderDate]],2)</f>
        <v>7</v>
      </c>
      <c r="V579" s="3">
        <f>INT(Clean_Data[[#This Row],[OrderHour]]/6)+1</f>
        <v>4</v>
      </c>
      <c r="W579" s="3">
        <f>IF(Clean_Data[[#This Row],[Status]]="Delivered",1,0)</f>
        <v>1</v>
      </c>
      <c r="X579" s="3">
        <f>IF(Clean_Data[[#This Row],[Status]]="Delivered",IF(Clean_Data[[#This Row],[DeliveryMinutes]]&lt;=Dashboard!$X$5,1,0),0)</f>
        <v>1</v>
      </c>
      <c r="Y5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79" s="3">
        <f>IF(AND(Clean_Data[[#This Row],[Include]]=1,Clean_Data[[#This Row],[DeliveredFlag]]=1),1,0)</f>
        <v>1</v>
      </c>
      <c r="AA579" s="1">
        <f>IF(COUNTIF($D$2:D579,D579)=1,ROW()-1,ROWS(Clean_Data[OrderID])+1)</f>
        <v>578</v>
      </c>
      <c r="AB579" s="1">
        <f>IF(COUNTIF($F$2:F579,F579)=1,ROW()-1,ROWS(Clean_Data[OrderID])+1)</f>
        <v>901</v>
      </c>
      <c r="AC579" s="1">
        <f>IF(COUNTIF($G$2:G579,G579)=1,ROW()-1,ROWS(Clean_Data[OrderID])+1)</f>
        <v>901</v>
      </c>
      <c r="AD579" s="1">
        <f>IF(COUNTIF($H$2:H579,H579)=1,ROW()-1,ROWS(Clean_Data[OrderID])+1)</f>
        <v>901</v>
      </c>
      <c r="AE579" s="1">
        <f>IF(COUNTIF($V$2:V579,V579)=1,V579,ROWS(Clean_Data[OrderID])+1)</f>
        <v>901</v>
      </c>
      <c r="AF579" s="1">
        <f>IF(COUNTIF($U$2:U579,U579)=1,U579,ROWS(Clean_Data[OrderID])+1)</f>
        <v>901</v>
      </c>
      <c r="AG579" s="1">
        <f>IF(COUNTIF($E$2:E579,E579)=1,ROW()-1,ROWS(Clean_Data[OrderID])+1)</f>
        <v>901</v>
      </c>
    </row>
    <row r="580" spans="1:33" ht="20" customHeight="1">
      <c r="A580" s="3" t="s">
        <v>964</v>
      </c>
      <c r="B580" s="2">
        <v>46285</v>
      </c>
      <c r="C580" s="3">
        <v>9</v>
      </c>
      <c r="D580" s="3" t="s">
        <v>610</v>
      </c>
      <c r="E580" s="3" t="s">
        <v>91</v>
      </c>
      <c r="F580" s="3" t="s">
        <v>109</v>
      </c>
      <c r="G580" s="3" t="s">
        <v>110</v>
      </c>
      <c r="H580" s="3" t="s">
        <v>114</v>
      </c>
      <c r="I580" s="3">
        <v>2</v>
      </c>
      <c r="J580" s="11">
        <v>145</v>
      </c>
      <c r="K580" s="4">
        <v>0.15</v>
      </c>
      <c r="L580" s="3" t="s">
        <v>95</v>
      </c>
      <c r="M580" s="3">
        <v>32</v>
      </c>
      <c r="N580" s="3">
        <v>7</v>
      </c>
      <c r="O580" s="3">
        <v>5</v>
      </c>
      <c r="P580" s="11">
        <f>Clean_Data[[#This Row],[Quantity]]*Clean_Data[[#This Row],[UnitPrice]]</f>
        <v>290</v>
      </c>
      <c r="Q580" s="11">
        <f>ROUND(Clean_Data[[#This Row],[GrossSales]]*Clean_Data[[#This Row],[DiscountPct]],2)</f>
        <v>43.5</v>
      </c>
      <c r="R580" s="11">
        <f>IF(Clean_Data[[#This Row],[Status]]="Delivered",ROUND(Clean_Data[[#This Row],[GrossSales]]-Clean_Data[[#This Row],[DiscountAmount]],2),0)</f>
        <v>246.5</v>
      </c>
      <c r="S580" s="3" t="str">
        <f>IF(Clean_Data[[#This Row],[OrderHour]]&lt;6,"Night",IF(Clean_Data[[#This Row],[OrderHour]]&lt;12,"Morning",IF(Clean_Data[[#This Row],[OrderHour]]&lt;18,"Afternoon","Evening")))</f>
        <v>Morning</v>
      </c>
      <c r="T580" s="3" t="str">
        <f>TEXT(Clean_Data[[#This Row],[OrderDate]],"[$-409]ddd")</f>
        <v>Sun</v>
      </c>
      <c r="U580" s="3">
        <f>WEEKDAY(Clean_Data[[#This Row],[OrderDate]],2)</f>
        <v>7</v>
      </c>
      <c r="V580" s="3">
        <f>INT(Clean_Data[[#This Row],[OrderHour]]/6)+1</f>
        <v>2</v>
      </c>
      <c r="W580" s="3">
        <f>IF(Clean_Data[[#This Row],[Status]]="Delivered",1,0)</f>
        <v>1</v>
      </c>
      <c r="X580" s="3">
        <f>IF(Clean_Data[[#This Row],[Status]]="Delivered",IF(Clean_Data[[#This Row],[DeliveryMinutes]]&lt;=Dashboard!$X$5,1,0),0)</f>
        <v>0</v>
      </c>
      <c r="Y5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0" s="3">
        <f>IF(AND(Clean_Data[[#This Row],[Include]]=1,Clean_Data[[#This Row],[DeliveredFlag]]=1),1,0)</f>
        <v>1</v>
      </c>
      <c r="AA580" s="1">
        <f>IF(COUNTIF($D$2:D580,D580)=1,ROW()-1,ROWS(Clean_Data[OrderID])+1)</f>
        <v>901</v>
      </c>
      <c r="AB580" s="1">
        <f>IF(COUNTIF($F$2:F580,F580)=1,ROW()-1,ROWS(Clean_Data[OrderID])+1)</f>
        <v>901</v>
      </c>
      <c r="AC580" s="1">
        <f>IF(COUNTIF($G$2:G580,G580)=1,ROW()-1,ROWS(Clean_Data[OrderID])+1)</f>
        <v>901</v>
      </c>
      <c r="AD580" s="1">
        <f>IF(COUNTIF($H$2:H580,H580)=1,ROW()-1,ROWS(Clean_Data[OrderID])+1)</f>
        <v>901</v>
      </c>
      <c r="AE580" s="1">
        <f>IF(COUNTIF($V$2:V580,V580)=1,V580,ROWS(Clean_Data[OrderID])+1)</f>
        <v>901</v>
      </c>
      <c r="AF580" s="1">
        <f>IF(COUNTIF($U$2:U580,U580)=1,U580,ROWS(Clean_Data[OrderID])+1)</f>
        <v>901</v>
      </c>
      <c r="AG580" s="1">
        <f>IF(COUNTIF($E$2:E580,E580)=1,ROW()-1,ROWS(Clean_Data[OrderID])+1)</f>
        <v>901</v>
      </c>
    </row>
    <row r="581" spans="1:33" ht="20" customHeight="1">
      <c r="A581" s="3" t="s">
        <v>965</v>
      </c>
      <c r="B581" s="2">
        <v>46285</v>
      </c>
      <c r="C581" s="3">
        <v>22</v>
      </c>
      <c r="D581" s="3" t="s">
        <v>881</v>
      </c>
      <c r="E581" s="3" t="s">
        <v>91</v>
      </c>
      <c r="F581" s="3" t="s">
        <v>92</v>
      </c>
      <c r="G581" s="3" t="s">
        <v>93</v>
      </c>
      <c r="H581" s="3" t="s">
        <v>94</v>
      </c>
      <c r="I581" s="3">
        <v>2</v>
      </c>
      <c r="J581" s="11">
        <v>95</v>
      </c>
      <c r="K581" s="4">
        <v>0</v>
      </c>
      <c r="L581" s="3" t="s">
        <v>95</v>
      </c>
      <c r="M581" s="3">
        <v>12</v>
      </c>
      <c r="N581" s="3">
        <v>7</v>
      </c>
      <c r="O581" s="3">
        <v>3</v>
      </c>
      <c r="P581" s="11">
        <f>Clean_Data[[#This Row],[Quantity]]*Clean_Data[[#This Row],[UnitPrice]]</f>
        <v>190</v>
      </c>
      <c r="Q581" s="11">
        <f>ROUND(Clean_Data[[#This Row],[GrossSales]]*Clean_Data[[#This Row],[DiscountPct]],2)</f>
        <v>0</v>
      </c>
      <c r="R581" s="11">
        <f>IF(Clean_Data[[#This Row],[Status]]="Delivered",ROUND(Clean_Data[[#This Row],[GrossSales]]-Clean_Data[[#This Row],[DiscountAmount]],2),0)</f>
        <v>190</v>
      </c>
      <c r="S581" s="3" t="str">
        <f>IF(Clean_Data[[#This Row],[OrderHour]]&lt;6,"Night",IF(Clean_Data[[#This Row],[OrderHour]]&lt;12,"Morning",IF(Clean_Data[[#This Row],[OrderHour]]&lt;18,"Afternoon","Evening")))</f>
        <v>Evening</v>
      </c>
      <c r="T581" s="3" t="str">
        <f>TEXT(Clean_Data[[#This Row],[OrderDate]],"[$-409]ddd")</f>
        <v>Sun</v>
      </c>
      <c r="U581" s="3">
        <f>WEEKDAY(Clean_Data[[#This Row],[OrderDate]],2)</f>
        <v>7</v>
      </c>
      <c r="V581" s="3">
        <f>INT(Clean_Data[[#This Row],[OrderHour]]/6)+1</f>
        <v>4</v>
      </c>
      <c r="W581" s="3">
        <f>IF(Clean_Data[[#This Row],[Status]]="Delivered",1,0)</f>
        <v>1</v>
      </c>
      <c r="X581" s="3">
        <f>IF(Clean_Data[[#This Row],[Status]]="Delivered",IF(Clean_Data[[#This Row],[DeliveryMinutes]]&lt;=Dashboard!$X$5,1,0),0)</f>
        <v>1</v>
      </c>
      <c r="Y5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1" s="3">
        <f>IF(AND(Clean_Data[[#This Row],[Include]]=1,Clean_Data[[#This Row],[DeliveredFlag]]=1),1,0)</f>
        <v>1</v>
      </c>
      <c r="AA581" s="1">
        <f>IF(COUNTIF($D$2:D581,D581)=1,ROW()-1,ROWS(Clean_Data[OrderID])+1)</f>
        <v>901</v>
      </c>
      <c r="AB581" s="1">
        <f>IF(COUNTIF($F$2:F581,F581)=1,ROW()-1,ROWS(Clean_Data[OrderID])+1)</f>
        <v>901</v>
      </c>
      <c r="AC581" s="1">
        <f>IF(COUNTIF($G$2:G581,G581)=1,ROW()-1,ROWS(Clean_Data[OrderID])+1)</f>
        <v>901</v>
      </c>
      <c r="AD581" s="1">
        <f>IF(COUNTIF($H$2:H581,H581)=1,ROW()-1,ROWS(Clean_Data[OrderID])+1)</f>
        <v>901</v>
      </c>
      <c r="AE581" s="1">
        <f>IF(COUNTIF($V$2:V581,V581)=1,V581,ROWS(Clean_Data[OrderID])+1)</f>
        <v>901</v>
      </c>
      <c r="AF581" s="1">
        <f>IF(COUNTIF($U$2:U581,U581)=1,U581,ROWS(Clean_Data[OrderID])+1)</f>
        <v>901</v>
      </c>
      <c r="AG581" s="1">
        <f>IF(COUNTIF($E$2:E581,E581)=1,ROW()-1,ROWS(Clean_Data[OrderID])+1)</f>
        <v>901</v>
      </c>
    </row>
    <row r="582" spans="1:33" ht="20" customHeight="1">
      <c r="A582" s="3" t="s">
        <v>966</v>
      </c>
      <c r="B582" s="2">
        <v>46285</v>
      </c>
      <c r="C582" s="3">
        <v>12</v>
      </c>
      <c r="D582" s="3" t="s">
        <v>257</v>
      </c>
      <c r="E582" s="3" t="s">
        <v>91</v>
      </c>
      <c r="F582" s="3" t="s">
        <v>109</v>
      </c>
      <c r="G582" s="3" t="s">
        <v>93</v>
      </c>
      <c r="H582" s="3" t="s">
        <v>118</v>
      </c>
      <c r="I582" s="3">
        <v>3</v>
      </c>
      <c r="J582" s="11">
        <v>45</v>
      </c>
      <c r="K582" s="4">
        <v>0</v>
      </c>
      <c r="L582" s="3" t="s">
        <v>95</v>
      </c>
      <c r="M582" s="3">
        <v>19</v>
      </c>
      <c r="N582" s="3">
        <v>10</v>
      </c>
      <c r="O582" s="3">
        <v>5</v>
      </c>
      <c r="P582" s="11">
        <f>Clean_Data[[#This Row],[Quantity]]*Clean_Data[[#This Row],[UnitPrice]]</f>
        <v>135</v>
      </c>
      <c r="Q582" s="11">
        <f>ROUND(Clean_Data[[#This Row],[GrossSales]]*Clean_Data[[#This Row],[DiscountPct]],2)</f>
        <v>0</v>
      </c>
      <c r="R582" s="11">
        <f>IF(Clean_Data[[#This Row],[Status]]="Delivered",ROUND(Clean_Data[[#This Row],[GrossSales]]-Clean_Data[[#This Row],[DiscountAmount]],2),0)</f>
        <v>135</v>
      </c>
      <c r="S582" s="3" t="str">
        <f>IF(Clean_Data[[#This Row],[OrderHour]]&lt;6,"Night",IF(Clean_Data[[#This Row],[OrderHour]]&lt;12,"Morning",IF(Clean_Data[[#This Row],[OrderHour]]&lt;18,"Afternoon","Evening")))</f>
        <v>Afternoon</v>
      </c>
      <c r="T582" s="3" t="str">
        <f>TEXT(Clean_Data[[#This Row],[OrderDate]],"[$-409]ddd")</f>
        <v>Sun</v>
      </c>
      <c r="U582" s="3">
        <f>WEEKDAY(Clean_Data[[#This Row],[OrderDate]],2)</f>
        <v>7</v>
      </c>
      <c r="V582" s="3">
        <f>INT(Clean_Data[[#This Row],[OrderHour]]/6)+1</f>
        <v>3</v>
      </c>
      <c r="W582" s="3">
        <f>IF(Clean_Data[[#This Row],[Status]]="Delivered",1,0)</f>
        <v>1</v>
      </c>
      <c r="X582" s="3">
        <f>IF(Clean_Data[[#This Row],[Status]]="Delivered",IF(Clean_Data[[#This Row],[DeliveryMinutes]]&lt;=Dashboard!$X$5,1,0),0)</f>
        <v>1</v>
      </c>
      <c r="Y5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2" s="3">
        <f>IF(AND(Clean_Data[[#This Row],[Include]]=1,Clean_Data[[#This Row],[DeliveredFlag]]=1),1,0)</f>
        <v>1</v>
      </c>
      <c r="AA582" s="1">
        <f>IF(COUNTIF($D$2:D582,D582)=1,ROW()-1,ROWS(Clean_Data[OrderID])+1)</f>
        <v>901</v>
      </c>
      <c r="AB582" s="1">
        <f>IF(COUNTIF($F$2:F582,F582)=1,ROW()-1,ROWS(Clean_Data[OrderID])+1)</f>
        <v>901</v>
      </c>
      <c r="AC582" s="1">
        <f>IF(COUNTIF($G$2:G582,G582)=1,ROW()-1,ROWS(Clean_Data[OrderID])+1)</f>
        <v>901</v>
      </c>
      <c r="AD582" s="1">
        <f>IF(COUNTIF($H$2:H582,H582)=1,ROW()-1,ROWS(Clean_Data[OrderID])+1)</f>
        <v>901</v>
      </c>
      <c r="AE582" s="1">
        <f>IF(COUNTIF($V$2:V582,V582)=1,V582,ROWS(Clean_Data[OrderID])+1)</f>
        <v>901</v>
      </c>
      <c r="AF582" s="1">
        <f>IF(COUNTIF($U$2:U582,U582)=1,U582,ROWS(Clean_Data[OrderID])+1)</f>
        <v>901</v>
      </c>
      <c r="AG582" s="1">
        <f>IF(COUNTIF($E$2:E582,E582)=1,ROW()-1,ROWS(Clean_Data[OrderID])+1)</f>
        <v>901</v>
      </c>
    </row>
    <row r="583" spans="1:33" ht="20" customHeight="1">
      <c r="A583" s="3" t="s">
        <v>967</v>
      </c>
      <c r="B583" s="2">
        <v>46285</v>
      </c>
      <c r="C583" s="3">
        <v>12</v>
      </c>
      <c r="D583" s="3" t="s">
        <v>944</v>
      </c>
      <c r="E583" s="3" t="s">
        <v>91</v>
      </c>
      <c r="F583" s="3" t="s">
        <v>109</v>
      </c>
      <c r="G583" s="3" t="s">
        <v>135</v>
      </c>
      <c r="H583" s="3" t="s">
        <v>136</v>
      </c>
      <c r="I583" s="3">
        <v>1</v>
      </c>
      <c r="J583" s="11">
        <v>40</v>
      </c>
      <c r="K583" s="4">
        <v>0</v>
      </c>
      <c r="L583" s="3" t="s">
        <v>95</v>
      </c>
      <c r="M583" s="3">
        <v>15</v>
      </c>
      <c r="N583" s="3">
        <v>11</v>
      </c>
      <c r="O583" s="3">
        <v>4</v>
      </c>
      <c r="P583" s="11">
        <f>Clean_Data[[#This Row],[Quantity]]*Clean_Data[[#This Row],[UnitPrice]]</f>
        <v>40</v>
      </c>
      <c r="Q583" s="11">
        <f>ROUND(Clean_Data[[#This Row],[GrossSales]]*Clean_Data[[#This Row],[DiscountPct]],2)</f>
        <v>0</v>
      </c>
      <c r="R583" s="11">
        <f>IF(Clean_Data[[#This Row],[Status]]="Delivered",ROUND(Clean_Data[[#This Row],[GrossSales]]-Clean_Data[[#This Row],[DiscountAmount]],2),0)</f>
        <v>40</v>
      </c>
      <c r="S583" s="3" t="str">
        <f>IF(Clean_Data[[#This Row],[OrderHour]]&lt;6,"Night",IF(Clean_Data[[#This Row],[OrderHour]]&lt;12,"Morning",IF(Clean_Data[[#This Row],[OrderHour]]&lt;18,"Afternoon","Evening")))</f>
        <v>Afternoon</v>
      </c>
      <c r="T583" s="3" t="str">
        <f>TEXT(Clean_Data[[#This Row],[OrderDate]],"[$-409]ddd")</f>
        <v>Sun</v>
      </c>
      <c r="U583" s="3">
        <f>WEEKDAY(Clean_Data[[#This Row],[OrderDate]],2)</f>
        <v>7</v>
      </c>
      <c r="V583" s="3">
        <f>INT(Clean_Data[[#This Row],[OrderHour]]/6)+1</f>
        <v>3</v>
      </c>
      <c r="W583" s="3">
        <f>IF(Clean_Data[[#This Row],[Status]]="Delivered",1,0)</f>
        <v>1</v>
      </c>
      <c r="X583" s="3">
        <f>IF(Clean_Data[[#This Row],[Status]]="Delivered",IF(Clean_Data[[#This Row],[DeliveryMinutes]]&lt;=Dashboard!$X$5,1,0),0)</f>
        <v>1</v>
      </c>
      <c r="Y5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3" s="3">
        <f>IF(AND(Clean_Data[[#This Row],[Include]]=1,Clean_Data[[#This Row],[DeliveredFlag]]=1),1,0)</f>
        <v>1</v>
      </c>
      <c r="AA583" s="1">
        <f>IF(COUNTIF($D$2:D583,D583)=1,ROW()-1,ROWS(Clean_Data[OrderID])+1)</f>
        <v>901</v>
      </c>
      <c r="AB583" s="1">
        <f>IF(COUNTIF($F$2:F583,F583)=1,ROW()-1,ROWS(Clean_Data[OrderID])+1)</f>
        <v>901</v>
      </c>
      <c r="AC583" s="1">
        <f>IF(COUNTIF($G$2:G583,G583)=1,ROW()-1,ROWS(Clean_Data[OrderID])+1)</f>
        <v>901</v>
      </c>
      <c r="AD583" s="1">
        <f>IF(COUNTIF($H$2:H583,H583)=1,ROW()-1,ROWS(Clean_Data[OrderID])+1)</f>
        <v>901</v>
      </c>
      <c r="AE583" s="1">
        <f>IF(COUNTIF($V$2:V583,V583)=1,V583,ROWS(Clean_Data[OrderID])+1)</f>
        <v>901</v>
      </c>
      <c r="AF583" s="1">
        <f>IF(COUNTIF($U$2:U583,U583)=1,U583,ROWS(Clean_Data[OrderID])+1)</f>
        <v>901</v>
      </c>
      <c r="AG583" s="1">
        <f>IF(COUNTIF($E$2:E583,E583)=1,ROW()-1,ROWS(Clean_Data[OrderID])+1)</f>
        <v>901</v>
      </c>
    </row>
    <row r="584" spans="1:33" ht="20" customHeight="1">
      <c r="A584" s="3" t="s">
        <v>968</v>
      </c>
      <c r="B584" s="2">
        <v>46285</v>
      </c>
      <c r="C584" s="3">
        <v>14</v>
      </c>
      <c r="D584" s="3" t="s">
        <v>353</v>
      </c>
      <c r="E584" s="3" t="s">
        <v>91</v>
      </c>
      <c r="F584" s="3" t="s">
        <v>98</v>
      </c>
      <c r="G584" s="3" t="s">
        <v>110</v>
      </c>
      <c r="H584" s="3" t="s">
        <v>111</v>
      </c>
      <c r="I584" s="3">
        <v>3</v>
      </c>
      <c r="J584" s="11">
        <v>115</v>
      </c>
      <c r="K584" s="4">
        <v>0</v>
      </c>
      <c r="L584" s="3" t="s">
        <v>95</v>
      </c>
      <c r="M584" s="3">
        <v>18</v>
      </c>
      <c r="N584" s="3">
        <v>13</v>
      </c>
      <c r="O584" s="3">
        <v>4</v>
      </c>
      <c r="P584" s="11">
        <f>Clean_Data[[#This Row],[Quantity]]*Clean_Data[[#This Row],[UnitPrice]]</f>
        <v>345</v>
      </c>
      <c r="Q584" s="11">
        <f>ROUND(Clean_Data[[#This Row],[GrossSales]]*Clean_Data[[#This Row],[DiscountPct]],2)</f>
        <v>0</v>
      </c>
      <c r="R584" s="11">
        <f>IF(Clean_Data[[#This Row],[Status]]="Delivered",ROUND(Clean_Data[[#This Row],[GrossSales]]-Clean_Data[[#This Row],[DiscountAmount]],2),0)</f>
        <v>345</v>
      </c>
      <c r="S584" s="3" t="str">
        <f>IF(Clean_Data[[#This Row],[OrderHour]]&lt;6,"Night",IF(Clean_Data[[#This Row],[OrderHour]]&lt;12,"Morning",IF(Clean_Data[[#This Row],[OrderHour]]&lt;18,"Afternoon","Evening")))</f>
        <v>Afternoon</v>
      </c>
      <c r="T584" s="3" t="str">
        <f>TEXT(Clean_Data[[#This Row],[OrderDate]],"[$-409]ddd")</f>
        <v>Sun</v>
      </c>
      <c r="U584" s="3">
        <f>WEEKDAY(Clean_Data[[#This Row],[OrderDate]],2)</f>
        <v>7</v>
      </c>
      <c r="V584" s="3">
        <f>INT(Clean_Data[[#This Row],[OrderHour]]/6)+1</f>
        <v>3</v>
      </c>
      <c r="W584" s="3">
        <f>IF(Clean_Data[[#This Row],[Status]]="Delivered",1,0)</f>
        <v>1</v>
      </c>
      <c r="X584" s="3">
        <f>IF(Clean_Data[[#This Row],[Status]]="Delivered",IF(Clean_Data[[#This Row],[DeliveryMinutes]]&lt;=Dashboard!$X$5,1,0),0)</f>
        <v>1</v>
      </c>
      <c r="Y5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4" s="3">
        <f>IF(AND(Clean_Data[[#This Row],[Include]]=1,Clean_Data[[#This Row],[DeliveredFlag]]=1),1,0)</f>
        <v>1</v>
      </c>
      <c r="AA584" s="1">
        <f>IF(COUNTIF($D$2:D584,D584)=1,ROW()-1,ROWS(Clean_Data[OrderID])+1)</f>
        <v>901</v>
      </c>
      <c r="AB584" s="1">
        <f>IF(COUNTIF($F$2:F584,F584)=1,ROW()-1,ROWS(Clean_Data[OrderID])+1)</f>
        <v>901</v>
      </c>
      <c r="AC584" s="1">
        <f>IF(COUNTIF($G$2:G584,G584)=1,ROW()-1,ROWS(Clean_Data[OrderID])+1)</f>
        <v>901</v>
      </c>
      <c r="AD584" s="1">
        <f>IF(COUNTIF($H$2:H584,H584)=1,ROW()-1,ROWS(Clean_Data[OrderID])+1)</f>
        <v>901</v>
      </c>
      <c r="AE584" s="1">
        <f>IF(COUNTIF($V$2:V584,V584)=1,V584,ROWS(Clean_Data[OrderID])+1)</f>
        <v>901</v>
      </c>
      <c r="AF584" s="1">
        <f>IF(COUNTIF($U$2:U584,U584)=1,U584,ROWS(Clean_Data[OrderID])+1)</f>
        <v>901</v>
      </c>
      <c r="AG584" s="1">
        <f>IF(COUNTIF($E$2:E584,E584)=1,ROW()-1,ROWS(Clean_Data[OrderID])+1)</f>
        <v>901</v>
      </c>
    </row>
    <row r="585" spans="1:33" ht="20" customHeight="1">
      <c r="A585" s="3" t="s">
        <v>969</v>
      </c>
      <c r="B585" s="2">
        <v>46285</v>
      </c>
      <c r="C585" s="3">
        <v>14</v>
      </c>
      <c r="D585" s="3" t="s">
        <v>148</v>
      </c>
      <c r="E585" s="3" t="s">
        <v>91</v>
      </c>
      <c r="F585" s="3" t="s">
        <v>92</v>
      </c>
      <c r="G585" s="3" t="s">
        <v>93</v>
      </c>
      <c r="H585" s="3" t="s">
        <v>94</v>
      </c>
      <c r="I585" s="3">
        <v>4</v>
      </c>
      <c r="J585" s="11">
        <v>95</v>
      </c>
      <c r="K585" s="4">
        <v>0.1</v>
      </c>
      <c r="L585" s="3" t="s">
        <v>95</v>
      </c>
      <c r="M585" s="3">
        <v>20</v>
      </c>
      <c r="N585" s="3">
        <v>4</v>
      </c>
      <c r="O585" s="3">
        <v>4</v>
      </c>
      <c r="P585" s="11">
        <f>Clean_Data[[#This Row],[Quantity]]*Clean_Data[[#This Row],[UnitPrice]]</f>
        <v>380</v>
      </c>
      <c r="Q585" s="11">
        <f>ROUND(Clean_Data[[#This Row],[GrossSales]]*Clean_Data[[#This Row],[DiscountPct]],2)</f>
        <v>38</v>
      </c>
      <c r="R585" s="11">
        <f>IF(Clean_Data[[#This Row],[Status]]="Delivered",ROUND(Clean_Data[[#This Row],[GrossSales]]-Clean_Data[[#This Row],[DiscountAmount]],2),0)</f>
        <v>342</v>
      </c>
      <c r="S585" s="3" t="str">
        <f>IF(Clean_Data[[#This Row],[OrderHour]]&lt;6,"Night",IF(Clean_Data[[#This Row],[OrderHour]]&lt;12,"Morning",IF(Clean_Data[[#This Row],[OrderHour]]&lt;18,"Afternoon","Evening")))</f>
        <v>Afternoon</v>
      </c>
      <c r="T585" s="3" t="str">
        <f>TEXT(Clean_Data[[#This Row],[OrderDate]],"[$-409]ddd")</f>
        <v>Sun</v>
      </c>
      <c r="U585" s="3">
        <f>WEEKDAY(Clean_Data[[#This Row],[OrderDate]],2)</f>
        <v>7</v>
      </c>
      <c r="V585" s="3">
        <f>INT(Clean_Data[[#This Row],[OrderHour]]/6)+1</f>
        <v>3</v>
      </c>
      <c r="W585" s="3">
        <f>IF(Clean_Data[[#This Row],[Status]]="Delivered",1,0)</f>
        <v>1</v>
      </c>
      <c r="X585" s="3">
        <f>IF(Clean_Data[[#This Row],[Status]]="Delivered",IF(Clean_Data[[#This Row],[DeliveryMinutes]]&lt;=Dashboard!$X$5,1,0),0)</f>
        <v>1</v>
      </c>
      <c r="Y5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5" s="3">
        <f>IF(AND(Clean_Data[[#This Row],[Include]]=1,Clean_Data[[#This Row],[DeliveredFlag]]=1),1,0)</f>
        <v>1</v>
      </c>
      <c r="AA585" s="1">
        <f>IF(COUNTIF($D$2:D585,D585)=1,ROW()-1,ROWS(Clean_Data[OrderID])+1)</f>
        <v>901</v>
      </c>
      <c r="AB585" s="1">
        <f>IF(COUNTIF($F$2:F585,F585)=1,ROW()-1,ROWS(Clean_Data[OrderID])+1)</f>
        <v>901</v>
      </c>
      <c r="AC585" s="1">
        <f>IF(COUNTIF($G$2:G585,G585)=1,ROW()-1,ROWS(Clean_Data[OrderID])+1)</f>
        <v>901</v>
      </c>
      <c r="AD585" s="1">
        <f>IF(COUNTIF($H$2:H585,H585)=1,ROW()-1,ROWS(Clean_Data[OrderID])+1)</f>
        <v>901</v>
      </c>
      <c r="AE585" s="1">
        <f>IF(COUNTIF($V$2:V585,V585)=1,V585,ROWS(Clean_Data[OrderID])+1)</f>
        <v>901</v>
      </c>
      <c r="AF585" s="1">
        <f>IF(COUNTIF($U$2:U585,U585)=1,U585,ROWS(Clean_Data[OrderID])+1)</f>
        <v>901</v>
      </c>
      <c r="AG585" s="1">
        <f>IF(COUNTIF($E$2:E585,E585)=1,ROW()-1,ROWS(Clean_Data[OrderID])+1)</f>
        <v>901</v>
      </c>
    </row>
    <row r="586" spans="1:33" ht="20" customHeight="1">
      <c r="A586" s="3" t="s">
        <v>970</v>
      </c>
      <c r="B586" s="2">
        <v>46285</v>
      </c>
      <c r="C586" s="3">
        <v>13</v>
      </c>
      <c r="D586" s="3" t="s">
        <v>971</v>
      </c>
      <c r="E586" s="3" t="s">
        <v>91</v>
      </c>
      <c r="F586" s="3" t="s">
        <v>121</v>
      </c>
      <c r="G586" s="3" t="s">
        <v>135</v>
      </c>
      <c r="H586" s="3" t="s">
        <v>162</v>
      </c>
      <c r="I586" s="3">
        <v>6</v>
      </c>
      <c r="J586" s="11">
        <v>180</v>
      </c>
      <c r="K586" s="4">
        <v>0</v>
      </c>
      <c r="L586" s="3" t="s">
        <v>95</v>
      </c>
      <c r="M586" s="3">
        <v>30</v>
      </c>
      <c r="N586" s="3">
        <v>9</v>
      </c>
      <c r="O586" s="3">
        <v>5</v>
      </c>
      <c r="P586" s="11">
        <f>Clean_Data[[#This Row],[Quantity]]*Clean_Data[[#This Row],[UnitPrice]]</f>
        <v>1080</v>
      </c>
      <c r="Q586" s="11">
        <f>ROUND(Clean_Data[[#This Row],[GrossSales]]*Clean_Data[[#This Row],[DiscountPct]],2)</f>
        <v>0</v>
      </c>
      <c r="R586" s="11">
        <f>IF(Clean_Data[[#This Row],[Status]]="Delivered",ROUND(Clean_Data[[#This Row],[GrossSales]]-Clean_Data[[#This Row],[DiscountAmount]],2),0)</f>
        <v>1080</v>
      </c>
      <c r="S586" s="3" t="str">
        <f>IF(Clean_Data[[#This Row],[OrderHour]]&lt;6,"Night",IF(Clean_Data[[#This Row],[OrderHour]]&lt;12,"Morning",IF(Clean_Data[[#This Row],[OrderHour]]&lt;18,"Afternoon","Evening")))</f>
        <v>Afternoon</v>
      </c>
      <c r="T586" s="3" t="str">
        <f>TEXT(Clean_Data[[#This Row],[OrderDate]],"[$-409]ddd")</f>
        <v>Sun</v>
      </c>
      <c r="U586" s="3">
        <f>WEEKDAY(Clean_Data[[#This Row],[OrderDate]],2)</f>
        <v>7</v>
      </c>
      <c r="V586" s="3">
        <f>INT(Clean_Data[[#This Row],[OrderHour]]/6)+1</f>
        <v>3</v>
      </c>
      <c r="W586" s="3">
        <f>IF(Clean_Data[[#This Row],[Status]]="Delivered",1,0)</f>
        <v>1</v>
      </c>
      <c r="X586" s="3">
        <f>IF(Clean_Data[[#This Row],[Status]]="Delivered",IF(Clean_Data[[#This Row],[DeliveryMinutes]]&lt;=Dashboard!$X$5,1,0),0)</f>
        <v>1</v>
      </c>
      <c r="Y5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6" s="3">
        <f>IF(AND(Clean_Data[[#This Row],[Include]]=1,Clean_Data[[#This Row],[DeliveredFlag]]=1),1,0)</f>
        <v>1</v>
      </c>
      <c r="AA586" s="1">
        <f>IF(COUNTIF($D$2:D586,D586)=1,ROW()-1,ROWS(Clean_Data[OrderID])+1)</f>
        <v>585</v>
      </c>
      <c r="AB586" s="1">
        <f>IF(COUNTIF($F$2:F586,F586)=1,ROW()-1,ROWS(Clean_Data[OrderID])+1)</f>
        <v>901</v>
      </c>
      <c r="AC586" s="1">
        <f>IF(COUNTIF($G$2:G586,G586)=1,ROW()-1,ROWS(Clean_Data[OrderID])+1)</f>
        <v>901</v>
      </c>
      <c r="AD586" s="1">
        <f>IF(COUNTIF($H$2:H586,H586)=1,ROW()-1,ROWS(Clean_Data[OrderID])+1)</f>
        <v>901</v>
      </c>
      <c r="AE586" s="1">
        <f>IF(COUNTIF($V$2:V586,V586)=1,V586,ROWS(Clean_Data[OrderID])+1)</f>
        <v>901</v>
      </c>
      <c r="AF586" s="1">
        <f>IF(COUNTIF($U$2:U586,U586)=1,U586,ROWS(Clean_Data[OrderID])+1)</f>
        <v>901</v>
      </c>
      <c r="AG586" s="1">
        <f>IF(COUNTIF($E$2:E586,E586)=1,ROW()-1,ROWS(Clean_Data[OrderID])+1)</f>
        <v>901</v>
      </c>
    </row>
    <row r="587" spans="1:33" ht="20" customHeight="1">
      <c r="A587" s="3" t="s">
        <v>972</v>
      </c>
      <c r="B587" s="2">
        <v>46285</v>
      </c>
      <c r="C587" s="3">
        <v>16</v>
      </c>
      <c r="D587" s="3" t="s">
        <v>181</v>
      </c>
      <c r="E587" s="3" t="s">
        <v>117</v>
      </c>
      <c r="F587" s="3" t="s">
        <v>92</v>
      </c>
      <c r="G587" s="3" t="s">
        <v>122</v>
      </c>
      <c r="H587" s="3" t="s">
        <v>153</v>
      </c>
      <c r="I587" s="3">
        <v>5</v>
      </c>
      <c r="J587" s="11">
        <v>130</v>
      </c>
      <c r="K587" s="4">
        <v>0.1</v>
      </c>
      <c r="L587" s="3" t="s">
        <v>95</v>
      </c>
      <c r="M587" s="3">
        <v>23</v>
      </c>
      <c r="N587" s="3">
        <v>6</v>
      </c>
      <c r="O587" s="3">
        <v>5</v>
      </c>
      <c r="P587" s="11">
        <f>Clean_Data[[#This Row],[Quantity]]*Clean_Data[[#This Row],[UnitPrice]]</f>
        <v>650</v>
      </c>
      <c r="Q587" s="11">
        <f>ROUND(Clean_Data[[#This Row],[GrossSales]]*Clean_Data[[#This Row],[DiscountPct]],2)</f>
        <v>65</v>
      </c>
      <c r="R587" s="11">
        <f>IF(Clean_Data[[#This Row],[Status]]="Delivered",ROUND(Clean_Data[[#This Row],[GrossSales]]-Clean_Data[[#This Row],[DiscountAmount]],2),0)</f>
        <v>585</v>
      </c>
      <c r="S587" s="3" t="str">
        <f>IF(Clean_Data[[#This Row],[OrderHour]]&lt;6,"Night",IF(Clean_Data[[#This Row],[OrderHour]]&lt;12,"Morning",IF(Clean_Data[[#This Row],[OrderHour]]&lt;18,"Afternoon","Evening")))</f>
        <v>Afternoon</v>
      </c>
      <c r="T587" s="3" t="str">
        <f>TEXT(Clean_Data[[#This Row],[OrderDate]],"[$-409]ddd")</f>
        <v>Sun</v>
      </c>
      <c r="U587" s="3">
        <f>WEEKDAY(Clean_Data[[#This Row],[OrderDate]],2)</f>
        <v>7</v>
      </c>
      <c r="V587" s="3">
        <f>INT(Clean_Data[[#This Row],[OrderHour]]/6)+1</f>
        <v>3</v>
      </c>
      <c r="W587" s="3">
        <f>IF(Clean_Data[[#This Row],[Status]]="Delivered",1,0)</f>
        <v>1</v>
      </c>
      <c r="X587" s="3">
        <f>IF(Clean_Data[[#This Row],[Status]]="Delivered",IF(Clean_Data[[#This Row],[DeliveryMinutes]]&lt;=Dashboard!$X$5,1,0),0)</f>
        <v>1</v>
      </c>
      <c r="Y5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7" s="3">
        <f>IF(AND(Clean_Data[[#This Row],[Include]]=1,Clean_Data[[#This Row],[DeliveredFlag]]=1),1,0)</f>
        <v>1</v>
      </c>
      <c r="AA587" s="1">
        <f>IF(COUNTIF($D$2:D587,D587)=1,ROW()-1,ROWS(Clean_Data[OrderID])+1)</f>
        <v>901</v>
      </c>
      <c r="AB587" s="1">
        <f>IF(COUNTIF($F$2:F587,F587)=1,ROW()-1,ROWS(Clean_Data[OrderID])+1)</f>
        <v>901</v>
      </c>
      <c r="AC587" s="1">
        <f>IF(COUNTIF($G$2:G587,G587)=1,ROW()-1,ROWS(Clean_Data[OrderID])+1)</f>
        <v>901</v>
      </c>
      <c r="AD587" s="1">
        <f>IF(COUNTIF($H$2:H587,H587)=1,ROW()-1,ROWS(Clean_Data[OrderID])+1)</f>
        <v>901</v>
      </c>
      <c r="AE587" s="1">
        <f>IF(COUNTIF($V$2:V587,V587)=1,V587,ROWS(Clean_Data[OrderID])+1)</f>
        <v>901</v>
      </c>
      <c r="AF587" s="1">
        <f>IF(COUNTIF($U$2:U587,U587)=1,U587,ROWS(Clean_Data[OrderID])+1)</f>
        <v>901</v>
      </c>
      <c r="AG587" s="1">
        <f>IF(COUNTIF($E$2:E587,E587)=1,ROW()-1,ROWS(Clean_Data[OrderID])+1)</f>
        <v>901</v>
      </c>
    </row>
    <row r="588" spans="1:33" ht="20" customHeight="1">
      <c r="A588" s="3" t="s">
        <v>973</v>
      </c>
      <c r="B588" s="2">
        <v>46285</v>
      </c>
      <c r="C588" s="3">
        <v>9</v>
      </c>
      <c r="D588" s="3" t="s">
        <v>558</v>
      </c>
      <c r="E588" s="3" t="s">
        <v>91</v>
      </c>
      <c r="F588" s="3" t="s">
        <v>109</v>
      </c>
      <c r="G588" s="3" t="s">
        <v>122</v>
      </c>
      <c r="H588" s="3" t="s">
        <v>123</v>
      </c>
      <c r="I588" s="3">
        <v>4</v>
      </c>
      <c r="J588" s="11">
        <v>45</v>
      </c>
      <c r="K588" s="4">
        <v>0</v>
      </c>
      <c r="L588" s="3" t="s">
        <v>95</v>
      </c>
      <c r="M588" s="3">
        <v>13</v>
      </c>
      <c r="N588" s="3">
        <v>10</v>
      </c>
      <c r="O588" s="3">
        <v>4</v>
      </c>
      <c r="P588" s="11">
        <f>Clean_Data[[#This Row],[Quantity]]*Clean_Data[[#This Row],[UnitPrice]]</f>
        <v>180</v>
      </c>
      <c r="Q588" s="11">
        <f>ROUND(Clean_Data[[#This Row],[GrossSales]]*Clean_Data[[#This Row],[DiscountPct]],2)</f>
        <v>0</v>
      </c>
      <c r="R588" s="11">
        <f>IF(Clean_Data[[#This Row],[Status]]="Delivered",ROUND(Clean_Data[[#This Row],[GrossSales]]-Clean_Data[[#This Row],[DiscountAmount]],2),0)</f>
        <v>180</v>
      </c>
      <c r="S588" s="3" t="str">
        <f>IF(Clean_Data[[#This Row],[OrderHour]]&lt;6,"Night",IF(Clean_Data[[#This Row],[OrderHour]]&lt;12,"Morning",IF(Clean_Data[[#This Row],[OrderHour]]&lt;18,"Afternoon","Evening")))</f>
        <v>Morning</v>
      </c>
      <c r="T588" s="3" t="str">
        <f>TEXT(Clean_Data[[#This Row],[OrderDate]],"[$-409]ddd")</f>
        <v>Sun</v>
      </c>
      <c r="U588" s="3">
        <f>WEEKDAY(Clean_Data[[#This Row],[OrderDate]],2)</f>
        <v>7</v>
      </c>
      <c r="V588" s="3">
        <f>INT(Clean_Data[[#This Row],[OrderHour]]/6)+1</f>
        <v>2</v>
      </c>
      <c r="W588" s="3">
        <f>IF(Clean_Data[[#This Row],[Status]]="Delivered",1,0)</f>
        <v>1</v>
      </c>
      <c r="X588" s="3">
        <f>IF(Clean_Data[[#This Row],[Status]]="Delivered",IF(Clean_Data[[#This Row],[DeliveryMinutes]]&lt;=Dashboard!$X$5,1,0),0)</f>
        <v>1</v>
      </c>
      <c r="Y5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8" s="3">
        <f>IF(AND(Clean_Data[[#This Row],[Include]]=1,Clean_Data[[#This Row],[DeliveredFlag]]=1),1,0)</f>
        <v>1</v>
      </c>
      <c r="AA588" s="1">
        <f>IF(COUNTIF($D$2:D588,D588)=1,ROW()-1,ROWS(Clean_Data[OrderID])+1)</f>
        <v>901</v>
      </c>
      <c r="AB588" s="1">
        <f>IF(COUNTIF($F$2:F588,F588)=1,ROW()-1,ROWS(Clean_Data[OrderID])+1)</f>
        <v>901</v>
      </c>
      <c r="AC588" s="1">
        <f>IF(COUNTIF($G$2:G588,G588)=1,ROW()-1,ROWS(Clean_Data[OrderID])+1)</f>
        <v>901</v>
      </c>
      <c r="AD588" s="1">
        <f>IF(COUNTIF($H$2:H588,H588)=1,ROW()-1,ROWS(Clean_Data[OrderID])+1)</f>
        <v>901</v>
      </c>
      <c r="AE588" s="1">
        <f>IF(COUNTIF($V$2:V588,V588)=1,V588,ROWS(Clean_Data[OrderID])+1)</f>
        <v>901</v>
      </c>
      <c r="AF588" s="1">
        <f>IF(COUNTIF($U$2:U588,U588)=1,U588,ROWS(Clean_Data[OrderID])+1)</f>
        <v>901</v>
      </c>
      <c r="AG588" s="1">
        <f>IF(COUNTIF($E$2:E588,E588)=1,ROW()-1,ROWS(Clean_Data[OrderID])+1)</f>
        <v>901</v>
      </c>
    </row>
    <row r="589" spans="1:33" ht="20" customHeight="1">
      <c r="A589" s="3" t="s">
        <v>974</v>
      </c>
      <c r="B589" s="2">
        <v>46285</v>
      </c>
      <c r="C589" s="3">
        <v>23</v>
      </c>
      <c r="D589" s="3" t="s">
        <v>975</v>
      </c>
      <c r="E589" s="3" t="s">
        <v>117</v>
      </c>
      <c r="F589" s="3" t="s">
        <v>98</v>
      </c>
      <c r="G589" s="3" t="s">
        <v>174</v>
      </c>
      <c r="H589" s="3" t="s">
        <v>184</v>
      </c>
      <c r="I589" s="3">
        <v>5</v>
      </c>
      <c r="J589" s="11">
        <v>62</v>
      </c>
      <c r="K589" s="4">
        <v>0.15</v>
      </c>
      <c r="L589" s="3" t="s">
        <v>95</v>
      </c>
      <c r="M589" s="3">
        <v>14</v>
      </c>
      <c r="N589" s="3">
        <v>8</v>
      </c>
      <c r="O589" s="3">
        <v>4</v>
      </c>
      <c r="P589" s="11">
        <f>Clean_Data[[#This Row],[Quantity]]*Clean_Data[[#This Row],[UnitPrice]]</f>
        <v>310</v>
      </c>
      <c r="Q589" s="11">
        <f>ROUND(Clean_Data[[#This Row],[GrossSales]]*Clean_Data[[#This Row],[DiscountPct]],2)</f>
        <v>46.5</v>
      </c>
      <c r="R589" s="11">
        <f>IF(Clean_Data[[#This Row],[Status]]="Delivered",ROUND(Clean_Data[[#This Row],[GrossSales]]-Clean_Data[[#This Row],[DiscountAmount]],2),0)</f>
        <v>263.5</v>
      </c>
      <c r="S589" s="3" t="str">
        <f>IF(Clean_Data[[#This Row],[OrderHour]]&lt;6,"Night",IF(Clean_Data[[#This Row],[OrderHour]]&lt;12,"Morning",IF(Clean_Data[[#This Row],[OrderHour]]&lt;18,"Afternoon","Evening")))</f>
        <v>Evening</v>
      </c>
      <c r="T589" s="3" t="str">
        <f>TEXT(Clean_Data[[#This Row],[OrderDate]],"[$-409]ddd")</f>
        <v>Sun</v>
      </c>
      <c r="U589" s="3">
        <f>WEEKDAY(Clean_Data[[#This Row],[OrderDate]],2)</f>
        <v>7</v>
      </c>
      <c r="V589" s="3">
        <f>INT(Clean_Data[[#This Row],[OrderHour]]/6)+1</f>
        <v>4</v>
      </c>
      <c r="W589" s="3">
        <f>IF(Clean_Data[[#This Row],[Status]]="Delivered",1,0)</f>
        <v>1</v>
      </c>
      <c r="X589" s="3">
        <f>IF(Clean_Data[[#This Row],[Status]]="Delivered",IF(Clean_Data[[#This Row],[DeliveryMinutes]]&lt;=Dashboard!$X$5,1,0),0)</f>
        <v>1</v>
      </c>
      <c r="Y5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89" s="3">
        <f>IF(AND(Clean_Data[[#This Row],[Include]]=1,Clean_Data[[#This Row],[DeliveredFlag]]=1),1,0)</f>
        <v>1</v>
      </c>
      <c r="AA589" s="1">
        <f>IF(COUNTIF($D$2:D589,D589)=1,ROW()-1,ROWS(Clean_Data[OrderID])+1)</f>
        <v>588</v>
      </c>
      <c r="AB589" s="1">
        <f>IF(COUNTIF($F$2:F589,F589)=1,ROW()-1,ROWS(Clean_Data[OrderID])+1)</f>
        <v>901</v>
      </c>
      <c r="AC589" s="1">
        <f>IF(COUNTIF($G$2:G589,G589)=1,ROW()-1,ROWS(Clean_Data[OrderID])+1)</f>
        <v>901</v>
      </c>
      <c r="AD589" s="1">
        <f>IF(COUNTIF($H$2:H589,H589)=1,ROW()-1,ROWS(Clean_Data[OrderID])+1)</f>
        <v>901</v>
      </c>
      <c r="AE589" s="1">
        <f>IF(COUNTIF($V$2:V589,V589)=1,V589,ROWS(Clean_Data[OrderID])+1)</f>
        <v>901</v>
      </c>
      <c r="AF589" s="1">
        <f>IF(COUNTIF($U$2:U589,U589)=1,U589,ROWS(Clean_Data[OrderID])+1)</f>
        <v>901</v>
      </c>
      <c r="AG589" s="1">
        <f>IF(COUNTIF($E$2:E589,E589)=1,ROW()-1,ROWS(Clean_Data[OrderID])+1)</f>
        <v>901</v>
      </c>
    </row>
    <row r="590" spans="1:33" ht="20" customHeight="1">
      <c r="A590" s="3" t="s">
        <v>976</v>
      </c>
      <c r="B590" s="2">
        <v>46285</v>
      </c>
      <c r="C590" s="3">
        <v>10</v>
      </c>
      <c r="D590" s="3" t="s">
        <v>436</v>
      </c>
      <c r="E590" s="3" t="s">
        <v>117</v>
      </c>
      <c r="F590" s="3" t="s">
        <v>139</v>
      </c>
      <c r="G590" s="3" t="s">
        <v>122</v>
      </c>
      <c r="H590" s="3" t="s">
        <v>153</v>
      </c>
      <c r="I590" s="3">
        <v>1</v>
      </c>
      <c r="J590" s="11">
        <v>130</v>
      </c>
      <c r="K590" s="4">
        <v>0</v>
      </c>
      <c r="L590" s="3" t="s">
        <v>95</v>
      </c>
      <c r="M590" s="3">
        <v>32</v>
      </c>
      <c r="N590" s="3">
        <v>8</v>
      </c>
      <c r="O590" s="3">
        <v>5</v>
      </c>
      <c r="P590" s="11">
        <f>Clean_Data[[#This Row],[Quantity]]*Clean_Data[[#This Row],[UnitPrice]]</f>
        <v>130</v>
      </c>
      <c r="Q590" s="11">
        <f>ROUND(Clean_Data[[#This Row],[GrossSales]]*Clean_Data[[#This Row],[DiscountPct]],2)</f>
        <v>0</v>
      </c>
      <c r="R590" s="11">
        <f>IF(Clean_Data[[#This Row],[Status]]="Delivered",ROUND(Clean_Data[[#This Row],[GrossSales]]-Clean_Data[[#This Row],[DiscountAmount]],2),0)</f>
        <v>130</v>
      </c>
      <c r="S590" s="3" t="str">
        <f>IF(Clean_Data[[#This Row],[OrderHour]]&lt;6,"Night",IF(Clean_Data[[#This Row],[OrderHour]]&lt;12,"Morning",IF(Clean_Data[[#This Row],[OrderHour]]&lt;18,"Afternoon","Evening")))</f>
        <v>Morning</v>
      </c>
      <c r="T590" s="3" t="str">
        <f>TEXT(Clean_Data[[#This Row],[OrderDate]],"[$-409]ddd")</f>
        <v>Sun</v>
      </c>
      <c r="U590" s="3">
        <f>WEEKDAY(Clean_Data[[#This Row],[OrderDate]],2)</f>
        <v>7</v>
      </c>
      <c r="V590" s="3">
        <f>INT(Clean_Data[[#This Row],[OrderHour]]/6)+1</f>
        <v>2</v>
      </c>
      <c r="W590" s="3">
        <f>IF(Clean_Data[[#This Row],[Status]]="Delivered",1,0)</f>
        <v>1</v>
      </c>
      <c r="X590" s="3">
        <f>IF(Clean_Data[[#This Row],[Status]]="Delivered",IF(Clean_Data[[#This Row],[DeliveryMinutes]]&lt;=Dashboard!$X$5,1,0),0)</f>
        <v>0</v>
      </c>
      <c r="Y5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0" s="3">
        <f>IF(AND(Clean_Data[[#This Row],[Include]]=1,Clean_Data[[#This Row],[DeliveredFlag]]=1),1,0)</f>
        <v>1</v>
      </c>
      <c r="AA590" s="1">
        <f>IF(COUNTIF($D$2:D590,D590)=1,ROW()-1,ROWS(Clean_Data[OrderID])+1)</f>
        <v>901</v>
      </c>
      <c r="AB590" s="1">
        <f>IF(COUNTIF($F$2:F590,F590)=1,ROW()-1,ROWS(Clean_Data[OrderID])+1)</f>
        <v>901</v>
      </c>
      <c r="AC590" s="1">
        <f>IF(COUNTIF($G$2:G590,G590)=1,ROW()-1,ROWS(Clean_Data[OrderID])+1)</f>
        <v>901</v>
      </c>
      <c r="AD590" s="1">
        <f>IF(COUNTIF($H$2:H590,H590)=1,ROW()-1,ROWS(Clean_Data[OrderID])+1)</f>
        <v>901</v>
      </c>
      <c r="AE590" s="1">
        <f>IF(COUNTIF($V$2:V590,V590)=1,V590,ROWS(Clean_Data[OrderID])+1)</f>
        <v>901</v>
      </c>
      <c r="AF590" s="1">
        <f>IF(COUNTIF($U$2:U590,U590)=1,U590,ROWS(Clean_Data[OrderID])+1)</f>
        <v>901</v>
      </c>
      <c r="AG590" s="1">
        <f>IF(COUNTIF($E$2:E590,E590)=1,ROW()-1,ROWS(Clean_Data[OrderID])+1)</f>
        <v>901</v>
      </c>
    </row>
    <row r="591" spans="1:33" ht="20" customHeight="1">
      <c r="A591" s="3" t="s">
        <v>977</v>
      </c>
      <c r="B591" s="2">
        <v>46285</v>
      </c>
      <c r="C591" s="3">
        <v>17</v>
      </c>
      <c r="D591" s="3" t="s">
        <v>236</v>
      </c>
      <c r="E591" s="3" t="s">
        <v>91</v>
      </c>
      <c r="F591" s="3" t="s">
        <v>109</v>
      </c>
      <c r="G591" s="3" t="s">
        <v>99</v>
      </c>
      <c r="H591" s="3" t="s">
        <v>104</v>
      </c>
      <c r="I591" s="3">
        <v>4</v>
      </c>
      <c r="J591" s="11">
        <v>240</v>
      </c>
      <c r="K591" s="4">
        <v>0</v>
      </c>
      <c r="L591" s="3" t="s">
        <v>95</v>
      </c>
      <c r="M591" s="3">
        <v>24</v>
      </c>
      <c r="N591" s="3">
        <v>12</v>
      </c>
      <c r="O591" s="3">
        <v>3</v>
      </c>
      <c r="P591" s="11">
        <f>Clean_Data[[#This Row],[Quantity]]*Clean_Data[[#This Row],[UnitPrice]]</f>
        <v>960</v>
      </c>
      <c r="Q591" s="11">
        <f>ROUND(Clean_Data[[#This Row],[GrossSales]]*Clean_Data[[#This Row],[DiscountPct]],2)</f>
        <v>0</v>
      </c>
      <c r="R591" s="11">
        <f>IF(Clean_Data[[#This Row],[Status]]="Delivered",ROUND(Clean_Data[[#This Row],[GrossSales]]-Clean_Data[[#This Row],[DiscountAmount]],2),0)</f>
        <v>960</v>
      </c>
      <c r="S591" s="3" t="str">
        <f>IF(Clean_Data[[#This Row],[OrderHour]]&lt;6,"Night",IF(Clean_Data[[#This Row],[OrderHour]]&lt;12,"Morning",IF(Clean_Data[[#This Row],[OrderHour]]&lt;18,"Afternoon","Evening")))</f>
        <v>Afternoon</v>
      </c>
      <c r="T591" s="3" t="str">
        <f>TEXT(Clean_Data[[#This Row],[OrderDate]],"[$-409]ddd")</f>
        <v>Sun</v>
      </c>
      <c r="U591" s="3">
        <f>WEEKDAY(Clean_Data[[#This Row],[OrderDate]],2)</f>
        <v>7</v>
      </c>
      <c r="V591" s="3">
        <f>INT(Clean_Data[[#This Row],[OrderHour]]/6)+1</f>
        <v>3</v>
      </c>
      <c r="W591" s="3">
        <f>IF(Clean_Data[[#This Row],[Status]]="Delivered",1,0)</f>
        <v>1</v>
      </c>
      <c r="X591" s="3">
        <f>IF(Clean_Data[[#This Row],[Status]]="Delivered",IF(Clean_Data[[#This Row],[DeliveryMinutes]]&lt;=Dashboard!$X$5,1,0),0)</f>
        <v>1</v>
      </c>
      <c r="Y5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1" s="3">
        <f>IF(AND(Clean_Data[[#This Row],[Include]]=1,Clean_Data[[#This Row],[DeliveredFlag]]=1),1,0)</f>
        <v>1</v>
      </c>
      <c r="AA591" s="1">
        <f>IF(COUNTIF($D$2:D591,D591)=1,ROW()-1,ROWS(Clean_Data[OrderID])+1)</f>
        <v>901</v>
      </c>
      <c r="AB591" s="1">
        <f>IF(COUNTIF($F$2:F591,F591)=1,ROW()-1,ROWS(Clean_Data[OrderID])+1)</f>
        <v>901</v>
      </c>
      <c r="AC591" s="1">
        <f>IF(COUNTIF($G$2:G591,G591)=1,ROW()-1,ROWS(Clean_Data[OrderID])+1)</f>
        <v>901</v>
      </c>
      <c r="AD591" s="1">
        <f>IF(COUNTIF($H$2:H591,H591)=1,ROW()-1,ROWS(Clean_Data[OrderID])+1)</f>
        <v>901</v>
      </c>
      <c r="AE591" s="1">
        <f>IF(COUNTIF($V$2:V591,V591)=1,V591,ROWS(Clean_Data[OrderID])+1)</f>
        <v>901</v>
      </c>
      <c r="AF591" s="1">
        <f>IF(COUNTIF($U$2:U591,U591)=1,U591,ROWS(Clean_Data[OrderID])+1)</f>
        <v>901</v>
      </c>
      <c r="AG591" s="1">
        <f>IF(COUNTIF($E$2:E591,E591)=1,ROW()-1,ROWS(Clean_Data[OrderID])+1)</f>
        <v>901</v>
      </c>
    </row>
    <row r="592" spans="1:33" ht="20" customHeight="1">
      <c r="A592" s="3" t="s">
        <v>978</v>
      </c>
      <c r="B592" s="2">
        <v>46285</v>
      </c>
      <c r="C592" s="3">
        <v>18</v>
      </c>
      <c r="D592" s="3" t="s">
        <v>639</v>
      </c>
      <c r="E592" s="3" t="s">
        <v>91</v>
      </c>
      <c r="F592" s="3" t="s">
        <v>98</v>
      </c>
      <c r="G592" s="3" t="s">
        <v>135</v>
      </c>
      <c r="H592" s="3" t="s">
        <v>136</v>
      </c>
      <c r="I592" s="3">
        <v>5</v>
      </c>
      <c r="J592" s="11">
        <v>40</v>
      </c>
      <c r="K592" s="4">
        <v>0.15</v>
      </c>
      <c r="L592" s="3" t="s">
        <v>95</v>
      </c>
      <c r="M592" s="3">
        <v>23</v>
      </c>
      <c r="N592" s="3">
        <v>12</v>
      </c>
      <c r="O592" s="3">
        <v>5</v>
      </c>
      <c r="P592" s="11">
        <f>Clean_Data[[#This Row],[Quantity]]*Clean_Data[[#This Row],[UnitPrice]]</f>
        <v>200</v>
      </c>
      <c r="Q592" s="11">
        <f>ROUND(Clean_Data[[#This Row],[GrossSales]]*Clean_Data[[#This Row],[DiscountPct]],2)</f>
        <v>30</v>
      </c>
      <c r="R592" s="11">
        <f>IF(Clean_Data[[#This Row],[Status]]="Delivered",ROUND(Clean_Data[[#This Row],[GrossSales]]-Clean_Data[[#This Row],[DiscountAmount]],2),0)</f>
        <v>170</v>
      </c>
      <c r="S592" s="3" t="str">
        <f>IF(Clean_Data[[#This Row],[OrderHour]]&lt;6,"Night",IF(Clean_Data[[#This Row],[OrderHour]]&lt;12,"Morning",IF(Clean_Data[[#This Row],[OrderHour]]&lt;18,"Afternoon","Evening")))</f>
        <v>Evening</v>
      </c>
      <c r="T592" s="3" t="str">
        <f>TEXT(Clean_Data[[#This Row],[OrderDate]],"[$-409]ddd")</f>
        <v>Sun</v>
      </c>
      <c r="U592" s="3">
        <f>WEEKDAY(Clean_Data[[#This Row],[OrderDate]],2)</f>
        <v>7</v>
      </c>
      <c r="V592" s="3">
        <f>INT(Clean_Data[[#This Row],[OrderHour]]/6)+1</f>
        <v>4</v>
      </c>
      <c r="W592" s="3">
        <f>IF(Clean_Data[[#This Row],[Status]]="Delivered",1,0)</f>
        <v>1</v>
      </c>
      <c r="X592" s="3">
        <f>IF(Clean_Data[[#This Row],[Status]]="Delivered",IF(Clean_Data[[#This Row],[DeliveryMinutes]]&lt;=Dashboard!$X$5,1,0),0)</f>
        <v>1</v>
      </c>
      <c r="Y5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2" s="3">
        <f>IF(AND(Clean_Data[[#This Row],[Include]]=1,Clean_Data[[#This Row],[DeliveredFlag]]=1),1,0)</f>
        <v>1</v>
      </c>
      <c r="AA592" s="1">
        <f>IF(COUNTIF($D$2:D592,D592)=1,ROW()-1,ROWS(Clean_Data[OrderID])+1)</f>
        <v>901</v>
      </c>
      <c r="AB592" s="1">
        <f>IF(COUNTIF($F$2:F592,F592)=1,ROW()-1,ROWS(Clean_Data[OrderID])+1)</f>
        <v>901</v>
      </c>
      <c r="AC592" s="1">
        <f>IF(COUNTIF($G$2:G592,G592)=1,ROW()-1,ROWS(Clean_Data[OrderID])+1)</f>
        <v>901</v>
      </c>
      <c r="AD592" s="1">
        <f>IF(COUNTIF($H$2:H592,H592)=1,ROW()-1,ROWS(Clean_Data[OrderID])+1)</f>
        <v>901</v>
      </c>
      <c r="AE592" s="1">
        <f>IF(COUNTIF($V$2:V592,V592)=1,V592,ROWS(Clean_Data[OrderID])+1)</f>
        <v>901</v>
      </c>
      <c r="AF592" s="1">
        <f>IF(COUNTIF($U$2:U592,U592)=1,U592,ROWS(Clean_Data[OrderID])+1)</f>
        <v>901</v>
      </c>
      <c r="AG592" s="1">
        <f>IF(COUNTIF($E$2:E592,E592)=1,ROW()-1,ROWS(Clean_Data[OrderID])+1)</f>
        <v>901</v>
      </c>
    </row>
    <row r="593" spans="1:33" ht="20" customHeight="1">
      <c r="A593" s="3" t="s">
        <v>979</v>
      </c>
      <c r="B593" s="2">
        <v>46285</v>
      </c>
      <c r="C593" s="3">
        <v>11</v>
      </c>
      <c r="D593" s="3" t="s">
        <v>980</v>
      </c>
      <c r="E593" s="3" t="s">
        <v>117</v>
      </c>
      <c r="F593" s="3" t="s">
        <v>92</v>
      </c>
      <c r="G593" s="3" t="s">
        <v>99</v>
      </c>
      <c r="H593" s="3" t="s">
        <v>104</v>
      </c>
      <c r="I593" s="3">
        <v>2</v>
      </c>
      <c r="J593" s="11">
        <v>240</v>
      </c>
      <c r="K593" s="4">
        <v>0.1</v>
      </c>
      <c r="L593" s="3" t="s">
        <v>95</v>
      </c>
      <c r="M593" s="3">
        <v>16</v>
      </c>
      <c r="N593" s="3">
        <v>15</v>
      </c>
      <c r="O593" s="3">
        <v>4</v>
      </c>
      <c r="P593" s="11">
        <f>Clean_Data[[#This Row],[Quantity]]*Clean_Data[[#This Row],[UnitPrice]]</f>
        <v>480</v>
      </c>
      <c r="Q593" s="11">
        <f>ROUND(Clean_Data[[#This Row],[GrossSales]]*Clean_Data[[#This Row],[DiscountPct]],2)</f>
        <v>48</v>
      </c>
      <c r="R593" s="11">
        <f>IF(Clean_Data[[#This Row],[Status]]="Delivered",ROUND(Clean_Data[[#This Row],[GrossSales]]-Clean_Data[[#This Row],[DiscountAmount]],2),0)</f>
        <v>432</v>
      </c>
      <c r="S593" s="3" t="str">
        <f>IF(Clean_Data[[#This Row],[OrderHour]]&lt;6,"Night",IF(Clean_Data[[#This Row],[OrderHour]]&lt;12,"Morning",IF(Clean_Data[[#This Row],[OrderHour]]&lt;18,"Afternoon","Evening")))</f>
        <v>Morning</v>
      </c>
      <c r="T593" s="3" t="str">
        <f>TEXT(Clean_Data[[#This Row],[OrderDate]],"[$-409]ddd")</f>
        <v>Sun</v>
      </c>
      <c r="U593" s="3">
        <f>WEEKDAY(Clean_Data[[#This Row],[OrderDate]],2)</f>
        <v>7</v>
      </c>
      <c r="V593" s="3">
        <f>INT(Clean_Data[[#This Row],[OrderHour]]/6)+1</f>
        <v>2</v>
      </c>
      <c r="W593" s="3">
        <f>IF(Clean_Data[[#This Row],[Status]]="Delivered",1,0)</f>
        <v>1</v>
      </c>
      <c r="X593" s="3">
        <f>IF(Clean_Data[[#This Row],[Status]]="Delivered",IF(Clean_Data[[#This Row],[DeliveryMinutes]]&lt;=Dashboard!$X$5,1,0),0)</f>
        <v>1</v>
      </c>
      <c r="Y5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3" s="3">
        <f>IF(AND(Clean_Data[[#This Row],[Include]]=1,Clean_Data[[#This Row],[DeliveredFlag]]=1),1,0)</f>
        <v>1</v>
      </c>
      <c r="AA593" s="1">
        <f>IF(COUNTIF($D$2:D593,D593)=1,ROW()-1,ROWS(Clean_Data[OrderID])+1)</f>
        <v>592</v>
      </c>
      <c r="AB593" s="1">
        <f>IF(COUNTIF($F$2:F593,F593)=1,ROW()-1,ROWS(Clean_Data[OrderID])+1)</f>
        <v>901</v>
      </c>
      <c r="AC593" s="1">
        <f>IF(COUNTIF($G$2:G593,G593)=1,ROW()-1,ROWS(Clean_Data[OrderID])+1)</f>
        <v>901</v>
      </c>
      <c r="AD593" s="1">
        <f>IF(COUNTIF($H$2:H593,H593)=1,ROW()-1,ROWS(Clean_Data[OrderID])+1)</f>
        <v>901</v>
      </c>
      <c r="AE593" s="1">
        <f>IF(COUNTIF($V$2:V593,V593)=1,V593,ROWS(Clean_Data[OrderID])+1)</f>
        <v>901</v>
      </c>
      <c r="AF593" s="1">
        <f>IF(COUNTIF($U$2:U593,U593)=1,U593,ROWS(Clean_Data[OrderID])+1)</f>
        <v>901</v>
      </c>
      <c r="AG593" s="1">
        <f>IF(COUNTIF($E$2:E593,E593)=1,ROW()-1,ROWS(Clean_Data[OrderID])+1)</f>
        <v>901</v>
      </c>
    </row>
    <row r="594" spans="1:33" ht="20" customHeight="1">
      <c r="A594" s="3" t="s">
        <v>981</v>
      </c>
      <c r="B594" s="2">
        <v>46285</v>
      </c>
      <c r="C594" s="3">
        <v>23</v>
      </c>
      <c r="D594" s="3" t="s">
        <v>305</v>
      </c>
      <c r="E594" s="3" t="s">
        <v>91</v>
      </c>
      <c r="F594" s="3" t="s">
        <v>98</v>
      </c>
      <c r="G594" s="3" t="s">
        <v>174</v>
      </c>
      <c r="H594" s="3" t="s">
        <v>184</v>
      </c>
      <c r="I594" s="3">
        <v>6</v>
      </c>
      <c r="J594" s="11">
        <v>62</v>
      </c>
      <c r="K594" s="4">
        <v>0</v>
      </c>
      <c r="L594" s="3" t="s">
        <v>95</v>
      </c>
      <c r="M594" s="3">
        <v>30</v>
      </c>
      <c r="N594" s="3">
        <v>10</v>
      </c>
      <c r="O594" s="3">
        <v>3</v>
      </c>
      <c r="P594" s="11">
        <f>Clean_Data[[#This Row],[Quantity]]*Clean_Data[[#This Row],[UnitPrice]]</f>
        <v>372</v>
      </c>
      <c r="Q594" s="11">
        <f>ROUND(Clean_Data[[#This Row],[GrossSales]]*Clean_Data[[#This Row],[DiscountPct]],2)</f>
        <v>0</v>
      </c>
      <c r="R594" s="11">
        <f>IF(Clean_Data[[#This Row],[Status]]="Delivered",ROUND(Clean_Data[[#This Row],[GrossSales]]-Clean_Data[[#This Row],[DiscountAmount]],2),0)</f>
        <v>372</v>
      </c>
      <c r="S594" s="3" t="str">
        <f>IF(Clean_Data[[#This Row],[OrderHour]]&lt;6,"Night",IF(Clean_Data[[#This Row],[OrderHour]]&lt;12,"Morning",IF(Clean_Data[[#This Row],[OrderHour]]&lt;18,"Afternoon","Evening")))</f>
        <v>Evening</v>
      </c>
      <c r="T594" s="3" t="str">
        <f>TEXT(Clean_Data[[#This Row],[OrderDate]],"[$-409]ddd")</f>
        <v>Sun</v>
      </c>
      <c r="U594" s="3">
        <f>WEEKDAY(Clean_Data[[#This Row],[OrderDate]],2)</f>
        <v>7</v>
      </c>
      <c r="V594" s="3">
        <f>INT(Clean_Data[[#This Row],[OrderHour]]/6)+1</f>
        <v>4</v>
      </c>
      <c r="W594" s="3">
        <f>IF(Clean_Data[[#This Row],[Status]]="Delivered",1,0)</f>
        <v>1</v>
      </c>
      <c r="X594" s="3">
        <f>IF(Clean_Data[[#This Row],[Status]]="Delivered",IF(Clean_Data[[#This Row],[DeliveryMinutes]]&lt;=Dashboard!$X$5,1,0),0)</f>
        <v>1</v>
      </c>
      <c r="Y5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4" s="3">
        <f>IF(AND(Clean_Data[[#This Row],[Include]]=1,Clean_Data[[#This Row],[DeliveredFlag]]=1),1,0)</f>
        <v>1</v>
      </c>
      <c r="AA594" s="1">
        <f>IF(COUNTIF($D$2:D594,D594)=1,ROW()-1,ROWS(Clean_Data[OrderID])+1)</f>
        <v>901</v>
      </c>
      <c r="AB594" s="1">
        <f>IF(COUNTIF($F$2:F594,F594)=1,ROW()-1,ROWS(Clean_Data[OrderID])+1)</f>
        <v>901</v>
      </c>
      <c r="AC594" s="1">
        <f>IF(COUNTIF($G$2:G594,G594)=1,ROW()-1,ROWS(Clean_Data[OrderID])+1)</f>
        <v>901</v>
      </c>
      <c r="AD594" s="1">
        <f>IF(COUNTIF($H$2:H594,H594)=1,ROW()-1,ROWS(Clean_Data[OrderID])+1)</f>
        <v>901</v>
      </c>
      <c r="AE594" s="1">
        <f>IF(COUNTIF($V$2:V594,V594)=1,V594,ROWS(Clean_Data[OrderID])+1)</f>
        <v>901</v>
      </c>
      <c r="AF594" s="1">
        <f>IF(COUNTIF($U$2:U594,U594)=1,U594,ROWS(Clean_Data[OrderID])+1)</f>
        <v>901</v>
      </c>
      <c r="AG594" s="1">
        <f>IF(COUNTIF($E$2:E594,E594)=1,ROW()-1,ROWS(Clean_Data[OrderID])+1)</f>
        <v>901</v>
      </c>
    </row>
    <row r="595" spans="1:33" ht="20" customHeight="1">
      <c r="A595" s="3" t="s">
        <v>982</v>
      </c>
      <c r="B595" s="2">
        <v>46285</v>
      </c>
      <c r="C595" s="3">
        <v>8</v>
      </c>
      <c r="D595" s="3" t="s">
        <v>167</v>
      </c>
      <c r="E595" s="3" t="s">
        <v>91</v>
      </c>
      <c r="F595" s="3" t="s">
        <v>121</v>
      </c>
      <c r="G595" s="3" t="s">
        <v>99</v>
      </c>
      <c r="H595" s="3" t="s">
        <v>104</v>
      </c>
      <c r="I595" s="3">
        <v>1</v>
      </c>
      <c r="J595" s="11">
        <v>240</v>
      </c>
      <c r="K595" s="4">
        <v>0.15</v>
      </c>
      <c r="L595" s="3" t="s">
        <v>95</v>
      </c>
      <c r="M595" s="3">
        <v>22</v>
      </c>
      <c r="N595" s="3">
        <v>15</v>
      </c>
      <c r="O595" s="3">
        <v>4</v>
      </c>
      <c r="P595" s="11">
        <f>Clean_Data[[#This Row],[Quantity]]*Clean_Data[[#This Row],[UnitPrice]]</f>
        <v>240</v>
      </c>
      <c r="Q595" s="11">
        <f>ROUND(Clean_Data[[#This Row],[GrossSales]]*Clean_Data[[#This Row],[DiscountPct]],2)</f>
        <v>36</v>
      </c>
      <c r="R595" s="11">
        <f>IF(Clean_Data[[#This Row],[Status]]="Delivered",ROUND(Clean_Data[[#This Row],[GrossSales]]-Clean_Data[[#This Row],[DiscountAmount]],2),0)</f>
        <v>204</v>
      </c>
      <c r="S595" s="3" t="str">
        <f>IF(Clean_Data[[#This Row],[OrderHour]]&lt;6,"Night",IF(Clean_Data[[#This Row],[OrderHour]]&lt;12,"Morning",IF(Clean_Data[[#This Row],[OrderHour]]&lt;18,"Afternoon","Evening")))</f>
        <v>Morning</v>
      </c>
      <c r="T595" s="3" t="str">
        <f>TEXT(Clean_Data[[#This Row],[OrderDate]],"[$-409]ddd")</f>
        <v>Sun</v>
      </c>
      <c r="U595" s="3">
        <f>WEEKDAY(Clean_Data[[#This Row],[OrderDate]],2)</f>
        <v>7</v>
      </c>
      <c r="V595" s="3">
        <f>INT(Clean_Data[[#This Row],[OrderHour]]/6)+1</f>
        <v>2</v>
      </c>
      <c r="W595" s="3">
        <f>IF(Clean_Data[[#This Row],[Status]]="Delivered",1,0)</f>
        <v>1</v>
      </c>
      <c r="X595" s="3">
        <f>IF(Clean_Data[[#This Row],[Status]]="Delivered",IF(Clean_Data[[#This Row],[DeliveryMinutes]]&lt;=Dashboard!$X$5,1,0),0)</f>
        <v>1</v>
      </c>
      <c r="Y5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5" s="3">
        <f>IF(AND(Clean_Data[[#This Row],[Include]]=1,Clean_Data[[#This Row],[DeliveredFlag]]=1),1,0)</f>
        <v>1</v>
      </c>
      <c r="AA595" s="1">
        <f>IF(COUNTIF($D$2:D595,D595)=1,ROW()-1,ROWS(Clean_Data[OrderID])+1)</f>
        <v>901</v>
      </c>
      <c r="AB595" s="1">
        <f>IF(COUNTIF($F$2:F595,F595)=1,ROW()-1,ROWS(Clean_Data[OrderID])+1)</f>
        <v>901</v>
      </c>
      <c r="AC595" s="1">
        <f>IF(COUNTIF($G$2:G595,G595)=1,ROW()-1,ROWS(Clean_Data[OrderID])+1)</f>
        <v>901</v>
      </c>
      <c r="AD595" s="1">
        <f>IF(COUNTIF($H$2:H595,H595)=1,ROW()-1,ROWS(Clean_Data[OrderID])+1)</f>
        <v>901</v>
      </c>
      <c r="AE595" s="1">
        <f>IF(COUNTIF($V$2:V595,V595)=1,V595,ROWS(Clean_Data[OrderID])+1)</f>
        <v>901</v>
      </c>
      <c r="AF595" s="1">
        <f>IF(COUNTIF($U$2:U595,U595)=1,U595,ROWS(Clean_Data[OrderID])+1)</f>
        <v>901</v>
      </c>
      <c r="AG595" s="1">
        <f>IF(COUNTIF($E$2:E595,E595)=1,ROW()-1,ROWS(Clean_Data[OrderID])+1)</f>
        <v>901</v>
      </c>
    </row>
    <row r="596" spans="1:33" ht="20" customHeight="1">
      <c r="A596" s="3" t="s">
        <v>983</v>
      </c>
      <c r="B596" s="2">
        <v>46285</v>
      </c>
      <c r="C596" s="3">
        <v>19</v>
      </c>
      <c r="D596" s="3" t="s">
        <v>695</v>
      </c>
      <c r="E596" s="3" t="s">
        <v>117</v>
      </c>
      <c r="F596" s="3" t="s">
        <v>109</v>
      </c>
      <c r="G596" s="3" t="s">
        <v>93</v>
      </c>
      <c r="H596" s="3" t="s">
        <v>94</v>
      </c>
      <c r="I596" s="3">
        <v>4</v>
      </c>
      <c r="J596" s="11">
        <v>95</v>
      </c>
      <c r="K596" s="4">
        <v>0</v>
      </c>
      <c r="L596" s="3" t="s">
        <v>95</v>
      </c>
      <c r="M596" s="3">
        <v>16</v>
      </c>
      <c r="N596" s="3">
        <v>9</v>
      </c>
      <c r="O596" s="3">
        <v>4</v>
      </c>
      <c r="P596" s="11">
        <f>Clean_Data[[#This Row],[Quantity]]*Clean_Data[[#This Row],[UnitPrice]]</f>
        <v>380</v>
      </c>
      <c r="Q596" s="11">
        <f>ROUND(Clean_Data[[#This Row],[GrossSales]]*Clean_Data[[#This Row],[DiscountPct]],2)</f>
        <v>0</v>
      </c>
      <c r="R596" s="11">
        <f>IF(Clean_Data[[#This Row],[Status]]="Delivered",ROUND(Clean_Data[[#This Row],[GrossSales]]-Clean_Data[[#This Row],[DiscountAmount]],2),0)</f>
        <v>380</v>
      </c>
      <c r="S596" s="3" t="str">
        <f>IF(Clean_Data[[#This Row],[OrderHour]]&lt;6,"Night",IF(Clean_Data[[#This Row],[OrderHour]]&lt;12,"Morning",IF(Clean_Data[[#This Row],[OrderHour]]&lt;18,"Afternoon","Evening")))</f>
        <v>Evening</v>
      </c>
      <c r="T596" s="3" t="str">
        <f>TEXT(Clean_Data[[#This Row],[OrderDate]],"[$-409]ddd")</f>
        <v>Sun</v>
      </c>
      <c r="U596" s="3">
        <f>WEEKDAY(Clean_Data[[#This Row],[OrderDate]],2)</f>
        <v>7</v>
      </c>
      <c r="V596" s="3">
        <f>INT(Clean_Data[[#This Row],[OrderHour]]/6)+1</f>
        <v>4</v>
      </c>
      <c r="W596" s="3">
        <f>IF(Clean_Data[[#This Row],[Status]]="Delivered",1,0)</f>
        <v>1</v>
      </c>
      <c r="X596" s="3">
        <f>IF(Clean_Data[[#This Row],[Status]]="Delivered",IF(Clean_Data[[#This Row],[DeliveryMinutes]]&lt;=Dashboard!$X$5,1,0),0)</f>
        <v>1</v>
      </c>
      <c r="Y5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6" s="3">
        <f>IF(AND(Clean_Data[[#This Row],[Include]]=1,Clean_Data[[#This Row],[DeliveredFlag]]=1),1,0)</f>
        <v>1</v>
      </c>
      <c r="AA596" s="1">
        <f>IF(COUNTIF($D$2:D596,D596)=1,ROW()-1,ROWS(Clean_Data[OrderID])+1)</f>
        <v>901</v>
      </c>
      <c r="AB596" s="1">
        <f>IF(COUNTIF($F$2:F596,F596)=1,ROW()-1,ROWS(Clean_Data[OrderID])+1)</f>
        <v>901</v>
      </c>
      <c r="AC596" s="1">
        <f>IF(COUNTIF($G$2:G596,G596)=1,ROW()-1,ROWS(Clean_Data[OrderID])+1)</f>
        <v>901</v>
      </c>
      <c r="AD596" s="1">
        <f>IF(COUNTIF($H$2:H596,H596)=1,ROW()-1,ROWS(Clean_Data[OrderID])+1)</f>
        <v>901</v>
      </c>
      <c r="AE596" s="1">
        <f>IF(COUNTIF($V$2:V596,V596)=1,V596,ROWS(Clean_Data[OrderID])+1)</f>
        <v>901</v>
      </c>
      <c r="AF596" s="1">
        <f>IF(COUNTIF($U$2:U596,U596)=1,U596,ROWS(Clean_Data[OrderID])+1)</f>
        <v>901</v>
      </c>
      <c r="AG596" s="1">
        <f>IF(COUNTIF($E$2:E596,E596)=1,ROW()-1,ROWS(Clean_Data[OrderID])+1)</f>
        <v>901</v>
      </c>
    </row>
    <row r="597" spans="1:33" ht="20" customHeight="1">
      <c r="A597" s="3" t="s">
        <v>984</v>
      </c>
      <c r="B597" s="2">
        <v>46285</v>
      </c>
      <c r="C597" s="3">
        <v>12</v>
      </c>
      <c r="D597" s="3" t="s">
        <v>513</v>
      </c>
      <c r="E597" s="3" t="s">
        <v>117</v>
      </c>
      <c r="F597" s="3" t="s">
        <v>121</v>
      </c>
      <c r="G597" s="3" t="s">
        <v>99</v>
      </c>
      <c r="H597" s="3" t="s">
        <v>100</v>
      </c>
      <c r="I597" s="3">
        <v>4</v>
      </c>
      <c r="J597" s="11">
        <v>120</v>
      </c>
      <c r="K597" s="4">
        <v>0</v>
      </c>
      <c r="L597" s="3" t="s">
        <v>95</v>
      </c>
      <c r="M597" s="3">
        <v>22</v>
      </c>
      <c r="N597" s="3">
        <v>6</v>
      </c>
      <c r="O597" s="3">
        <v>4</v>
      </c>
      <c r="P597" s="11">
        <f>Clean_Data[[#This Row],[Quantity]]*Clean_Data[[#This Row],[UnitPrice]]</f>
        <v>480</v>
      </c>
      <c r="Q597" s="11">
        <f>ROUND(Clean_Data[[#This Row],[GrossSales]]*Clean_Data[[#This Row],[DiscountPct]],2)</f>
        <v>0</v>
      </c>
      <c r="R597" s="11">
        <f>IF(Clean_Data[[#This Row],[Status]]="Delivered",ROUND(Clean_Data[[#This Row],[GrossSales]]-Clean_Data[[#This Row],[DiscountAmount]],2),0)</f>
        <v>480</v>
      </c>
      <c r="S597" s="3" t="str">
        <f>IF(Clean_Data[[#This Row],[OrderHour]]&lt;6,"Night",IF(Clean_Data[[#This Row],[OrderHour]]&lt;12,"Morning",IF(Clean_Data[[#This Row],[OrderHour]]&lt;18,"Afternoon","Evening")))</f>
        <v>Afternoon</v>
      </c>
      <c r="T597" s="3" t="str">
        <f>TEXT(Clean_Data[[#This Row],[OrderDate]],"[$-409]ddd")</f>
        <v>Sun</v>
      </c>
      <c r="U597" s="3">
        <f>WEEKDAY(Clean_Data[[#This Row],[OrderDate]],2)</f>
        <v>7</v>
      </c>
      <c r="V597" s="3">
        <f>INT(Clean_Data[[#This Row],[OrderHour]]/6)+1</f>
        <v>3</v>
      </c>
      <c r="W597" s="3">
        <f>IF(Clean_Data[[#This Row],[Status]]="Delivered",1,0)</f>
        <v>1</v>
      </c>
      <c r="X597" s="3">
        <f>IF(Clean_Data[[#This Row],[Status]]="Delivered",IF(Clean_Data[[#This Row],[DeliveryMinutes]]&lt;=Dashboard!$X$5,1,0),0)</f>
        <v>1</v>
      </c>
      <c r="Y5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7" s="3">
        <f>IF(AND(Clean_Data[[#This Row],[Include]]=1,Clean_Data[[#This Row],[DeliveredFlag]]=1),1,0)</f>
        <v>1</v>
      </c>
      <c r="AA597" s="1">
        <f>IF(COUNTIF($D$2:D597,D597)=1,ROW()-1,ROWS(Clean_Data[OrderID])+1)</f>
        <v>901</v>
      </c>
      <c r="AB597" s="1">
        <f>IF(COUNTIF($F$2:F597,F597)=1,ROW()-1,ROWS(Clean_Data[OrderID])+1)</f>
        <v>901</v>
      </c>
      <c r="AC597" s="1">
        <f>IF(COUNTIF($G$2:G597,G597)=1,ROW()-1,ROWS(Clean_Data[OrderID])+1)</f>
        <v>901</v>
      </c>
      <c r="AD597" s="1">
        <f>IF(COUNTIF($H$2:H597,H597)=1,ROW()-1,ROWS(Clean_Data[OrderID])+1)</f>
        <v>901</v>
      </c>
      <c r="AE597" s="1">
        <f>IF(COUNTIF($V$2:V597,V597)=1,V597,ROWS(Clean_Data[OrderID])+1)</f>
        <v>901</v>
      </c>
      <c r="AF597" s="1">
        <f>IF(COUNTIF($U$2:U597,U597)=1,U597,ROWS(Clean_Data[OrderID])+1)</f>
        <v>901</v>
      </c>
      <c r="AG597" s="1">
        <f>IF(COUNTIF($E$2:E597,E597)=1,ROW()-1,ROWS(Clean_Data[OrderID])+1)</f>
        <v>901</v>
      </c>
    </row>
    <row r="598" spans="1:33" ht="20" customHeight="1">
      <c r="A598" s="3" t="s">
        <v>985</v>
      </c>
      <c r="B598" s="2">
        <v>46285</v>
      </c>
      <c r="C598" s="3">
        <v>8</v>
      </c>
      <c r="D598" s="3" t="s">
        <v>273</v>
      </c>
      <c r="E598" s="3" t="s">
        <v>117</v>
      </c>
      <c r="F598" s="3" t="s">
        <v>121</v>
      </c>
      <c r="G598" s="3" t="s">
        <v>135</v>
      </c>
      <c r="H598" s="3" t="s">
        <v>162</v>
      </c>
      <c r="I598" s="3">
        <v>4</v>
      </c>
      <c r="J598" s="11">
        <v>180</v>
      </c>
      <c r="K598" s="4">
        <v>0</v>
      </c>
      <c r="L598" s="3" t="s">
        <v>95</v>
      </c>
      <c r="M598" s="3">
        <v>26</v>
      </c>
      <c r="N598" s="3">
        <v>11</v>
      </c>
      <c r="O598" s="3">
        <v>4</v>
      </c>
      <c r="P598" s="11">
        <f>Clean_Data[[#This Row],[Quantity]]*Clean_Data[[#This Row],[UnitPrice]]</f>
        <v>720</v>
      </c>
      <c r="Q598" s="11">
        <f>ROUND(Clean_Data[[#This Row],[GrossSales]]*Clean_Data[[#This Row],[DiscountPct]],2)</f>
        <v>0</v>
      </c>
      <c r="R598" s="11">
        <f>IF(Clean_Data[[#This Row],[Status]]="Delivered",ROUND(Clean_Data[[#This Row],[GrossSales]]-Clean_Data[[#This Row],[DiscountAmount]],2),0)</f>
        <v>720</v>
      </c>
      <c r="S598" s="3" t="str">
        <f>IF(Clean_Data[[#This Row],[OrderHour]]&lt;6,"Night",IF(Clean_Data[[#This Row],[OrderHour]]&lt;12,"Morning",IF(Clean_Data[[#This Row],[OrderHour]]&lt;18,"Afternoon","Evening")))</f>
        <v>Morning</v>
      </c>
      <c r="T598" s="3" t="str">
        <f>TEXT(Clean_Data[[#This Row],[OrderDate]],"[$-409]ddd")</f>
        <v>Sun</v>
      </c>
      <c r="U598" s="3">
        <f>WEEKDAY(Clean_Data[[#This Row],[OrderDate]],2)</f>
        <v>7</v>
      </c>
      <c r="V598" s="3">
        <f>INT(Clean_Data[[#This Row],[OrderHour]]/6)+1</f>
        <v>2</v>
      </c>
      <c r="W598" s="3">
        <f>IF(Clean_Data[[#This Row],[Status]]="Delivered",1,0)</f>
        <v>1</v>
      </c>
      <c r="X598" s="3">
        <f>IF(Clean_Data[[#This Row],[Status]]="Delivered",IF(Clean_Data[[#This Row],[DeliveryMinutes]]&lt;=Dashboard!$X$5,1,0),0)</f>
        <v>1</v>
      </c>
      <c r="Y5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8" s="3">
        <f>IF(AND(Clean_Data[[#This Row],[Include]]=1,Clean_Data[[#This Row],[DeliveredFlag]]=1),1,0)</f>
        <v>1</v>
      </c>
      <c r="AA598" s="1">
        <f>IF(COUNTIF($D$2:D598,D598)=1,ROW()-1,ROWS(Clean_Data[OrderID])+1)</f>
        <v>901</v>
      </c>
      <c r="AB598" s="1">
        <f>IF(COUNTIF($F$2:F598,F598)=1,ROW()-1,ROWS(Clean_Data[OrderID])+1)</f>
        <v>901</v>
      </c>
      <c r="AC598" s="1">
        <f>IF(COUNTIF($G$2:G598,G598)=1,ROW()-1,ROWS(Clean_Data[OrderID])+1)</f>
        <v>901</v>
      </c>
      <c r="AD598" s="1">
        <f>IF(COUNTIF($H$2:H598,H598)=1,ROW()-1,ROWS(Clean_Data[OrderID])+1)</f>
        <v>901</v>
      </c>
      <c r="AE598" s="1">
        <f>IF(COUNTIF($V$2:V598,V598)=1,V598,ROWS(Clean_Data[OrderID])+1)</f>
        <v>901</v>
      </c>
      <c r="AF598" s="1">
        <f>IF(COUNTIF($U$2:U598,U598)=1,U598,ROWS(Clean_Data[OrderID])+1)</f>
        <v>901</v>
      </c>
      <c r="AG598" s="1">
        <f>IF(COUNTIF($E$2:E598,E598)=1,ROW()-1,ROWS(Clean_Data[OrderID])+1)</f>
        <v>901</v>
      </c>
    </row>
    <row r="599" spans="1:33" ht="20" customHeight="1">
      <c r="A599" s="3" t="s">
        <v>986</v>
      </c>
      <c r="B599" s="2">
        <v>46285</v>
      </c>
      <c r="C599" s="3">
        <v>18</v>
      </c>
      <c r="D599" s="3" t="s">
        <v>367</v>
      </c>
      <c r="E599" s="3" t="s">
        <v>117</v>
      </c>
      <c r="F599" s="3" t="s">
        <v>92</v>
      </c>
      <c r="G599" s="3" t="s">
        <v>93</v>
      </c>
      <c r="H599" s="3" t="s">
        <v>146</v>
      </c>
      <c r="I599" s="3">
        <v>4</v>
      </c>
      <c r="J599" s="11">
        <v>110</v>
      </c>
      <c r="K599" s="4">
        <v>0.15</v>
      </c>
      <c r="L599" s="3" t="s">
        <v>95</v>
      </c>
      <c r="M599" s="3">
        <v>27</v>
      </c>
      <c r="N599" s="3">
        <v>8</v>
      </c>
      <c r="O599" s="3">
        <v>3</v>
      </c>
      <c r="P599" s="11">
        <f>Clean_Data[[#This Row],[Quantity]]*Clean_Data[[#This Row],[UnitPrice]]</f>
        <v>440</v>
      </c>
      <c r="Q599" s="11">
        <f>ROUND(Clean_Data[[#This Row],[GrossSales]]*Clean_Data[[#This Row],[DiscountPct]],2)</f>
        <v>66</v>
      </c>
      <c r="R599" s="11">
        <f>IF(Clean_Data[[#This Row],[Status]]="Delivered",ROUND(Clean_Data[[#This Row],[GrossSales]]-Clean_Data[[#This Row],[DiscountAmount]],2),0)</f>
        <v>374</v>
      </c>
      <c r="S599" s="3" t="str">
        <f>IF(Clean_Data[[#This Row],[OrderHour]]&lt;6,"Night",IF(Clean_Data[[#This Row],[OrderHour]]&lt;12,"Morning",IF(Clean_Data[[#This Row],[OrderHour]]&lt;18,"Afternoon","Evening")))</f>
        <v>Evening</v>
      </c>
      <c r="T599" s="3" t="str">
        <f>TEXT(Clean_Data[[#This Row],[OrderDate]],"[$-409]ddd")</f>
        <v>Sun</v>
      </c>
      <c r="U599" s="3">
        <f>WEEKDAY(Clean_Data[[#This Row],[OrderDate]],2)</f>
        <v>7</v>
      </c>
      <c r="V599" s="3">
        <f>INT(Clean_Data[[#This Row],[OrderHour]]/6)+1</f>
        <v>4</v>
      </c>
      <c r="W599" s="3">
        <f>IF(Clean_Data[[#This Row],[Status]]="Delivered",1,0)</f>
        <v>1</v>
      </c>
      <c r="X599" s="3">
        <f>IF(Clean_Data[[#This Row],[Status]]="Delivered",IF(Clean_Data[[#This Row],[DeliveryMinutes]]&lt;=Dashboard!$X$5,1,0),0)</f>
        <v>1</v>
      </c>
      <c r="Y5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599" s="3">
        <f>IF(AND(Clean_Data[[#This Row],[Include]]=1,Clean_Data[[#This Row],[DeliveredFlag]]=1),1,0)</f>
        <v>1</v>
      </c>
      <c r="AA599" s="1">
        <f>IF(COUNTIF($D$2:D599,D599)=1,ROW()-1,ROWS(Clean_Data[OrderID])+1)</f>
        <v>901</v>
      </c>
      <c r="AB599" s="1">
        <f>IF(COUNTIF($F$2:F599,F599)=1,ROW()-1,ROWS(Clean_Data[OrderID])+1)</f>
        <v>901</v>
      </c>
      <c r="AC599" s="1">
        <f>IF(COUNTIF($G$2:G599,G599)=1,ROW()-1,ROWS(Clean_Data[OrderID])+1)</f>
        <v>901</v>
      </c>
      <c r="AD599" s="1">
        <f>IF(COUNTIF($H$2:H599,H599)=1,ROW()-1,ROWS(Clean_Data[OrderID])+1)</f>
        <v>901</v>
      </c>
      <c r="AE599" s="1">
        <f>IF(COUNTIF($V$2:V599,V599)=1,V599,ROWS(Clean_Data[OrderID])+1)</f>
        <v>901</v>
      </c>
      <c r="AF599" s="1">
        <f>IF(COUNTIF($U$2:U599,U599)=1,U599,ROWS(Clean_Data[OrderID])+1)</f>
        <v>901</v>
      </c>
      <c r="AG599" s="1">
        <f>IF(COUNTIF($E$2:E599,E599)=1,ROW()-1,ROWS(Clean_Data[OrderID])+1)</f>
        <v>901</v>
      </c>
    </row>
    <row r="600" spans="1:33" ht="20" customHeight="1">
      <c r="A600" s="3" t="s">
        <v>987</v>
      </c>
      <c r="B600" s="2">
        <v>46285</v>
      </c>
      <c r="C600" s="3">
        <v>7</v>
      </c>
      <c r="D600" s="3" t="s">
        <v>579</v>
      </c>
      <c r="E600" s="3" t="s">
        <v>117</v>
      </c>
      <c r="F600" s="3" t="s">
        <v>98</v>
      </c>
      <c r="G600" s="3" t="s">
        <v>110</v>
      </c>
      <c r="H600" s="3" t="s">
        <v>206</v>
      </c>
      <c r="I600" s="3">
        <v>5</v>
      </c>
      <c r="J600" s="11">
        <v>220</v>
      </c>
      <c r="K600" s="4">
        <v>0.15</v>
      </c>
      <c r="L600" s="3" t="s">
        <v>95</v>
      </c>
      <c r="M600" s="3">
        <v>19</v>
      </c>
      <c r="N600" s="3">
        <v>12</v>
      </c>
      <c r="O600" s="3">
        <v>4</v>
      </c>
      <c r="P600" s="11">
        <f>Clean_Data[[#This Row],[Quantity]]*Clean_Data[[#This Row],[UnitPrice]]</f>
        <v>1100</v>
      </c>
      <c r="Q600" s="11">
        <f>ROUND(Clean_Data[[#This Row],[GrossSales]]*Clean_Data[[#This Row],[DiscountPct]],2)</f>
        <v>165</v>
      </c>
      <c r="R600" s="11">
        <f>IF(Clean_Data[[#This Row],[Status]]="Delivered",ROUND(Clean_Data[[#This Row],[GrossSales]]-Clean_Data[[#This Row],[DiscountAmount]],2),0)</f>
        <v>935</v>
      </c>
      <c r="S600" s="3" t="str">
        <f>IF(Clean_Data[[#This Row],[OrderHour]]&lt;6,"Night",IF(Clean_Data[[#This Row],[OrderHour]]&lt;12,"Morning",IF(Clean_Data[[#This Row],[OrderHour]]&lt;18,"Afternoon","Evening")))</f>
        <v>Morning</v>
      </c>
      <c r="T600" s="3" t="str">
        <f>TEXT(Clean_Data[[#This Row],[OrderDate]],"[$-409]ddd")</f>
        <v>Sun</v>
      </c>
      <c r="U600" s="3">
        <f>WEEKDAY(Clean_Data[[#This Row],[OrderDate]],2)</f>
        <v>7</v>
      </c>
      <c r="V600" s="3">
        <f>INT(Clean_Data[[#This Row],[OrderHour]]/6)+1</f>
        <v>2</v>
      </c>
      <c r="W600" s="3">
        <f>IF(Clean_Data[[#This Row],[Status]]="Delivered",1,0)</f>
        <v>1</v>
      </c>
      <c r="X600" s="3">
        <f>IF(Clean_Data[[#This Row],[Status]]="Delivered",IF(Clean_Data[[#This Row],[DeliveryMinutes]]&lt;=Dashboard!$X$5,1,0),0)</f>
        <v>1</v>
      </c>
      <c r="Y6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0" s="3">
        <f>IF(AND(Clean_Data[[#This Row],[Include]]=1,Clean_Data[[#This Row],[DeliveredFlag]]=1),1,0)</f>
        <v>1</v>
      </c>
      <c r="AA600" s="1">
        <f>IF(COUNTIF($D$2:D600,D600)=1,ROW()-1,ROWS(Clean_Data[OrderID])+1)</f>
        <v>901</v>
      </c>
      <c r="AB600" s="1">
        <f>IF(COUNTIF($F$2:F600,F600)=1,ROW()-1,ROWS(Clean_Data[OrderID])+1)</f>
        <v>901</v>
      </c>
      <c r="AC600" s="1">
        <f>IF(COUNTIF($G$2:G600,G600)=1,ROW()-1,ROWS(Clean_Data[OrderID])+1)</f>
        <v>901</v>
      </c>
      <c r="AD600" s="1">
        <f>IF(COUNTIF($H$2:H600,H600)=1,ROW()-1,ROWS(Clean_Data[OrderID])+1)</f>
        <v>901</v>
      </c>
      <c r="AE600" s="1">
        <f>IF(COUNTIF($V$2:V600,V600)=1,V600,ROWS(Clean_Data[OrderID])+1)</f>
        <v>901</v>
      </c>
      <c r="AF600" s="1">
        <f>IF(COUNTIF($U$2:U600,U600)=1,U600,ROWS(Clean_Data[OrderID])+1)</f>
        <v>901</v>
      </c>
      <c r="AG600" s="1">
        <f>IF(COUNTIF($E$2:E600,E600)=1,ROW()-1,ROWS(Clean_Data[OrderID])+1)</f>
        <v>901</v>
      </c>
    </row>
    <row r="601" spans="1:33" ht="20" customHeight="1">
      <c r="A601" s="3" t="s">
        <v>988</v>
      </c>
      <c r="B601" s="2">
        <v>46285</v>
      </c>
      <c r="C601" s="3">
        <v>12</v>
      </c>
      <c r="D601" s="3" t="s">
        <v>944</v>
      </c>
      <c r="E601" s="3" t="s">
        <v>91</v>
      </c>
      <c r="F601" s="3" t="s">
        <v>98</v>
      </c>
      <c r="G601" s="3" t="s">
        <v>135</v>
      </c>
      <c r="H601" s="3" t="s">
        <v>217</v>
      </c>
      <c r="I601" s="3">
        <v>2</v>
      </c>
      <c r="J601" s="11">
        <v>65</v>
      </c>
      <c r="K601" s="4">
        <v>0.15</v>
      </c>
      <c r="L601" s="3" t="s">
        <v>101</v>
      </c>
      <c r="M601" s="3"/>
      <c r="N601" s="3"/>
      <c r="O601" s="3"/>
      <c r="P601" s="11">
        <f>Clean_Data[[#This Row],[Quantity]]*Clean_Data[[#This Row],[UnitPrice]]</f>
        <v>130</v>
      </c>
      <c r="Q601" s="11">
        <f>ROUND(Clean_Data[[#This Row],[GrossSales]]*Clean_Data[[#This Row],[DiscountPct]],2)</f>
        <v>19.5</v>
      </c>
      <c r="R601" s="11">
        <f>IF(Clean_Data[[#This Row],[Status]]="Delivered",ROUND(Clean_Data[[#This Row],[GrossSales]]-Clean_Data[[#This Row],[DiscountAmount]],2),0)</f>
        <v>0</v>
      </c>
      <c r="S601" s="3" t="str">
        <f>IF(Clean_Data[[#This Row],[OrderHour]]&lt;6,"Night",IF(Clean_Data[[#This Row],[OrderHour]]&lt;12,"Morning",IF(Clean_Data[[#This Row],[OrderHour]]&lt;18,"Afternoon","Evening")))</f>
        <v>Afternoon</v>
      </c>
      <c r="T601" s="3" t="str">
        <f>TEXT(Clean_Data[[#This Row],[OrderDate]],"[$-409]ddd")</f>
        <v>Sun</v>
      </c>
      <c r="U601" s="3">
        <f>WEEKDAY(Clean_Data[[#This Row],[OrderDate]],2)</f>
        <v>7</v>
      </c>
      <c r="V601" s="3">
        <f>INT(Clean_Data[[#This Row],[OrderHour]]/6)+1</f>
        <v>3</v>
      </c>
      <c r="W601" s="3">
        <f>IF(Clean_Data[[#This Row],[Status]]="Delivered",1,0)</f>
        <v>0</v>
      </c>
      <c r="X601" s="3">
        <f>IF(Clean_Data[[#This Row],[Status]]="Delivered",IF(Clean_Data[[#This Row],[DeliveryMinutes]]&lt;=Dashboard!$X$5,1,0),0)</f>
        <v>0</v>
      </c>
      <c r="Y6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1" s="3">
        <f>IF(AND(Clean_Data[[#This Row],[Include]]=1,Clean_Data[[#This Row],[DeliveredFlag]]=1),1,0)</f>
        <v>0</v>
      </c>
      <c r="AA601" s="1">
        <f>IF(COUNTIF($D$2:D601,D601)=1,ROW()-1,ROWS(Clean_Data[OrderID])+1)</f>
        <v>901</v>
      </c>
      <c r="AB601" s="1">
        <f>IF(COUNTIF($F$2:F601,F601)=1,ROW()-1,ROWS(Clean_Data[OrderID])+1)</f>
        <v>901</v>
      </c>
      <c r="AC601" s="1">
        <f>IF(COUNTIF($G$2:G601,G601)=1,ROW()-1,ROWS(Clean_Data[OrderID])+1)</f>
        <v>901</v>
      </c>
      <c r="AD601" s="1">
        <f>IF(COUNTIF($H$2:H601,H601)=1,ROW()-1,ROWS(Clean_Data[OrderID])+1)</f>
        <v>901</v>
      </c>
      <c r="AE601" s="1">
        <f>IF(COUNTIF($V$2:V601,V601)=1,V601,ROWS(Clean_Data[OrderID])+1)</f>
        <v>901</v>
      </c>
      <c r="AF601" s="1">
        <f>IF(COUNTIF($U$2:U601,U601)=1,U601,ROWS(Clean_Data[OrderID])+1)</f>
        <v>901</v>
      </c>
      <c r="AG601" s="1">
        <f>IF(COUNTIF($E$2:E601,E601)=1,ROW()-1,ROWS(Clean_Data[OrderID])+1)</f>
        <v>901</v>
      </c>
    </row>
    <row r="602" spans="1:33" ht="20" customHeight="1">
      <c r="A602" s="3" t="s">
        <v>989</v>
      </c>
      <c r="B602" s="2">
        <v>46286</v>
      </c>
      <c r="C602" s="3">
        <v>19</v>
      </c>
      <c r="D602" s="3" t="s">
        <v>990</v>
      </c>
      <c r="E602" s="3" t="s">
        <v>91</v>
      </c>
      <c r="F602" s="3" t="s">
        <v>98</v>
      </c>
      <c r="G602" s="3" t="s">
        <v>135</v>
      </c>
      <c r="H602" s="3" t="s">
        <v>162</v>
      </c>
      <c r="I602" s="3">
        <v>3</v>
      </c>
      <c r="J602" s="11">
        <v>180</v>
      </c>
      <c r="K602" s="4">
        <v>0.05</v>
      </c>
      <c r="L602" s="3" t="s">
        <v>101</v>
      </c>
      <c r="M602" s="3"/>
      <c r="N602" s="3"/>
      <c r="O602" s="3"/>
      <c r="P602" s="11">
        <f>Clean_Data[[#This Row],[Quantity]]*Clean_Data[[#This Row],[UnitPrice]]</f>
        <v>540</v>
      </c>
      <c r="Q602" s="11">
        <f>ROUND(Clean_Data[[#This Row],[GrossSales]]*Clean_Data[[#This Row],[DiscountPct]],2)</f>
        <v>27</v>
      </c>
      <c r="R602" s="11">
        <f>IF(Clean_Data[[#This Row],[Status]]="Delivered",ROUND(Clean_Data[[#This Row],[GrossSales]]-Clean_Data[[#This Row],[DiscountAmount]],2),0)</f>
        <v>0</v>
      </c>
      <c r="S602" s="3" t="str">
        <f>IF(Clean_Data[[#This Row],[OrderHour]]&lt;6,"Night",IF(Clean_Data[[#This Row],[OrderHour]]&lt;12,"Morning",IF(Clean_Data[[#This Row],[OrderHour]]&lt;18,"Afternoon","Evening")))</f>
        <v>Evening</v>
      </c>
      <c r="T602" s="3" t="str">
        <f>TEXT(Clean_Data[[#This Row],[OrderDate]],"[$-409]ddd")</f>
        <v>Mon</v>
      </c>
      <c r="U602" s="3">
        <f>WEEKDAY(Clean_Data[[#This Row],[OrderDate]],2)</f>
        <v>1</v>
      </c>
      <c r="V602" s="3">
        <f>INT(Clean_Data[[#This Row],[OrderHour]]/6)+1</f>
        <v>4</v>
      </c>
      <c r="W602" s="3">
        <f>IF(Clean_Data[[#This Row],[Status]]="Delivered",1,0)</f>
        <v>0</v>
      </c>
      <c r="X602" s="3">
        <f>IF(Clean_Data[[#This Row],[Status]]="Delivered",IF(Clean_Data[[#This Row],[DeliveryMinutes]]&lt;=Dashboard!$X$5,1,0),0)</f>
        <v>0</v>
      </c>
      <c r="Y6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2" s="3">
        <f>IF(AND(Clean_Data[[#This Row],[Include]]=1,Clean_Data[[#This Row],[DeliveredFlag]]=1),1,0)</f>
        <v>0</v>
      </c>
      <c r="AA602" s="1">
        <f>IF(COUNTIF($D$2:D602,D602)=1,ROW()-1,ROWS(Clean_Data[OrderID])+1)</f>
        <v>601</v>
      </c>
      <c r="AB602" s="1">
        <f>IF(COUNTIF($F$2:F602,F602)=1,ROW()-1,ROWS(Clean_Data[OrderID])+1)</f>
        <v>901</v>
      </c>
      <c r="AC602" s="1">
        <f>IF(COUNTIF($G$2:G602,G602)=1,ROW()-1,ROWS(Clean_Data[OrderID])+1)</f>
        <v>901</v>
      </c>
      <c r="AD602" s="1">
        <f>IF(COUNTIF($H$2:H602,H602)=1,ROW()-1,ROWS(Clean_Data[OrderID])+1)</f>
        <v>901</v>
      </c>
      <c r="AE602" s="1">
        <f>IF(COUNTIF($V$2:V602,V602)=1,V602,ROWS(Clean_Data[OrderID])+1)</f>
        <v>901</v>
      </c>
      <c r="AF602" s="1">
        <f>IF(COUNTIF($U$2:U602,U602)=1,U602,ROWS(Clean_Data[OrderID])+1)</f>
        <v>901</v>
      </c>
      <c r="AG602" s="1">
        <f>IF(COUNTIF($E$2:E602,E602)=1,ROW()-1,ROWS(Clean_Data[OrderID])+1)</f>
        <v>901</v>
      </c>
    </row>
    <row r="603" spans="1:33" ht="20" customHeight="1">
      <c r="A603" s="3" t="s">
        <v>991</v>
      </c>
      <c r="B603" s="2">
        <v>46286</v>
      </c>
      <c r="C603" s="3">
        <v>18</v>
      </c>
      <c r="D603" s="3" t="s">
        <v>992</v>
      </c>
      <c r="E603" s="3" t="s">
        <v>91</v>
      </c>
      <c r="F603" s="3" t="s">
        <v>139</v>
      </c>
      <c r="G603" s="3" t="s">
        <v>99</v>
      </c>
      <c r="H603" s="3" t="s">
        <v>100</v>
      </c>
      <c r="I603" s="3">
        <v>3</v>
      </c>
      <c r="J603" s="11">
        <v>120</v>
      </c>
      <c r="K603" s="4">
        <v>0.05</v>
      </c>
      <c r="L603" s="3" t="s">
        <v>95</v>
      </c>
      <c r="M603" s="3">
        <v>31</v>
      </c>
      <c r="N603" s="3">
        <v>13</v>
      </c>
      <c r="O603" s="3">
        <v>4</v>
      </c>
      <c r="P603" s="11">
        <f>Clean_Data[[#This Row],[Quantity]]*Clean_Data[[#This Row],[UnitPrice]]</f>
        <v>360</v>
      </c>
      <c r="Q603" s="11">
        <f>ROUND(Clean_Data[[#This Row],[GrossSales]]*Clean_Data[[#This Row],[DiscountPct]],2)</f>
        <v>18</v>
      </c>
      <c r="R603" s="11">
        <f>IF(Clean_Data[[#This Row],[Status]]="Delivered",ROUND(Clean_Data[[#This Row],[GrossSales]]-Clean_Data[[#This Row],[DiscountAmount]],2),0)</f>
        <v>342</v>
      </c>
      <c r="S603" s="3" t="str">
        <f>IF(Clean_Data[[#This Row],[OrderHour]]&lt;6,"Night",IF(Clean_Data[[#This Row],[OrderHour]]&lt;12,"Morning",IF(Clean_Data[[#This Row],[OrderHour]]&lt;18,"Afternoon","Evening")))</f>
        <v>Evening</v>
      </c>
      <c r="T603" s="3" t="str">
        <f>TEXT(Clean_Data[[#This Row],[OrderDate]],"[$-409]ddd")</f>
        <v>Mon</v>
      </c>
      <c r="U603" s="3">
        <f>WEEKDAY(Clean_Data[[#This Row],[OrderDate]],2)</f>
        <v>1</v>
      </c>
      <c r="V603" s="3">
        <f>INT(Clean_Data[[#This Row],[OrderHour]]/6)+1</f>
        <v>4</v>
      </c>
      <c r="W603" s="3">
        <f>IF(Clean_Data[[#This Row],[Status]]="Delivered",1,0)</f>
        <v>1</v>
      </c>
      <c r="X603" s="3">
        <f>IF(Clean_Data[[#This Row],[Status]]="Delivered",IF(Clean_Data[[#This Row],[DeliveryMinutes]]&lt;=Dashboard!$X$5,1,0),0)</f>
        <v>0</v>
      </c>
      <c r="Y6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3" s="3">
        <f>IF(AND(Clean_Data[[#This Row],[Include]]=1,Clean_Data[[#This Row],[DeliveredFlag]]=1),1,0)</f>
        <v>1</v>
      </c>
      <c r="AA603" s="1">
        <f>IF(COUNTIF($D$2:D603,D603)=1,ROW()-1,ROWS(Clean_Data[OrderID])+1)</f>
        <v>602</v>
      </c>
      <c r="AB603" s="1">
        <f>IF(COUNTIF($F$2:F603,F603)=1,ROW()-1,ROWS(Clean_Data[OrderID])+1)</f>
        <v>901</v>
      </c>
      <c r="AC603" s="1">
        <f>IF(COUNTIF($G$2:G603,G603)=1,ROW()-1,ROWS(Clean_Data[OrderID])+1)</f>
        <v>901</v>
      </c>
      <c r="AD603" s="1">
        <f>IF(COUNTIF($H$2:H603,H603)=1,ROW()-1,ROWS(Clean_Data[OrderID])+1)</f>
        <v>901</v>
      </c>
      <c r="AE603" s="1">
        <f>IF(COUNTIF($V$2:V603,V603)=1,V603,ROWS(Clean_Data[OrderID])+1)</f>
        <v>901</v>
      </c>
      <c r="AF603" s="1">
        <f>IF(COUNTIF($U$2:U603,U603)=1,U603,ROWS(Clean_Data[OrderID])+1)</f>
        <v>901</v>
      </c>
      <c r="AG603" s="1">
        <f>IF(COUNTIF($E$2:E603,E603)=1,ROW()-1,ROWS(Clean_Data[OrderID])+1)</f>
        <v>901</v>
      </c>
    </row>
    <row r="604" spans="1:33" ht="20" customHeight="1">
      <c r="A604" s="3" t="s">
        <v>993</v>
      </c>
      <c r="B604" s="2">
        <v>46286</v>
      </c>
      <c r="C604" s="3">
        <v>17</v>
      </c>
      <c r="D604" s="3" t="s">
        <v>761</v>
      </c>
      <c r="E604" s="3" t="s">
        <v>91</v>
      </c>
      <c r="F604" s="3" t="s">
        <v>109</v>
      </c>
      <c r="G604" s="3" t="s">
        <v>110</v>
      </c>
      <c r="H604" s="3" t="s">
        <v>206</v>
      </c>
      <c r="I604" s="3">
        <v>5</v>
      </c>
      <c r="J604" s="11">
        <v>220</v>
      </c>
      <c r="K604" s="4">
        <v>0</v>
      </c>
      <c r="L604" s="3" t="s">
        <v>95</v>
      </c>
      <c r="M604" s="3">
        <v>19</v>
      </c>
      <c r="N604" s="3">
        <v>12</v>
      </c>
      <c r="O604" s="3">
        <v>3</v>
      </c>
      <c r="P604" s="11">
        <f>Clean_Data[[#This Row],[Quantity]]*Clean_Data[[#This Row],[UnitPrice]]</f>
        <v>1100</v>
      </c>
      <c r="Q604" s="11">
        <f>ROUND(Clean_Data[[#This Row],[GrossSales]]*Clean_Data[[#This Row],[DiscountPct]],2)</f>
        <v>0</v>
      </c>
      <c r="R604" s="11">
        <f>IF(Clean_Data[[#This Row],[Status]]="Delivered",ROUND(Clean_Data[[#This Row],[GrossSales]]-Clean_Data[[#This Row],[DiscountAmount]],2),0)</f>
        <v>1100</v>
      </c>
      <c r="S604" s="3" t="str">
        <f>IF(Clean_Data[[#This Row],[OrderHour]]&lt;6,"Night",IF(Clean_Data[[#This Row],[OrderHour]]&lt;12,"Morning",IF(Clean_Data[[#This Row],[OrderHour]]&lt;18,"Afternoon","Evening")))</f>
        <v>Afternoon</v>
      </c>
      <c r="T604" s="3" t="str">
        <f>TEXT(Clean_Data[[#This Row],[OrderDate]],"[$-409]ddd")</f>
        <v>Mon</v>
      </c>
      <c r="U604" s="3">
        <f>WEEKDAY(Clean_Data[[#This Row],[OrderDate]],2)</f>
        <v>1</v>
      </c>
      <c r="V604" s="3">
        <f>INT(Clean_Data[[#This Row],[OrderHour]]/6)+1</f>
        <v>3</v>
      </c>
      <c r="W604" s="3">
        <f>IF(Clean_Data[[#This Row],[Status]]="Delivered",1,0)</f>
        <v>1</v>
      </c>
      <c r="X604" s="3">
        <f>IF(Clean_Data[[#This Row],[Status]]="Delivered",IF(Clean_Data[[#This Row],[DeliveryMinutes]]&lt;=Dashboard!$X$5,1,0),0)</f>
        <v>1</v>
      </c>
      <c r="Y6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4" s="3">
        <f>IF(AND(Clean_Data[[#This Row],[Include]]=1,Clean_Data[[#This Row],[DeliveredFlag]]=1),1,0)</f>
        <v>1</v>
      </c>
      <c r="AA604" s="1">
        <f>IF(COUNTIF($D$2:D604,D604)=1,ROW()-1,ROWS(Clean_Data[OrderID])+1)</f>
        <v>901</v>
      </c>
      <c r="AB604" s="1">
        <f>IF(COUNTIF($F$2:F604,F604)=1,ROW()-1,ROWS(Clean_Data[OrderID])+1)</f>
        <v>901</v>
      </c>
      <c r="AC604" s="1">
        <f>IF(COUNTIF($G$2:G604,G604)=1,ROW()-1,ROWS(Clean_Data[OrderID])+1)</f>
        <v>901</v>
      </c>
      <c r="AD604" s="1">
        <f>IF(COUNTIF($H$2:H604,H604)=1,ROW()-1,ROWS(Clean_Data[OrderID])+1)</f>
        <v>901</v>
      </c>
      <c r="AE604" s="1">
        <f>IF(COUNTIF($V$2:V604,V604)=1,V604,ROWS(Clean_Data[OrderID])+1)</f>
        <v>901</v>
      </c>
      <c r="AF604" s="1">
        <f>IF(COUNTIF($U$2:U604,U604)=1,U604,ROWS(Clean_Data[OrderID])+1)</f>
        <v>901</v>
      </c>
      <c r="AG604" s="1">
        <f>IF(COUNTIF($E$2:E604,E604)=1,ROW()-1,ROWS(Clean_Data[OrderID])+1)</f>
        <v>901</v>
      </c>
    </row>
    <row r="605" spans="1:33" ht="20" customHeight="1">
      <c r="A605" s="3" t="s">
        <v>994</v>
      </c>
      <c r="B605" s="2">
        <v>46286</v>
      </c>
      <c r="C605" s="3">
        <v>22</v>
      </c>
      <c r="D605" s="3" t="s">
        <v>742</v>
      </c>
      <c r="E605" s="3" t="s">
        <v>91</v>
      </c>
      <c r="F605" s="3" t="s">
        <v>139</v>
      </c>
      <c r="G605" s="3" t="s">
        <v>93</v>
      </c>
      <c r="H605" s="3" t="s">
        <v>146</v>
      </c>
      <c r="I605" s="3">
        <v>6</v>
      </c>
      <c r="J605" s="11">
        <v>110</v>
      </c>
      <c r="K605" s="4">
        <v>0.15</v>
      </c>
      <c r="L605" s="3" t="s">
        <v>101</v>
      </c>
      <c r="M605" s="3"/>
      <c r="N605" s="3"/>
      <c r="O605" s="3"/>
      <c r="P605" s="11">
        <f>Clean_Data[[#This Row],[Quantity]]*Clean_Data[[#This Row],[UnitPrice]]</f>
        <v>660</v>
      </c>
      <c r="Q605" s="11">
        <f>ROUND(Clean_Data[[#This Row],[GrossSales]]*Clean_Data[[#This Row],[DiscountPct]],2)</f>
        <v>99</v>
      </c>
      <c r="R605" s="11">
        <f>IF(Clean_Data[[#This Row],[Status]]="Delivered",ROUND(Clean_Data[[#This Row],[GrossSales]]-Clean_Data[[#This Row],[DiscountAmount]],2),0)</f>
        <v>0</v>
      </c>
      <c r="S605" s="3" t="str">
        <f>IF(Clean_Data[[#This Row],[OrderHour]]&lt;6,"Night",IF(Clean_Data[[#This Row],[OrderHour]]&lt;12,"Morning",IF(Clean_Data[[#This Row],[OrderHour]]&lt;18,"Afternoon","Evening")))</f>
        <v>Evening</v>
      </c>
      <c r="T605" s="3" t="str">
        <f>TEXT(Clean_Data[[#This Row],[OrderDate]],"[$-409]ddd")</f>
        <v>Mon</v>
      </c>
      <c r="U605" s="3">
        <f>WEEKDAY(Clean_Data[[#This Row],[OrderDate]],2)</f>
        <v>1</v>
      </c>
      <c r="V605" s="3">
        <f>INT(Clean_Data[[#This Row],[OrderHour]]/6)+1</f>
        <v>4</v>
      </c>
      <c r="W605" s="3">
        <f>IF(Clean_Data[[#This Row],[Status]]="Delivered",1,0)</f>
        <v>0</v>
      </c>
      <c r="X605" s="3">
        <f>IF(Clean_Data[[#This Row],[Status]]="Delivered",IF(Clean_Data[[#This Row],[DeliveryMinutes]]&lt;=Dashboard!$X$5,1,0),0)</f>
        <v>0</v>
      </c>
      <c r="Y6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5" s="3">
        <f>IF(AND(Clean_Data[[#This Row],[Include]]=1,Clean_Data[[#This Row],[DeliveredFlag]]=1),1,0)</f>
        <v>0</v>
      </c>
      <c r="AA605" s="1">
        <f>IF(COUNTIF($D$2:D605,D605)=1,ROW()-1,ROWS(Clean_Data[OrderID])+1)</f>
        <v>901</v>
      </c>
      <c r="AB605" s="1">
        <f>IF(COUNTIF($F$2:F605,F605)=1,ROW()-1,ROWS(Clean_Data[OrderID])+1)</f>
        <v>901</v>
      </c>
      <c r="AC605" s="1">
        <f>IF(COUNTIF($G$2:G605,G605)=1,ROW()-1,ROWS(Clean_Data[OrderID])+1)</f>
        <v>901</v>
      </c>
      <c r="AD605" s="1">
        <f>IF(COUNTIF($H$2:H605,H605)=1,ROW()-1,ROWS(Clean_Data[OrderID])+1)</f>
        <v>901</v>
      </c>
      <c r="AE605" s="1">
        <f>IF(COUNTIF($V$2:V605,V605)=1,V605,ROWS(Clean_Data[OrderID])+1)</f>
        <v>901</v>
      </c>
      <c r="AF605" s="1">
        <f>IF(COUNTIF($U$2:U605,U605)=1,U605,ROWS(Clean_Data[OrderID])+1)</f>
        <v>901</v>
      </c>
      <c r="AG605" s="1">
        <f>IF(COUNTIF($E$2:E605,E605)=1,ROW()-1,ROWS(Clean_Data[OrderID])+1)</f>
        <v>901</v>
      </c>
    </row>
    <row r="606" spans="1:33" ht="20" customHeight="1">
      <c r="A606" s="3" t="s">
        <v>995</v>
      </c>
      <c r="B606" s="2">
        <v>46286</v>
      </c>
      <c r="C606" s="3">
        <v>17</v>
      </c>
      <c r="D606" s="3" t="s">
        <v>881</v>
      </c>
      <c r="E606" s="3" t="s">
        <v>91</v>
      </c>
      <c r="F606" s="3" t="s">
        <v>109</v>
      </c>
      <c r="G606" s="3" t="s">
        <v>99</v>
      </c>
      <c r="H606" s="3" t="s">
        <v>104</v>
      </c>
      <c r="I606" s="3">
        <v>1</v>
      </c>
      <c r="J606" s="11">
        <v>240</v>
      </c>
      <c r="K606" s="4">
        <v>0.05</v>
      </c>
      <c r="L606" s="3" t="s">
        <v>95</v>
      </c>
      <c r="M606" s="3">
        <v>20</v>
      </c>
      <c r="N606" s="3">
        <v>11</v>
      </c>
      <c r="O606" s="3">
        <v>5</v>
      </c>
      <c r="P606" s="11">
        <f>Clean_Data[[#This Row],[Quantity]]*Clean_Data[[#This Row],[UnitPrice]]</f>
        <v>240</v>
      </c>
      <c r="Q606" s="11">
        <f>ROUND(Clean_Data[[#This Row],[GrossSales]]*Clean_Data[[#This Row],[DiscountPct]],2)</f>
        <v>12</v>
      </c>
      <c r="R606" s="11">
        <f>IF(Clean_Data[[#This Row],[Status]]="Delivered",ROUND(Clean_Data[[#This Row],[GrossSales]]-Clean_Data[[#This Row],[DiscountAmount]],2),0)</f>
        <v>228</v>
      </c>
      <c r="S606" s="3" t="str">
        <f>IF(Clean_Data[[#This Row],[OrderHour]]&lt;6,"Night",IF(Clean_Data[[#This Row],[OrderHour]]&lt;12,"Morning",IF(Clean_Data[[#This Row],[OrderHour]]&lt;18,"Afternoon","Evening")))</f>
        <v>Afternoon</v>
      </c>
      <c r="T606" s="3" t="str">
        <f>TEXT(Clean_Data[[#This Row],[OrderDate]],"[$-409]ddd")</f>
        <v>Mon</v>
      </c>
      <c r="U606" s="3">
        <f>WEEKDAY(Clean_Data[[#This Row],[OrderDate]],2)</f>
        <v>1</v>
      </c>
      <c r="V606" s="3">
        <f>INT(Clean_Data[[#This Row],[OrderHour]]/6)+1</f>
        <v>3</v>
      </c>
      <c r="W606" s="3">
        <f>IF(Clean_Data[[#This Row],[Status]]="Delivered",1,0)</f>
        <v>1</v>
      </c>
      <c r="X606" s="3">
        <f>IF(Clean_Data[[#This Row],[Status]]="Delivered",IF(Clean_Data[[#This Row],[DeliveryMinutes]]&lt;=Dashboard!$X$5,1,0),0)</f>
        <v>1</v>
      </c>
      <c r="Y6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6" s="3">
        <f>IF(AND(Clean_Data[[#This Row],[Include]]=1,Clean_Data[[#This Row],[DeliveredFlag]]=1),1,0)</f>
        <v>1</v>
      </c>
      <c r="AA606" s="1">
        <f>IF(COUNTIF($D$2:D606,D606)=1,ROW()-1,ROWS(Clean_Data[OrderID])+1)</f>
        <v>901</v>
      </c>
      <c r="AB606" s="1">
        <f>IF(COUNTIF($F$2:F606,F606)=1,ROW()-1,ROWS(Clean_Data[OrderID])+1)</f>
        <v>901</v>
      </c>
      <c r="AC606" s="1">
        <f>IF(COUNTIF($G$2:G606,G606)=1,ROW()-1,ROWS(Clean_Data[OrderID])+1)</f>
        <v>901</v>
      </c>
      <c r="AD606" s="1">
        <f>IF(COUNTIF($H$2:H606,H606)=1,ROW()-1,ROWS(Clean_Data[OrderID])+1)</f>
        <v>901</v>
      </c>
      <c r="AE606" s="1">
        <f>IF(COUNTIF($V$2:V606,V606)=1,V606,ROWS(Clean_Data[OrderID])+1)</f>
        <v>901</v>
      </c>
      <c r="AF606" s="1">
        <f>IF(COUNTIF($U$2:U606,U606)=1,U606,ROWS(Clean_Data[OrderID])+1)</f>
        <v>901</v>
      </c>
      <c r="AG606" s="1">
        <f>IF(COUNTIF($E$2:E606,E606)=1,ROW()-1,ROWS(Clean_Data[OrderID])+1)</f>
        <v>901</v>
      </c>
    </row>
    <row r="607" spans="1:33" ht="20" customHeight="1">
      <c r="A607" s="3" t="s">
        <v>996</v>
      </c>
      <c r="B607" s="2">
        <v>46286</v>
      </c>
      <c r="C607" s="3">
        <v>10</v>
      </c>
      <c r="D607" s="3" t="s">
        <v>252</v>
      </c>
      <c r="E607" s="3" t="s">
        <v>91</v>
      </c>
      <c r="F607" s="3" t="s">
        <v>98</v>
      </c>
      <c r="G607" s="3" t="s">
        <v>110</v>
      </c>
      <c r="H607" s="3" t="s">
        <v>114</v>
      </c>
      <c r="I607" s="3">
        <v>2</v>
      </c>
      <c r="J607" s="11">
        <v>145</v>
      </c>
      <c r="K607" s="4">
        <v>0</v>
      </c>
      <c r="L607" s="3" t="s">
        <v>95</v>
      </c>
      <c r="M607" s="3">
        <v>32</v>
      </c>
      <c r="N607" s="3">
        <v>11</v>
      </c>
      <c r="O607" s="3">
        <v>5</v>
      </c>
      <c r="P607" s="11">
        <f>Clean_Data[[#This Row],[Quantity]]*Clean_Data[[#This Row],[UnitPrice]]</f>
        <v>290</v>
      </c>
      <c r="Q607" s="11">
        <f>ROUND(Clean_Data[[#This Row],[GrossSales]]*Clean_Data[[#This Row],[DiscountPct]],2)</f>
        <v>0</v>
      </c>
      <c r="R607" s="11">
        <f>IF(Clean_Data[[#This Row],[Status]]="Delivered",ROUND(Clean_Data[[#This Row],[GrossSales]]-Clean_Data[[#This Row],[DiscountAmount]],2),0)</f>
        <v>290</v>
      </c>
      <c r="S607" s="3" t="str">
        <f>IF(Clean_Data[[#This Row],[OrderHour]]&lt;6,"Night",IF(Clean_Data[[#This Row],[OrderHour]]&lt;12,"Morning",IF(Clean_Data[[#This Row],[OrderHour]]&lt;18,"Afternoon","Evening")))</f>
        <v>Morning</v>
      </c>
      <c r="T607" s="3" t="str">
        <f>TEXT(Clean_Data[[#This Row],[OrderDate]],"[$-409]ddd")</f>
        <v>Mon</v>
      </c>
      <c r="U607" s="3">
        <f>WEEKDAY(Clean_Data[[#This Row],[OrderDate]],2)</f>
        <v>1</v>
      </c>
      <c r="V607" s="3">
        <f>INT(Clean_Data[[#This Row],[OrderHour]]/6)+1</f>
        <v>2</v>
      </c>
      <c r="W607" s="3">
        <f>IF(Clean_Data[[#This Row],[Status]]="Delivered",1,0)</f>
        <v>1</v>
      </c>
      <c r="X607" s="3">
        <f>IF(Clean_Data[[#This Row],[Status]]="Delivered",IF(Clean_Data[[#This Row],[DeliveryMinutes]]&lt;=Dashboard!$X$5,1,0),0)</f>
        <v>0</v>
      </c>
      <c r="Y6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7" s="3">
        <f>IF(AND(Clean_Data[[#This Row],[Include]]=1,Clean_Data[[#This Row],[DeliveredFlag]]=1),1,0)</f>
        <v>1</v>
      </c>
      <c r="AA607" s="1">
        <f>IF(COUNTIF($D$2:D607,D607)=1,ROW()-1,ROWS(Clean_Data[OrderID])+1)</f>
        <v>901</v>
      </c>
      <c r="AB607" s="1">
        <f>IF(COUNTIF($F$2:F607,F607)=1,ROW()-1,ROWS(Clean_Data[OrderID])+1)</f>
        <v>901</v>
      </c>
      <c r="AC607" s="1">
        <f>IF(COUNTIF($G$2:G607,G607)=1,ROW()-1,ROWS(Clean_Data[OrderID])+1)</f>
        <v>901</v>
      </c>
      <c r="AD607" s="1">
        <f>IF(COUNTIF($H$2:H607,H607)=1,ROW()-1,ROWS(Clean_Data[OrderID])+1)</f>
        <v>901</v>
      </c>
      <c r="AE607" s="1">
        <f>IF(COUNTIF($V$2:V607,V607)=1,V607,ROWS(Clean_Data[OrderID])+1)</f>
        <v>901</v>
      </c>
      <c r="AF607" s="1">
        <f>IF(COUNTIF($U$2:U607,U607)=1,U607,ROWS(Clean_Data[OrderID])+1)</f>
        <v>901</v>
      </c>
      <c r="AG607" s="1">
        <f>IF(COUNTIF($E$2:E607,E607)=1,ROW()-1,ROWS(Clean_Data[OrderID])+1)</f>
        <v>901</v>
      </c>
    </row>
    <row r="608" spans="1:33" ht="20" customHeight="1">
      <c r="A608" s="3" t="s">
        <v>997</v>
      </c>
      <c r="B608" s="2">
        <v>46286</v>
      </c>
      <c r="C608" s="3">
        <v>13</v>
      </c>
      <c r="D608" s="3" t="s">
        <v>992</v>
      </c>
      <c r="E608" s="3" t="s">
        <v>91</v>
      </c>
      <c r="F608" s="3" t="s">
        <v>139</v>
      </c>
      <c r="G608" s="3" t="s">
        <v>99</v>
      </c>
      <c r="H608" s="3" t="s">
        <v>104</v>
      </c>
      <c r="I608" s="3">
        <v>3</v>
      </c>
      <c r="J608" s="11">
        <v>240</v>
      </c>
      <c r="K608" s="4">
        <v>0</v>
      </c>
      <c r="L608" s="3" t="s">
        <v>95</v>
      </c>
      <c r="M608" s="3">
        <v>16</v>
      </c>
      <c r="N608" s="3">
        <v>14</v>
      </c>
      <c r="O608" s="3">
        <v>3</v>
      </c>
      <c r="P608" s="11">
        <f>Clean_Data[[#This Row],[Quantity]]*Clean_Data[[#This Row],[UnitPrice]]</f>
        <v>720</v>
      </c>
      <c r="Q608" s="11">
        <f>ROUND(Clean_Data[[#This Row],[GrossSales]]*Clean_Data[[#This Row],[DiscountPct]],2)</f>
        <v>0</v>
      </c>
      <c r="R608" s="11">
        <f>IF(Clean_Data[[#This Row],[Status]]="Delivered",ROUND(Clean_Data[[#This Row],[GrossSales]]-Clean_Data[[#This Row],[DiscountAmount]],2),0)</f>
        <v>720</v>
      </c>
      <c r="S608" s="3" t="str">
        <f>IF(Clean_Data[[#This Row],[OrderHour]]&lt;6,"Night",IF(Clean_Data[[#This Row],[OrderHour]]&lt;12,"Morning",IF(Clean_Data[[#This Row],[OrderHour]]&lt;18,"Afternoon","Evening")))</f>
        <v>Afternoon</v>
      </c>
      <c r="T608" s="3" t="str">
        <f>TEXT(Clean_Data[[#This Row],[OrderDate]],"[$-409]ddd")</f>
        <v>Mon</v>
      </c>
      <c r="U608" s="3">
        <f>WEEKDAY(Clean_Data[[#This Row],[OrderDate]],2)</f>
        <v>1</v>
      </c>
      <c r="V608" s="3">
        <f>INT(Clean_Data[[#This Row],[OrderHour]]/6)+1</f>
        <v>3</v>
      </c>
      <c r="W608" s="3">
        <f>IF(Clean_Data[[#This Row],[Status]]="Delivered",1,0)</f>
        <v>1</v>
      </c>
      <c r="X608" s="3">
        <f>IF(Clean_Data[[#This Row],[Status]]="Delivered",IF(Clean_Data[[#This Row],[DeliveryMinutes]]&lt;=Dashboard!$X$5,1,0),0)</f>
        <v>1</v>
      </c>
      <c r="Y6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8" s="3">
        <f>IF(AND(Clean_Data[[#This Row],[Include]]=1,Clean_Data[[#This Row],[DeliveredFlag]]=1),1,0)</f>
        <v>1</v>
      </c>
      <c r="AA608" s="1">
        <f>IF(COUNTIF($D$2:D608,D608)=1,ROW()-1,ROWS(Clean_Data[OrderID])+1)</f>
        <v>901</v>
      </c>
      <c r="AB608" s="1">
        <f>IF(COUNTIF($F$2:F608,F608)=1,ROW()-1,ROWS(Clean_Data[OrderID])+1)</f>
        <v>901</v>
      </c>
      <c r="AC608" s="1">
        <f>IF(COUNTIF($G$2:G608,G608)=1,ROW()-1,ROWS(Clean_Data[OrderID])+1)</f>
        <v>901</v>
      </c>
      <c r="AD608" s="1">
        <f>IF(COUNTIF($H$2:H608,H608)=1,ROW()-1,ROWS(Clean_Data[OrderID])+1)</f>
        <v>901</v>
      </c>
      <c r="AE608" s="1">
        <f>IF(COUNTIF($V$2:V608,V608)=1,V608,ROWS(Clean_Data[OrderID])+1)</f>
        <v>901</v>
      </c>
      <c r="AF608" s="1">
        <f>IF(COUNTIF($U$2:U608,U608)=1,U608,ROWS(Clean_Data[OrderID])+1)</f>
        <v>901</v>
      </c>
      <c r="AG608" s="1">
        <f>IF(COUNTIF($E$2:E608,E608)=1,ROW()-1,ROWS(Clean_Data[OrderID])+1)</f>
        <v>901</v>
      </c>
    </row>
    <row r="609" spans="1:33" ht="20" customHeight="1">
      <c r="A609" s="3" t="s">
        <v>998</v>
      </c>
      <c r="B609" s="2">
        <v>46286</v>
      </c>
      <c r="C609" s="3">
        <v>10</v>
      </c>
      <c r="D609" s="3" t="s">
        <v>219</v>
      </c>
      <c r="E609" s="3" t="s">
        <v>91</v>
      </c>
      <c r="F609" s="3" t="s">
        <v>121</v>
      </c>
      <c r="G609" s="3" t="s">
        <v>110</v>
      </c>
      <c r="H609" s="3" t="s">
        <v>111</v>
      </c>
      <c r="I609" s="3">
        <v>5</v>
      </c>
      <c r="J609" s="11">
        <v>115</v>
      </c>
      <c r="K609" s="4">
        <v>0</v>
      </c>
      <c r="L609" s="3" t="s">
        <v>95</v>
      </c>
      <c r="M609" s="3">
        <v>25</v>
      </c>
      <c r="N609" s="3">
        <v>14</v>
      </c>
      <c r="O609" s="3">
        <v>5</v>
      </c>
      <c r="P609" s="11">
        <f>Clean_Data[[#This Row],[Quantity]]*Clean_Data[[#This Row],[UnitPrice]]</f>
        <v>575</v>
      </c>
      <c r="Q609" s="11">
        <f>ROUND(Clean_Data[[#This Row],[GrossSales]]*Clean_Data[[#This Row],[DiscountPct]],2)</f>
        <v>0</v>
      </c>
      <c r="R609" s="11">
        <f>IF(Clean_Data[[#This Row],[Status]]="Delivered",ROUND(Clean_Data[[#This Row],[GrossSales]]-Clean_Data[[#This Row],[DiscountAmount]],2),0)</f>
        <v>575</v>
      </c>
      <c r="S609" s="3" t="str">
        <f>IF(Clean_Data[[#This Row],[OrderHour]]&lt;6,"Night",IF(Clean_Data[[#This Row],[OrderHour]]&lt;12,"Morning",IF(Clean_Data[[#This Row],[OrderHour]]&lt;18,"Afternoon","Evening")))</f>
        <v>Morning</v>
      </c>
      <c r="T609" s="3" t="str">
        <f>TEXT(Clean_Data[[#This Row],[OrderDate]],"[$-409]ddd")</f>
        <v>Mon</v>
      </c>
      <c r="U609" s="3">
        <f>WEEKDAY(Clean_Data[[#This Row],[OrderDate]],2)</f>
        <v>1</v>
      </c>
      <c r="V609" s="3">
        <f>INT(Clean_Data[[#This Row],[OrderHour]]/6)+1</f>
        <v>2</v>
      </c>
      <c r="W609" s="3">
        <f>IF(Clean_Data[[#This Row],[Status]]="Delivered",1,0)</f>
        <v>1</v>
      </c>
      <c r="X609" s="3">
        <f>IF(Clean_Data[[#This Row],[Status]]="Delivered",IF(Clean_Data[[#This Row],[DeliveryMinutes]]&lt;=Dashboard!$X$5,1,0),0)</f>
        <v>1</v>
      </c>
      <c r="Y6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09" s="3">
        <f>IF(AND(Clean_Data[[#This Row],[Include]]=1,Clean_Data[[#This Row],[DeliveredFlag]]=1),1,0)</f>
        <v>1</v>
      </c>
      <c r="AA609" s="1">
        <f>IF(COUNTIF($D$2:D609,D609)=1,ROW()-1,ROWS(Clean_Data[OrderID])+1)</f>
        <v>901</v>
      </c>
      <c r="AB609" s="1">
        <f>IF(COUNTIF($F$2:F609,F609)=1,ROW()-1,ROWS(Clean_Data[OrderID])+1)</f>
        <v>901</v>
      </c>
      <c r="AC609" s="1">
        <f>IF(COUNTIF($G$2:G609,G609)=1,ROW()-1,ROWS(Clean_Data[OrderID])+1)</f>
        <v>901</v>
      </c>
      <c r="AD609" s="1">
        <f>IF(COUNTIF($H$2:H609,H609)=1,ROW()-1,ROWS(Clean_Data[OrderID])+1)</f>
        <v>901</v>
      </c>
      <c r="AE609" s="1">
        <f>IF(COUNTIF($V$2:V609,V609)=1,V609,ROWS(Clean_Data[OrderID])+1)</f>
        <v>901</v>
      </c>
      <c r="AF609" s="1">
        <f>IF(COUNTIF($U$2:U609,U609)=1,U609,ROWS(Clean_Data[OrderID])+1)</f>
        <v>901</v>
      </c>
      <c r="AG609" s="1">
        <f>IF(COUNTIF($E$2:E609,E609)=1,ROW()-1,ROWS(Clean_Data[OrderID])+1)</f>
        <v>901</v>
      </c>
    </row>
    <row r="610" spans="1:33" ht="20" customHeight="1">
      <c r="A610" s="3" t="s">
        <v>999</v>
      </c>
      <c r="B610" s="2">
        <v>46286</v>
      </c>
      <c r="C610" s="3">
        <v>16</v>
      </c>
      <c r="D610" s="3" t="s">
        <v>803</v>
      </c>
      <c r="E610" s="3" t="s">
        <v>117</v>
      </c>
      <c r="F610" s="3" t="s">
        <v>92</v>
      </c>
      <c r="G610" s="3" t="s">
        <v>110</v>
      </c>
      <c r="H610" s="3" t="s">
        <v>206</v>
      </c>
      <c r="I610" s="3">
        <v>2</v>
      </c>
      <c r="J610" s="11">
        <v>220</v>
      </c>
      <c r="K610" s="4">
        <v>0.1</v>
      </c>
      <c r="L610" s="3" t="s">
        <v>95</v>
      </c>
      <c r="M610" s="3">
        <v>32</v>
      </c>
      <c r="N610" s="3">
        <v>15</v>
      </c>
      <c r="O610" s="3">
        <v>4</v>
      </c>
      <c r="P610" s="11">
        <f>Clean_Data[[#This Row],[Quantity]]*Clean_Data[[#This Row],[UnitPrice]]</f>
        <v>440</v>
      </c>
      <c r="Q610" s="11">
        <f>ROUND(Clean_Data[[#This Row],[GrossSales]]*Clean_Data[[#This Row],[DiscountPct]],2)</f>
        <v>44</v>
      </c>
      <c r="R610" s="11">
        <f>IF(Clean_Data[[#This Row],[Status]]="Delivered",ROUND(Clean_Data[[#This Row],[GrossSales]]-Clean_Data[[#This Row],[DiscountAmount]],2),0)</f>
        <v>396</v>
      </c>
      <c r="S610" s="3" t="str">
        <f>IF(Clean_Data[[#This Row],[OrderHour]]&lt;6,"Night",IF(Clean_Data[[#This Row],[OrderHour]]&lt;12,"Morning",IF(Clean_Data[[#This Row],[OrderHour]]&lt;18,"Afternoon","Evening")))</f>
        <v>Afternoon</v>
      </c>
      <c r="T610" s="3" t="str">
        <f>TEXT(Clean_Data[[#This Row],[OrderDate]],"[$-409]ddd")</f>
        <v>Mon</v>
      </c>
      <c r="U610" s="3">
        <f>WEEKDAY(Clean_Data[[#This Row],[OrderDate]],2)</f>
        <v>1</v>
      </c>
      <c r="V610" s="3">
        <f>INT(Clean_Data[[#This Row],[OrderHour]]/6)+1</f>
        <v>3</v>
      </c>
      <c r="W610" s="3">
        <f>IF(Clean_Data[[#This Row],[Status]]="Delivered",1,0)</f>
        <v>1</v>
      </c>
      <c r="X610" s="3">
        <f>IF(Clean_Data[[#This Row],[Status]]="Delivered",IF(Clean_Data[[#This Row],[DeliveryMinutes]]&lt;=Dashboard!$X$5,1,0),0)</f>
        <v>0</v>
      </c>
      <c r="Y6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0" s="3">
        <f>IF(AND(Clean_Data[[#This Row],[Include]]=1,Clean_Data[[#This Row],[DeliveredFlag]]=1),1,0)</f>
        <v>1</v>
      </c>
      <c r="AA610" s="1">
        <f>IF(COUNTIF($D$2:D610,D610)=1,ROW()-1,ROWS(Clean_Data[OrderID])+1)</f>
        <v>901</v>
      </c>
      <c r="AB610" s="1">
        <f>IF(COUNTIF($F$2:F610,F610)=1,ROW()-1,ROWS(Clean_Data[OrderID])+1)</f>
        <v>901</v>
      </c>
      <c r="AC610" s="1">
        <f>IF(COUNTIF($G$2:G610,G610)=1,ROW()-1,ROWS(Clean_Data[OrderID])+1)</f>
        <v>901</v>
      </c>
      <c r="AD610" s="1">
        <f>IF(COUNTIF($H$2:H610,H610)=1,ROW()-1,ROWS(Clean_Data[OrderID])+1)</f>
        <v>901</v>
      </c>
      <c r="AE610" s="1">
        <f>IF(COUNTIF($V$2:V610,V610)=1,V610,ROWS(Clean_Data[OrderID])+1)</f>
        <v>901</v>
      </c>
      <c r="AF610" s="1">
        <f>IF(COUNTIF($U$2:U610,U610)=1,U610,ROWS(Clean_Data[OrderID])+1)</f>
        <v>901</v>
      </c>
      <c r="AG610" s="1">
        <f>IF(COUNTIF($E$2:E610,E610)=1,ROW()-1,ROWS(Clean_Data[OrderID])+1)</f>
        <v>901</v>
      </c>
    </row>
    <row r="611" spans="1:33" ht="20" customHeight="1">
      <c r="A611" s="3" t="s">
        <v>1000</v>
      </c>
      <c r="B611" s="2">
        <v>46286</v>
      </c>
      <c r="C611" s="3">
        <v>6</v>
      </c>
      <c r="D611" s="3" t="s">
        <v>279</v>
      </c>
      <c r="E611" s="3" t="s">
        <v>91</v>
      </c>
      <c r="F611" s="3" t="s">
        <v>92</v>
      </c>
      <c r="G611" s="3" t="s">
        <v>99</v>
      </c>
      <c r="H611" s="3" t="s">
        <v>100</v>
      </c>
      <c r="I611" s="3">
        <v>2</v>
      </c>
      <c r="J611" s="11">
        <v>120</v>
      </c>
      <c r="K611" s="4">
        <v>0.15</v>
      </c>
      <c r="L611" s="3" t="s">
        <v>101</v>
      </c>
      <c r="M611" s="3"/>
      <c r="N611" s="3"/>
      <c r="O611" s="3"/>
      <c r="P611" s="11">
        <f>Clean_Data[[#This Row],[Quantity]]*Clean_Data[[#This Row],[UnitPrice]]</f>
        <v>240</v>
      </c>
      <c r="Q611" s="11">
        <f>ROUND(Clean_Data[[#This Row],[GrossSales]]*Clean_Data[[#This Row],[DiscountPct]],2)</f>
        <v>36</v>
      </c>
      <c r="R611" s="11">
        <f>IF(Clean_Data[[#This Row],[Status]]="Delivered",ROUND(Clean_Data[[#This Row],[GrossSales]]-Clean_Data[[#This Row],[DiscountAmount]],2),0)</f>
        <v>0</v>
      </c>
      <c r="S611" s="3" t="str">
        <f>IF(Clean_Data[[#This Row],[OrderHour]]&lt;6,"Night",IF(Clean_Data[[#This Row],[OrderHour]]&lt;12,"Morning",IF(Clean_Data[[#This Row],[OrderHour]]&lt;18,"Afternoon","Evening")))</f>
        <v>Morning</v>
      </c>
      <c r="T611" s="3" t="str">
        <f>TEXT(Clean_Data[[#This Row],[OrderDate]],"[$-409]ddd")</f>
        <v>Mon</v>
      </c>
      <c r="U611" s="3">
        <f>WEEKDAY(Clean_Data[[#This Row],[OrderDate]],2)</f>
        <v>1</v>
      </c>
      <c r="V611" s="3">
        <f>INT(Clean_Data[[#This Row],[OrderHour]]/6)+1</f>
        <v>2</v>
      </c>
      <c r="W611" s="3">
        <f>IF(Clean_Data[[#This Row],[Status]]="Delivered",1,0)</f>
        <v>0</v>
      </c>
      <c r="X611" s="3">
        <f>IF(Clean_Data[[#This Row],[Status]]="Delivered",IF(Clean_Data[[#This Row],[DeliveryMinutes]]&lt;=Dashboard!$X$5,1,0),0)</f>
        <v>0</v>
      </c>
      <c r="Y6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1" s="3">
        <f>IF(AND(Clean_Data[[#This Row],[Include]]=1,Clean_Data[[#This Row],[DeliveredFlag]]=1),1,0)</f>
        <v>0</v>
      </c>
      <c r="AA611" s="1">
        <f>IF(COUNTIF($D$2:D611,D611)=1,ROW()-1,ROWS(Clean_Data[OrderID])+1)</f>
        <v>901</v>
      </c>
      <c r="AB611" s="1">
        <f>IF(COUNTIF($F$2:F611,F611)=1,ROW()-1,ROWS(Clean_Data[OrderID])+1)</f>
        <v>901</v>
      </c>
      <c r="AC611" s="1">
        <f>IF(COUNTIF($G$2:G611,G611)=1,ROW()-1,ROWS(Clean_Data[OrderID])+1)</f>
        <v>901</v>
      </c>
      <c r="AD611" s="1">
        <f>IF(COUNTIF($H$2:H611,H611)=1,ROW()-1,ROWS(Clean_Data[OrderID])+1)</f>
        <v>901</v>
      </c>
      <c r="AE611" s="1">
        <f>IF(COUNTIF($V$2:V611,V611)=1,V611,ROWS(Clean_Data[OrderID])+1)</f>
        <v>901</v>
      </c>
      <c r="AF611" s="1">
        <f>IF(COUNTIF($U$2:U611,U611)=1,U611,ROWS(Clean_Data[OrderID])+1)</f>
        <v>901</v>
      </c>
      <c r="AG611" s="1">
        <f>IF(COUNTIF($E$2:E611,E611)=1,ROW()-1,ROWS(Clean_Data[OrderID])+1)</f>
        <v>901</v>
      </c>
    </row>
    <row r="612" spans="1:33" ht="20" customHeight="1">
      <c r="A612" s="3" t="s">
        <v>1001</v>
      </c>
      <c r="B612" s="2">
        <v>46286</v>
      </c>
      <c r="C612" s="3">
        <v>21</v>
      </c>
      <c r="D612" s="3" t="s">
        <v>367</v>
      </c>
      <c r="E612" s="3" t="s">
        <v>117</v>
      </c>
      <c r="F612" s="3" t="s">
        <v>92</v>
      </c>
      <c r="G612" s="3" t="s">
        <v>122</v>
      </c>
      <c r="H612" s="3" t="s">
        <v>123</v>
      </c>
      <c r="I612" s="3">
        <v>5</v>
      </c>
      <c r="J612" s="11">
        <v>45</v>
      </c>
      <c r="K612" s="4">
        <v>0</v>
      </c>
      <c r="L612" s="3" t="s">
        <v>95</v>
      </c>
      <c r="M612" s="3">
        <v>25</v>
      </c>
      <c r="N612" s="3">
        <v>13</v>
      </c>
      <c r="O612" s="3">
        <v>4</v>
      </c>
      <c r="P612" s="11">
        <f>Clean_Data[[#This Row],[Quantity]]*Clean_Data[[#This Row],[UnitPrice]]</f>
        <v>225</v>
      </c>
      <c r="Q612" s="11">
        <f>ROUND(Clean_Data[[#This Row],[GrossSales]]*Clean_Data[[#This Row],[DiscountPct]],2)</f>
        <v>0</v>
      </c>
      <c r="R612" s="11">
        <f>IF(Clean_Data[[#This Row],[Status]]="Delivered",ROUND(Clean_Data[[#This Row],[GrossSales]]-Clean_Data[[#This Row],[DiscountAmount]],2),0)</f>
        <v>225</v>
      </c>
      <c r="S612" s="3" t="str">
        <f>IF(Clean_Data[[#This Row],[OrderHour]]&lt;6,"Night",IF(Clean_Data[[#This Row],[OrderHour]]&lt;12,"Morning",IF(Clean_Data[[#This Row],[OrderHour]]&lt;18,"Afternoon","Evening")))</f>
        <v>Evening</v>
      </c>
      <c r="T612" s="3" t="str">
        <f>TEXT(Clean_Data[[#This Row],[OrderDate]],"[$-409]ddd")</f>
        <v>Mon</v>
      </c>
      <c r="U612" s="3">
        <f>WEEKDAY(Clean_Data[[#This Row],[OrderDate]],2)</f>
        <v>1</v>
      </c>
      <c r="V612" s="3">
        <f>INT(Clean_Data[[#This Row],[OrderHour]]/6)+1</f>
        <v>4</v>
      </c>
      <c r="W612" s="3">
        <f>IF(Clean_Data[[#This Row],[Status]]="Delivered",1,0)</f>
        <v>1</v>
      </c>
      <c r="X612" s="3">
        <f>IF(Clean_Data[[#This Row],[Status]]="Delivered",IF(Clean_Data[[#This Row],[DeliveryMinutes]]&lt;=Dashboard!$X$5,1,0),0)</f>
        <v>1</v>
      </c>
      <c r="Y6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2" s="3">
        <f>IF(AND(Clean_Data[[#This Row],[Include]]=1,Clean_Data[[#This Row],[DeliveredFlag]]=1),1,0)</f>
        <v>1</v>
      </c>
      <c r="AA612" s="1">
        <f>IF(COUNTIF($D$2:D612,D612)=1,ROW()-1,ROWS(Clean_Data[OrderID])+1)</f>
        <v>901</v>
      </c>
      <c r="AB612" s="1">
        <f>IF(COUNTIF($F$2:F612,F612)=1,ROW()-1,ROWS(Clean_Data[OrderID])+1)</f>
        <v>901</v>
      </c>
      <c r="AC612" s="1">
        <f>IF(COUNTIF($G$2:G612,G612)=1,ROW()-1,ROWS(Clean_Data[OrderID])+1)</f>
        <v>901</v>
      </c>
      <c r="AD612" s="1">
        <f>IF(COUNTIF($H$2:H612,H612)=1,ROW()-1,ROWS(Clean_Data[OrderID])+1)</f>
        <v>901</v>
      </c>
      <c r="AE612" s="1">
        <f>IF(COUNTIF($V$2:V612,V612)=1,V612,ROWS(Clean_Data[OrderID])+1)</f>
        <v>901</v>
      </c>
      <c r="AF612" s="1">
        <f>IF(COUNTIF($U$2:U612,U612)=1,U612,ROWS(Clean_Data[OrderID])+1)</f>
        <v>901</v>
      </c>
      <c r="AG612" s="1">
        <f>IF(COUNTIF($E$2:E612,E612)=1,ROW()-1,ROWS(Clean_Data[OrderID])+1)</f>
        <v>901</v>
      </c>
    </row>
    <row r="613" spans="1:33" ht="20" customHeight="1">
      <c r="A613" s="3" t="s">
        <v>1002</v>
      </c>
      <c r="B613" s="2">
        <v>46286</v>
      </c>
      <c r="C613" s="3">
        <v>16</v>
      </c>
      <c r="D613" s="3" t="s">
        <v>97</v>
      </c>
      <c r="E613" s="3" t="s">
        <v>91</v>
      </c>
      <c r="F613" s="3" t="s">
        <v>139</v>
      </c>
      <c r="G613" s="3" t="s">
        <v>93</v>
      </c>
      <c r="H613" s="3" t="s">
        <v>146</v>
      </c>
      <c r="I613" s="3">
        <v>6</v>
      </c>
      <c r="J613" s="11">
        <v>110</v>
      </c>
      <c r="K613" s="4">
        <v>0.05</v>
      </c>
      <c r="L613" s="3" t="s">
        <v>95</v>
      </c>
      <c r="M613" s="3">
        <v>18</v>
      </c>
      <c r="N613" s="3">
        <v>6</v>
      </c>
      <c r="O613" s="3">
        <v>4</v>
      </c>
      <c r="P613" s="11">
        <f>Clean_Data[[#This Row],[Quantity]]*Clean_Data[[#This Row],[UnitPrice]]</f>
        <v>660</v>
      </c>
      <c r="Q613" s="11">
        <f>ROUND(Clean_Data[[#This Row],[GrossSales]]*Clean_Data[[#This Row],[DiscountPct]],2)</f>
        <v>33</v>
      </c>
      <c r="R613" s="11">
        <f>IF(Clean_Data[[#This Row],[Status]]="Delivered",ROUND(Clean_Data[[#This Row],[GrossSales]]-Clean_Data[[#This Row],[DiscountAmount]],2),0)</f>
        <v>627</v>
      </c>
      <c r="S613" s="3" t="str">
        <f>IF(Clean_Data[[#This Row],[OrderHour]]&lt;6,"Night",IF(Clean_Data[[#This Row],[OrderHour]]&lt;12,"Morning",IF(Clean_Data[[#This Row],[OrderHour]]&lt;18,"Afternoon","Evening")))</f>
        <v>Afternoon</v>
      </c>
      <c r="T613" s="3" t="str">
        <f>TEXT(Clean_Data[[#This Row],[OrderDate]],"[$-409]ddd")</f>
        <v>Mon</v>
      </c>
      <c r="U613" s="3">
        <f>WEEKDAY(Clean_Data[[#This Row],[OrderDate]],2)</f>
        <v>1</v>
      </c>
      <c r="V613" s="3">
        <f>INT(Clean_Data[[#This Row],[OrderHour]]/6)+1</f>
        <v>3</v>
      </c>
      <c r="W613" s="3">
        <f>IF(Clean_Data[[#This Row],[Status]]="Delivered",1,0)</f>
        <v>1</v>
      </c>
      <c r="X613" s="3">
        <f>IF(Clean_Data[[#This Row],[Status]]="Delivered",IF(Clean_Data[[#This Row],[DeliveryMinutes]]&lt;=Dashboard!$X$5,1,0),0)</f>
        <v>1</v>
      </c>
      <c r="Y6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3" s="3">
        <f>IF(AND(Clean_Data[[#This Row],[Include]]=1,Clean_Data[[#This Row],[DeliveredFlag]]=1),1,0)</f>
        <v>1</v>
      </c>
      <c r="AA613" s="1">
        <f>IF(COUNTIF($D$2:D613,D613)=1,ROW()-1,ROWS(Clean_Data[OrderID])+1)</f>
        <v>901</v>
      </c>
      <c r="AB613" s="1">
        <f>IF(COUNTIF($F$2:F613,F613)=1,ROW()-1,ROWS(Clean_Data[OrderID])+1)</f>
        <v>901</v>
      </c>
      <c r="AC613" s="1">
        <f>IF(COUNTIF($G$2:G613,G613)=1,ROW()-1,ROWS(Clean_Data[OrderID])+1)</f>
        <v>901</v>
      </c>
      <c r="AD613" s="1">
        <f>IF(COUNTIF($H$2:H613,H613)=1,ROW()-1,ROWS(Clean_Data[OrderID])+1)</f>
        <v>901</v>
      </c>
      <c r="AE613" s="1">
        <f>IF(COUNTIF($V$2:V613,V613)=1,V613,ROWS(Clean_Data[OrderID])+1)</f>
        <v>901</v>
      </c>
      <c r="AF613" s="1">
        <f>IF(COUNTIF($U$2:U613,U613)=1,U613,ROWS(Clean_Data[OrderID])+1)</f>
        <v>901</v>
      </c>
      <c r="AG613" s="1">
        <f>IF(COUNTIF($E$2:E613,E613)=1,ROW()-1,ROWS(Clean_Data[OrderID])+1)</f>
        <v>901</v>
      </c>
    </row>
    <row r="614" spans="1:33" ht="20" customHeight="1">
      <c r="A614" s="3" t="s">
        <v>1003</v>
      </c>
      <c r="B614" s="2">
        <v>46286</v>
      </c>
      <c r="C614" s="3">
        <v>12</v>
      </c>
      <c r="D614" s="3" t="s">
        <v>369</v>
      </c>
      <c r="E614" s="3" t="s">
        <v>91</v>
      </c>
      <c r="F614" s="3" t="s">
        <v>139</v>
      </c>
      <c r="G614" s="3" t="s">
        <v>93</v>
      </c>
      <c r="H614" s="3" t="s">
        <v>146</v>
      </c>
      <c r="I614" s="3">
        <v>2</v>
      </c>
      <c r="J614" s="11">
        <v>110</v>
      </c>
      <c r="K614" s="4">
        <v>0</v>
      </c>
      <c r="L614" s="3" t="s">
        <v>95</v>
      </c>
      <c r="M614" s="3">
        <v>35</v>
      </c>
      <c r="N614" s="3">
        <v>15</v>
      </c>
      <c r="O614" s="3">
        <v>4</v>
      </c>
      <c r="P614" s="11">
        <f>Clean_Data[[#This Row],[Quantity]]*Clean_Data[[#This Row],[UnitPrice]]</f>
        <v>220</v>
      </c>
      <c r="Q614" s="11">
        <f>ROUND(Clean_Data[[#This Row],[GrossSales]]*Clean_Data[[#This Row],[DiscountPct]],2)</f>
        <v>0</v>
      </c>
      <c r="R614" s="11">
        <f>IF(Clean_Data[[#This Row],[Status]]="Delivered",ROUND(Clean_Data[[#This Row],[GrossSales]]-Clean_Data[[#This Row],[DiscountAmount]],2),0)</f>
        <v>220</v>
      </c>
      <c r="S614" s="3" t="str">
        <f>IF(Clean_Data[[#This Row],[OrderHour]]&lt;6,"Night",IF(Clean_Data[[#This Row],[OrderHour]]&lt;12,"Morning",IF(Clean_Data[[#This Row],[OrderHour]]&lt;18,"Afternoon","Evening")))</f>
        <v>Afternoon</v>
      </c>
      <c r="T614" s="3" t="str">
        <f>TEXT(Clean_Data[[#This Row],[OrderDate]],"[$-409]ddd")</f>
        <v>Mon</v>
      </c>
      <c r="U614" s="3">
        <f>WEEKDAY(Clean_Data[[#This Row],[OrderDate]],2)</f>
        <v>1</v>
      </c>
      <c r="V614" s="3">
        <f>INT(Clean_Data[[#This Row],[OrderHour]]/6)+1</f>
        <v>3</v>
      </c>
      <c r="W614" s="3">
        <f>IF(Clean_Data[[#This Row],[Status]]="Delivered",1,0)</f>
        <v>1</v>
      </c>
      <c r="X614" s="3">
        <f>IF(Clean_Data[[#This Row],[Status]]="Delivered",IF(Clean_Data[[#This Row],[DeliveryMinutes]]&lt;=Dashboard!$X$5,1,0),0)</f>
        <v>0</v>
      </c>
      <c r="Y6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4" s="3">
        <f>IF(AND(Clean_Data[[#This Row],[Include]]=1,Clean_Data[[#This Row],[DeliveredFlag]]=1),1,0)</f>
        <v>1</v>
      </c>
      <c r="AA614" s="1">
        <f>IF(COUNTIF($D$2:D614,D614)=1,ROW()-1,ROWS(Clean_Data[OrderID])+1)</f>
        <v>901</v>
      </c>
      <c r="AB614" s="1">
        <f>IF(COUNTIF($F$2:F614,F614)=1,ROW()-1,ROWS(Clean_Data[OrderID])+1)</f>
        <v>901</v>
      </c>
      <c r="AC614" s="1">
        <f>IF(COUNTIF($G$2:G614,G614)=1,ROW()-1,ROWS(Clean_Data[OrderID])+1)</f>
        <v>901</v>
      </c>
      <c r="AD614" s="1">
        <f>IF(COUNTIF($H$2:H614,H614)=1,ROW()-1,ROWS(Clean_Data[OrderID])+1)</f>
        <v>901</v>
      </c>
      <c r="AE614" s="1">
        <f>IF(COUNTIF($V$2:V614,V614)=1,V614,ROWS(Clean_Data[OrderID])+1)</f>
        <v>901</v>
      </c>
      <c r="AF614" s="1">
        <f>IF(COUNTIF($U$2:U614,U614)=1,U614,ROWS(Clean_Data[OrderID])+1)</f>
        <v>901</v>
      </c>
      <c r="AG614" s="1">
        <f>IF(COUNTIF($E$2:E614,E614)=1,ROW()-1,ROWS(Clean_Data[OrderID])+1)</f>
        <v>901</v>
      </c>
    </row>
    <row r="615" spans="1:33" ht="20" customHeight="1">
      <c r="A615" s="3" t="s">
        <v>1004</v>
      </c>
      <c r="B615" s="2">
        <v>46286</v>
      </c>
      <c r="C615" s="3">
        <v>18</v>
      </c>
      <c r="D615" s="3" t="s">
        <v>299</v>
      </c>
      <c r="E615" s="3" t="s">
        <v>91</v>
      </c>
      <c r="F615" s="3" t="s">
        <v>139</v>
      </c>
      <c r="G615" s="3" t="s">
        <v>93</v>
      </c>
      <c r="H615" s="3" t="s">
        <v>146</v>
      </c>
      <c r="I615" s="3">
        <v>2</v>
      </c>
      <c r="J615" s="11">
        <v>110</v>
      </c>
      <c r="K615" s="4">
        <v>0.05</v>
      </c>
      <c r="L615" s="3" t="s">
        <v>95</v>
      </c>
      <c r="M615" s="3">
        <v>33</v>
      </c>
      <c r="N615" s="3">
        <v>12</v>
      </c>
      <c r="O615" s="3">
        <v>4</v>
      </c>
      <c r="P615" s="11">
        <f>Clean_Data[[#This Row],[Quantity]]*Clean_Data[[#This Row],[UnitPrice]]</f>
        <v>220</v>
      </c>
      <c r="Q615" s="11">
        <f>ROUND(Clean_Data[[#This Row],[GrossSales]]*Clean_Data[[#This Row],[DiscountPct]],2)</f>
        <v>11</v>
      </c>
      <c r="R615" s="11">
        <f>IF(Clean_Data[[#This Row],[Status]]="Delivered",ROUND(Clean_Data[[#This Row],[GrossSales]]-Clean_Data[[#This Row],[DiscountAmount]],2),0)</f>
        <v>209</v>
      </c>
      <c r="S615" s="3" t="str">
        <f>IF(Clean_Data[[#This Row],[OrderHour]]&lt;6,"Night",IF(Clean_Data[[#This Row],[OrderHour]]&lt;12,"Morning",IF(Clean_Data[[#This Row],[OrderHour]]&lt;18,"Afternoon","Evening")))</f>
        <v>Evening</v>
      </c>
      <c r="T615" s="3" t="str">
        <f>TEXT(Clean_Data[[#This Row],[OrderDate]],"[$-409]ddd")</f>
        <v>Mon</v>
      </c>
      <c r="U615" s="3">
        <f>WEEKDAY(Clean_Data[[#This Row],[OrderDate]],2)</f>
        <v>1</v>
      </c>
      <c r="V615" s="3">
        <f>INT(Clean_Data[[#This Row],[OrderHour]]/6)+1</f>
        <v>4</v>
      </c>
      <c r="W615" s="3">
        <f>IF(Clean_Data[[#This Row],[Status]]="Delivered",1,0)</f>
        <v>1</v>
      </c>
      <c r="X615" s="3">
        <f>IF(Clean_Data[[#This Row],[Status]]="Delivered",IF(Clean_Data[[#This Row],[DeliveryMinutes]]&lt;=Dashboard!$X$5,1,0),0)</f>
        <v>0</v>
      </c>
      <c r="Y6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5" s="3">
        <f>IF(AND(Clean_Data[[#This Row],[Include]]=1,Clean_Data[[#This Row],[DeliveredFlag]]=1),1,0)</f>
        <v>1</v>
      </c>
      <c r="AA615" s="1">
        <f>IF(COUNTIF($D$2:D615,D615)=1,ROW()-1,ROWS(Clean_Data[OrderID])+1)</f>
        <v>901</v>
      </c>
      <c r="AB615" s="1">
        <f>IF(COUNTIF($F$2:F615,F615)=1,ROW()-1,ROWS(Clean_Data[OrderID])+1)</f>
        <v>901</v>
      </c>
      <c r="AC615" s="1">
        <f>IF(COUNTIF($G$2:G615,G615)=1,ROW()-1,ROWS(Clean_Data[OrderID])+1)</f>
        <v>901</v>
      </c>
      <c r="AD615" s="1">
        <f>IF(COUNTIF($H$2:H615,H615)=1,ROW()-1,ROWS(Clean_Data[OrderID])+1)</f>
        <v>901</v>
      </c>
      <c r="AE615" s="1">
        <f>IF(COUNTIF($V$2:V615,V615)=1,V615,ROWS(Clean_Data[OrderID])+1)</f>
        <v>901</v>
      </c>
      <c r="AF615" s="1">
        <f>IF(COUNTIF($U$2:U615,U615)=1,U615,ROWS(Clean_Data[OrderID])+1)</f>
        <v>901</v>
      </c>
      <c r="AG615" s="1">
        <f>IF(COUNTIF($E$2:E615,E615)=1,ROW()-1,ROWS(Clean_Data[OrderID])+1)</f>
        <v>901</v>
      </c>
    </row>
    <row r="616" spans="1:33" ht="20" customHeight="1">
      <c r="A616" s="3" t="s">
        <v>1005</v>
      </c>
      <c r="B616" s="2">
        <v>46286</v>
      </c>
      <c r="C616" s="3">
        <v>17</v>
      </c>
      <c r="D616" s="3" t="s">
        <v>626</v>
      </c>
      <c r="E616" s="3" t="s">
        <v>91</v>
      </c>
      <c r="F616" s="3" t="s">
        <v>109</v>
      </c>
      <c r="G616" s="3" t="s">
        <v>135</v>
      </c>
      <c r="H616" s="3" t="s">
        <v>136</v>
      </c>
      <c r="I616" s="3">
        <v>2</v>
      </c>
      <c r="J616" s="11">
        <v>40</v>
      </c>
      <c r="K616" s="4">
        <v>0.05</v>
      </c>
      <c r="L616" s="3" t="s">
        <v>95</v>
      </c>
      <c r="M616" s="3">
        <v>28</v>
      </c>
      <c r="N616" s="3">
        <v>14</v>
      </c>
      <c r="O616" s="3">
        <v>5</v>
      </c>
      <c r="P616" s="11">
        <f>Clean_Data[[#This Row],[Quantity]]*Clean_Data[[#This Row],[UnitPrice]]</f>
        <v>80</v>
      </c>
      <c r="Q616" s="11">
        <f>ROUND(Clean_Data[[#This Row],[GrossSales]]*Clean_Data[[#This Row],[DiscountPct]],2)</f>
        <v>4</v>
      </c>
      <c r="R616" s="11">
        <f>IF(Clean_Data[[#This Row],[Status]]="Delivered",ROUND(Clean_Data[[#This Row],[GrossSales]]-Clean_Data[[#This Row],[DiscountAmount]],2),0)</f>
        <v>76</v>
      </c>
      <c r="S616" s="3" t="str">
        <f>IF(Clean_Data[[#This Row],[OrderHour]]&lt;6,"Night",IF(Clean_Data[[#This Row],[OrderHour]]&lt;12,"Morning",IF(Clean_Data[[#This Row],[OrderHour]]&lt;18,"Afternoon","Evening")))</f>
        <v>Afternoon</v>
      </c>
      <c r="T616" s="3" t="str">
        <f>TEXT(Clean_Data[[#This Row],[OrderDate]],"[$-409]ddd")</f>
        <v>Mon</v>
      </c>
      <c r="U616" s="3">
        <f>WEEKDAY(Clean_Data[[#This Row],[OrderDate]],2)</f>
        <v>1</v>
      </c>
      <c r="V616" s="3">
        <f>INT(Clean_Data[[#This Row],[OrderHour]]/6)+1</f>
        <v>3</v>
      </c>
      <c r="W616" s="3">
        <f>IF(Clean_Data[[#This Row],[Status]]="Delivered",1,0)</f>
        <v>1</v>
      </c>
      <c r="X616" s="3">
        <f>IF(Clean_Data[[#This Row],[Status]]="Delivered",IF(Clean_Data[[#This Row],[DeliveryMinutes]]&lt;=Dashboard!$X$5,1,0),0)</f>
        <v>1</v>
      </c>
      <c r="Y6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6" s="3">
        <f>IF(AND(Clean_Data[[#This Row],[Include]]=1,Clean_Data[[#This Row],[DeliveredFlag]]=1),1,0)</f>
        <v>1</v>
      </c>
      <c r="AA616" s="1">
        <f>IF(COUNTIF($D$2:D616,D616)=1,ROW()-1,ROWS(Clean_Data[OrderID])+1)</f>
        <v>901</v>
      </c>
      <c r="AB616" s="1">
        <f>IF(COUNTIF($F$2:F616,F616)=1,ROW()-1,ROWS(Clean_Data[OrderID])+1)</f>
        <v>901</v>
      </c>
      <c r="AC616" s="1">
        <f>IF(COUNTIF($G$2:G616,G616)=1,ROW()-1,ROWS(Clean_Data[OrderID])+1)</f>
        <v>901</v>
      </c>
      <c r="AD616" s="1">
        <f>IF(COUNTIF($H$2:H616,H616)=1,ROW()-1,ROWS(Clean_Data[OrderID])+1)</f>
        <v>901</v>
      </c>
      <c r="AE616" s="1">
        <f>IF(COUNTIF($V$2:V616,V616)=1,V616,ROWS(Clean_Data[OrderID])+1)</f>
        <v>901</v>
      </c>
      <c r="AF616" s="1">
        <f>IF(COUNTIF($U$2:U616,U616)=1,U616,ROWS(Clean_Data[OrderID])+1)</f>
        <v>901</v>
      </c>
      <c r="AG616" s="1">
        <f>IF(COUNTIF($E$2:E616,E616)=1,ROW()-1,ROWS(Clean_Data[OrderID])+1)</f>
        <v>901</v>
      </c>
    </row>
    <row r="617" spans="1:33" ht="20" customHeight="1">
      <c r="A617" s="3" t="s">
        <v>1006</v>
      </c>
      <c r="B617" s="2">
        <v>46286</v>
      </c>
      <c r="C617" s="3">
        <v>9</v>
      </c>
      <c r="D617" s="3" t="s">
        <v>763</v>
      </c>
      <c r="E617" s="3" t="s">
        <v>91</v>
      </c>
      <c r="F617" s="3" t="s">
        <v>109</v>
      </c>
      <c r="G617" s="3" t="s">
        <v>110</v>
      </c>
      <c r="H617" s="3" t="s">
        <v>206</v>
      </c>
      <c r="I617" s="3">
        <v>4</v>
      </c>
      <c r="J617" s="11">
        <v>220</v>
      </c>
      <c r="K617" s="4">
        <v>0.05</v>
      </c>
      <c r="L617" s="3" t="s">
        <v>95</v>
      </c>
      <c r="M617" s="3">
        <v>35</v>
      </c>
      <c r="N617" s="3">
        <v>14</v>
      </c>
      <c r="O617" s="3">
        <v>5</v>
      </c>
      <c r="P617" s="11">
        <f>Clean_Data[[#This Row],[Quantity]]*Clean_Data[[#This Row],[UnitPrice]]</f>
        <v>880</v>
      </c>
      <c r="Q617" s="11">
        <f>ROUND(Clean_Data[[#This Row],[GrossSales]]*Clean_Data[[#This Row],[DiscountPct]],2)</f>
        <v>44</v>
      </c>
      <c r="R617" s="11">
        <f>IF(Clean_Data[[#This Row],[Status]]="Delivered",ROUND(Clean_Data[[#This Row],[GrossSales]]-Clean_Data[[#This Row],[DiscountAmount]],2),0)</f>
        <v>836</v>
      </c>
      <c r="S617" s="3" t="str">
        <f>IF(Clean_Data[[#This Row],[OrderHour]]&lt;6,"Night",IF(Clean_Data[[#This Row],[OrderHour]]&lt;12,"Morning",IF(Clean_Data[[#This Row],[OrderHour]]&lt;18,"Afternoon","Evening")))</f>
        <v>Morning</v>
      </c>
      <c r="T617" s="3" t="str">
        <f>TEXT(Clean_Data[[#This Row],[OrderDate]],"[$-409]ddd")</f>
        <v>Mon</v>
      </c>
      <c r="U617" s="3">
        <f>WEEKDAY(Clean_Data[[#This Row],[OrderDate]],2)</f>
        <v>1</v>
      </c>
      <c r="V617" s="3">
        <f>INT(Clean_Data[[#This Row],[OrderHour]]/6)+1</f>
        <v>2</v>
      </c>
      <c r="W617" s="3">
        <f>IF(Clean_Data[[#This Row],[Status]]="Delivered",1,0)</f>
        <v>1</v>
      </c>
      <c r="X617" s="3">
        <f>IF(Clean_Data[[#This Row],[Status]]="Delivered",IF(Clean_Data[[#This Row],[DeliveryMinutes]]&lt;=Dashboard!$X$5,1,0),0)</f>
        <v>0</v>
      </c>
      <c r="Y6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7" s="3">
        <f>IF(AND(Clean_Data[[#This Row],[Include]]=1,Clean_Data[[#This Row],[DeliveredFlag]]=1),1,0)</f>
        <v>1</v>
      </c>
      <c r="AA617" s="1">
        <f>IF(COUNTIF($D$2:D617,D617)=1,ROW()-1,ROWS(Clean_Data[OrderID])+1)</f>
        <v>901</v>
      </c>
      <c r="AB617" s="1">
        <f>IF(COUNTIF($F$2:F617,F617)=1,ROW()-1,ROWS(Clean_Data[OrderID])+1)</f>
        <v>901</v>
      </c>
      <c r="AC617" s="1">
        <f>IF(COUNTIF($G$2:G617,G617)=1,ROW()-1,ROWS(Clean_Data[OrderID])+1)</f>
        <v>901</v>
      </c>
      <c r="AD617" s="1">
        <f>IF(COUNTIF($H$2:H617,H617)=1,ROW()-1,ROWS(Clean_Data[OrderID])+1)</f>
        <v>901</v>
      </c>
      <c r="AE617" s="1">
        <f>IF(COUNTIF($V$2:V617,V617)=1,V617,ROWS(Clean_Data[OrderID])+1)</f>
        <v>901</v>
      </c>
      <c r="AF617" s="1">
        <f>IF(COUNTIF($U$2:U617,U617)=1,U617,ROWS(Clean_Data[OrderID])+1)</f>
        <v>901</v>
      </c>
      <c r="AG617" s="1">
        <f>IF(COUNTIF($E$2:E617,E617)=1,ROW()-1,ROWS(Clean_Data[OrderID])+1)</f>
        <v>901</v>
      </c>
    </row>
    <row r="618" spans="1:33" ht="20" customHeight="1">
      <c r="A618" s="3" t="s">
        <v>1007</v>
      </c>
      <c r="B618" s="2">
        <v>46286</v>
      </c>
      <c r="C618" s="3">
        <v>9</v>
      </c>
      <c r="D618" s="3" t="s">
        <v>432</v>
      </c>
      <c r="E618" s="3" t="s">
        <v>91</v>
      </c>
      <c r="F618" s="3" t="s">
        <v>121</v>
      </c>
      <c r="G618" s="3" t="s">
        <v>99</v>
      </c>
      <c r="H618" s="3" t="s">
        <v>100</v>
      </c>
      <c r="I618" s="3">
        <v>1</v>
      </c>
      <c r="J618" s="11">
        <v>120</v>
      </c>
      <c r="K618" s="4">
        <v>0.15</v>
      </c>
      <c r="L618" s="3" t="s">
        <v>95</v>
      </c>
      <c r="M618" s="3">
        <v>29</v>
      </c>
      <c r="N618" s="3">
        <v>5</v>
      </c>
      <c r="O618" s="3">
        <v>3</v>
      </c>
      <c r="P618" s="11">
        <f>Clean_Data[[#This Row],[Quantity]]*Clean_Data[[#This Row],[UnitPrice]]</f>
        <v>120</v>
      </c>
      <c r="Q618" s="11">
        <f>ROUND(Clean_Data[[#This Row],[GrossSales]]*Clean_Data[[#This Row],[DiscountPct]],2)</f>
        <v>18</v>
      </c>
      <c r="R618" s="11">
        <f>IF(Clean_Data[[#This Row],[Status]]="Delivered",ROUND(Clean_Data[[#This Row],[GrossSales]]-Clean_Data[[#This Row],[DiscountAmount]],2),0)</f>
        <v>102</v>
      </c>
      <c r="S618" s="3" t="str">
        <f>IF(Clean_Data[[#This Row],[OrderHour]]&lt;6,"Night",IF(Clean_Data[[#This Row],[OrderHour]]&lt;12,"Morning",IF(Clean_Data[[#This Row],[OrderHour]]&lt;18,"Afternoon","Evening")))</f>
        <v>Morning</v>
      </c>
      <c r="T618" s="3" t="str">
        <f>TEXT(Clean_Data[[#This Row],[OrderDate]],"[$-409]ddd")</f>
        <v>Mon</v>
      </c>
      <c r="U618" s="3">
        <f>WEEKDAY(Clean_Data[[#This Row],[OrderDate]],2)</f>
        <v>1</v>
      </c>
      <c r="V618" s="3">
        <f>INT(Clean_Data[[#This Row],[OrderHour]]/6)+1</f>
        <v>2</v>
      </c>
      <c r="W618" s="3">
        <f>IF(Clean_Data[[#This Row],[Status]]="Delivered",1,0)</f>
        <v>1</v>
      </c>
      <c r="X618" s="3">
        <f>IF(Clean_Data[[#This Row],[Status]]="Delivered",IF(Clean_Data[[#This Row],[DeliveryMinutes]]&lt;=Dashboard!$X$5,1,0),0)</f>
        <v>1</v>
      </c>
      <c r="Y6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8" s="3">
        <f>IF(AND(Clean_Data[[#This Row],[Include]]=1,Clean_Data[[#This Row],[DeliveredFlag]]=1),1,0)</f>
        <v>1</v>
      </c>
      <c r="AA618" s="1">
        <f>IF(COUNTIF($D$2:D618,D618)=1,ROW()-1,ROWS(Clean_Data[OrderID])+1)</f>
        <v>901</v>
      </c>
      <c r="AB618" s="1">
        <f>IF(COUNTIF($F$2:F618,F618)=1,ROW()-1,ROWS(Clean_Data[OrderID])+1)</f>
        <v>901</v>
      </c>
      <c r="AC618" s="1">
        <f>IF(COUNTIF($G$2:G618,G618)=1,ROW()-1,ROWS(Clean_Data[OrderID])+1)</f>
        <v>901</v>
      </c>
      <c r="AD618" s="1">
        <f>IF(COUNTIF($H$2:H618,H618)=1,ROW()-1,ROWS(Clean_Data[OrderID])+1)</f>
        <v>901</v>
      </c>
      <c r="AE618" s="1">
        <f>IF(COUNTIF($V$2:V618,V618)=1,V618,ROWS(Clean_Data[OrderID])+1)</f>
        <v>901</v>
      </c>
      <c r="AF618" s="1">
        <f>IF(COUNTIF($U$2:U618,U618)=1,U618,ROWS(Clean_Data[OrderID])+1)</f>
        <v>901</v>
      </c>
      <c r="AG618" s="1">
        <f>IF(COUNTIF($E$2:E618,E618)=1,ROW()-1,ROWS(Clean_Data[OrderID])+1)</f>
        <v>901</v>
      </c>
    </row>
    <row r="619" spans="1:33" ht="20" customHeight="1">
      <c r="A619" s="3" t="s">
        <v>1008</v>
      </c>
      <c r="B619" s="2">
        <v>46286</v>
      </c>
      <c r="C619" s="3">
        <v>12</v>
      </c>
      <c r="D619" s="3" t="s">
        <v>527</v>
      </c>
      <c r="E619" s="3" t="s">
        <v>91</v>
      </c>
      <c r="F619" s="3" t="s">
        <v>139</v>
      </c>
      <c r="G619" s="3" t="s">
        <v>99</v>
      </c>
      <c r="H619" s="3" t="s">
        <v>130</v>
      </c>
      <c r="I619" s="3">
        <v>3</v>
      </c>
      <c r="J619" s="11">
        <v>85</v>
      </c>
      <c r="K619" s="4">
        <v>0</v>
      </c>
      <c r="L619" s="3" t="s">
        <v>95</v>
      </c>
      <c r="M619" s="3">
        <v>17</v>
      </c>
      <c r="N619" s="3">
        <v>6</v>
      </c>
      <c r="O619" s="3">
        <v>4</v>
      </c>
      <c r="P619" s="11">
        <f>Clean_Data[[#This Row],[Quantity]]*Clean_Data[[#This Row],[UnitPrice]]</f>
        <v>255</v>
      </c>
      <c r="Q619" s="11">
        <f>ROUND(Clean_Data[[#This Row],[GrossSales]]*Clean_Data[[#This Row],[DiscountPct]],2)</f>
        <v>0</v>
      </c>
      <c r="R619" s="11">
        <f>IF(Clean_Data[[#This Row],[Status]]="Delivered",ROUND(Clean_Data[[#This Row],[GrossSales]]-Clean_Data[[#This Row],[DiscountAmount]],2),0)</f>
        <v>255</v>
      </c>
      <c r="S619" s="3" t="str">
        <f>IF(Clean_Data[[#This Row],[OrderHour]]&lt;6,"Night",IF(Clean_Data[[#This Row],[OrderHour]]&lt;12,"Morning",IF(Clean_Data[[#This Row],[OrderHour]]&lt;18,"Afternoon","Evening")))</f>
        <v>Afternoon</v>
      </c>
      <c r="T619" s="3" t="str">
        <f>TEXT(Clean_Data[[#This Row],[OrderDate]],"[$-409]ddd")</f>
        <v>Mon</v>
      </c>
      <c r="U619" s="3">
        <f>WEEKDAY(Clean_Data[[#This Row],[OrderDate]],2)</f>
        <v>1</v>
      </c>
      <c r="V619" s="3">
        <f>INT(Clean_Data[[#This Row],[OrderHour]]/6)+1</f>
        <v>3</v>
      </c>
      <c r="W619" s="3">
        <f>IF(Clean_Data[[#This Row],[Status]]="Delivered",1,0)</f>
        <v>1</v>
      </c>
      <c r="X619" s="3">
        <f>IF(Clean_Data[[#This Row],[Status]]="Delivered",IF(Clean_Data[[#This Row],[DeliveryMinutes]]&lt;=Dashboard!$X$5,1,0),0)</f>
        <v>1</v>
      </c>
      <c r="Y6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19" s="3">
        <f>IF(AND(Clean_Data[[#This Row],[Include]]=1,Clean_Data[[#This Row],[DeliveredFlag]]=1),1,0)</f>
        <v>1</v>
      </c>
      <c r="AA619" s="1">
        <f>IF(COUNTIF($D$2:D619,D619)=1,ROW()-1,ROWS(Clean_Data[OrderID])+1)</f>
        <v>901</v>
      </c>
      <c r="AB619" s="1">
        <f>IF(COUNTIF($F$2:F619,F619)=1,ROW()-1,ROWS(Clean_Data[OrderID])+1)</f>
        <v>901</v>
      </c>
      <c r="AC619" s="1">
        <f>IF(COUNTIF($G$2:G619,G619)=1,ROW()-1,ROWS(Clean_Data[OrderID])+1)</f>
        <v>901</v>
      </c>
      <c r="AD619" s="1">
        <f>IF(COUNTIF($H$2:H619,H619)=1,ROW()-1,ROWS(Clean_Data[OrderID])+1)</f>
        <v>901</v>
      </c>
      <c r="AE619" s="1">
        <f>IF(COUNTIF($V$2:V619,V619)=1,V619,ROWS(Clean_Data[OrderID])+1)</f>
        <v>901</v>
      </c>
      <c r="AF619" s="1">
        <f>IF(COUNTIF($U$2:U619,U619)=1,U619,ROWS(Clean_Data[OrderID])+1)</f>
        <v>901</v>
      </c>
      <c r="AG619" s="1">
        <f>IF(COUNTIF($E$2:E619,E619)=1,ROW()-1,ROWS(Clean_Data[OrderID])+1)</f>
        <v>901</v>
      </c>
    </row>
    <row r="620" spans="1:33" ht="20" customHeight="1">
      <c r="A620" s="3" t="s">
        <v>1009</v>
      </c>
      <c r="B620" s="2">
        <v>46286</v>
      </c>
      <c r="C620" s="3">
        <v>12</v>
      </c>
      <c r="D620" s="3" t="s">
        <v>881</v>
      </c>
      <c r="E620" s="3" t="s">
        <v>91</v>
      </c>
      <c r="F620" s="3" t="s">
        <v>109</v>
      </c>
      <c r="G620" s="3" t="s">
        <v>93</v>
      </c>
      <c r="H620" s="3" t="s">
        <v>146</v>
      </c>
      <c r="I620" s="3">
        <v>1</v>
      </c>
      <c r="J620" s="11">
        <v>110</v>
      </c>
      <c r="K620" s="4">
        <v>0</v>
      </c>
      <c r="L620" s="3" t="s">
        <v>95</v>
      </c>
      <c r="M620" s="3">
        <v>13</v>
      </c>
      <c r="N620" s="3">
        <v>14</v>
      </c>
      <c r="O620" s="3">
        <v>4</v>
      </c>
      <c r="P620" s="11">
        <f>Clean_Data[[#This Row],[Quantity]]*Clean_Data[[#This Row],[UnitPrice]]</f>
        <v>110</v>
      </c>
      <c r="Q620" s="11">
        <f>ROUND(Clean_Data[[#This Row],[GrossSales]]*Clean_Data[[#This Row],[DiscountPct]],2)</f>
        <v>0</v>
      </c>
      <c r="R620" s="11">
        <f>IF(Clean_Data[[#This Row],[Status]]="Delivered",ROUND(Clean_Data[[#This Row],[GrossSales]]-Clean_Data[[#This Row],[DiscountAmount]],2),0)</f>
        <v>110</v>
      </c>
      <c r="S620" s="3" t="str">
        <f>IF(Clean_Data[[#This Row],[OrderHour]]&lt;6,"Night",IF(Clean_Data[[#This Row],[OrderHour]]&lt;12,"Morning",IF(Clean_Data[[#This Row],[OrderHour]]&lt;18,"Afternoon","Evening")))</f>
        <v>Afternoon</v>
      </c>
      <c r="T620" s="3" t="str">
        <f>TEXT(Clean_Data[[#This Row],[OrderDate]],"[$-409]ddd")</f>
        <v>Mon</v>
      </c>
      <c r="U620" s="3">
        <f>WEEKDAY(Clean_Data[[#This Row],[OrderDate]],2)</f>
        <v>1</v>
      </c>
      <c r="V620" s="3">
        <f>INT(Clean_Data[[#This Row],[OrderHour]]/6)+1</f>
        <v>3</v>
      </c>
      <c r="W620" s="3">
        <f>IF(Clean_Data[[#This Row],[Status]]="Delivered",1,0)</f>
        <v>1</v>
      </c>
      <c r="X620" s="3">
        <f>IF(Clean_Data[[#This Row],[Status]]="Delivered",IF(Clean_Data[[#This Row],[DeliveryMinutes]]&lt;=Dashboard!$X$5,1,0),0)</f>
        <v>1</v>
      </c>
      <c r="Y6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0" s="3">
        <f>IF(AND(Clean_Data[[#This Row],[Include]]=1,Clean_Data[[#This Row],[DeliveredFlag]]=1),1,0)</f>
        <v>1</v>
      </c>
      <c r="AA620" s="1">
        <f>IF(COUNTIF($D$2:D620,D620)=1,ROW()-1,ROWS(Clean_Data[OrderID])+1)</f>
        <v>901</v>
      </c>
      <c r="AB620" s="1">
        <f>IF(COUNTIF($F$2:F620,F620)=1,ROW()-1,ROWS(Clean_Data[OrderID])+1)</f>
        <v>901</v>
      </c>
      <c r="AC620" s="1">
        <f>IF(COUNTIF($G$2:G620,G620)=1,ROW()-1,ROWS(Clean_Data[OrderID])+1)</f>
        <v>901</v>
      </c>
      <c r="AD620" s="1">
        <f>IF(COUNTIF($H$2:H620,H620)=1,ROW()-1,ROWS(Clean_Data[OrderID])+1)</f>
        <v>901</v>
      </c>
      <c r="AE620" s="1">
        <f>IF(COUNTIF($V$2:V620,V620)=1,V620,ROWS(Clean_Data[OrderID])+1)</f>
        <v>901</v>
      </c>
      <c r="AF620" s="1">
        <f>IF(COUNTIF($U$2:U620,U620)=1,U620,ROWS(Clean_Data[OrderID])+1)</f>
        <v>901</v>
      </c>
      <c r="AG620" s="1">
        <f>IF(COUNTIF($E$2:E620,E620)=1,ROW()-1,ROWS(Clean_Data[OrderID])+1)</f>
        <v>901</v>
      </c>
    </row>
    <row r="621" spans="1:33" ht="20" customHeight="1">
      <c r="A621" s="3" t="s">
        <v>1010</v>
      </c>
      <c r="B621" s="2">
        <v>46286</v>
      </c>
      <c r="C621" s="3">
        <v>20</v>
      </c>
      <c r="D621" s="3" t="s">
        <v>432</v>
      </c>
      <c r="E621" s="3" t="s">
        <v>91</v>
      </c>
      <c r="F621" s="3" t="s">
        <v>121</v>
      </c>
      <c r="G621" s="3" t="s">
        <v>122</v>
      </c>
      <c r="H621" s="3" t="s">
        <v>214</v>
      </c>
      <c r="I621" s="3">
        <v>3</v>
      </c>
      <c r="J621" s="11">
        <v>55</v>
      </c>
      <c r="K621" s="4">
        <v>0</v>
      </c>
      <c r="L621" s="3" t="s">
        <v>95</v>
      </c>
      <c r="M621" s="3">
        <v>29</v>
      </c>
      <c r="N621" s="3">
        <v>8</v>
      </c>
      <c r="O621" s="3">
        <v>4</v>
      </c>
      <c r="P621" s="11">
        <f>Clean_Data[[#This Row],[Quantity]]*Clean_Data[[#This Row],[UnitPrice]]</f>
        <v>165</v>
      </c>
      <c r="Q621" s="11">
        <f>ROUND(Clean_Data[[#This Row],[GrossSales]]*Clean_Data[[#This Row],[DiscountPct]],2)</f>
        <v>0</v>
      </c>
      <c r="R621" s="11">
        <f>IF(Clean_Data[[#This Row],[Status]]="Delivered",ROUND(Clean_Data[[#This Row],[GrossSales]]-Clean_Data[[#This Row],[DiscountAmount]],2),0)</f>
        <v>165</v>
      </c>
      <c r="S621" s="3" t="str">
        <f>IF(Clean_Data[[#This Row],[OrderHour]]&lt;6,"Night",IF(Clean_Data[[#This Row],[OrderHour]]&lt;12,"Morning",IF(Clean_Data[[#This Row],[OrderHour]]&lt;18,"Afternoon","Evening")))</f>
        <v>Evening</v>
      </c>
      <c r="T621" s="3" t="str">
        <f>TEXT(Clean_Data[[#This Row],[OrderDate]],"[$-409]ddd")</f>
        <v>Mon</v>
      </c>
      <c r="U621" s="3">
        <f>WEEKDAY(Clean_Data[[#This Row],[OrderDate]],2)</f>
        <v>1</v>
      </c>
      <c r="V621" s="3">
        <f>INT(Clean_Data[[#This Row],[OrderHour]]/6)+1</f>
        <v>4</v>
      </c>
      <c r="W621" s="3">
        <f>IF(Clean_Data[[#This Row],[Status]]="Delivered",1,0)</f>
        <v>1</v>
      </c>
      <c r="X621" s="3">
        <f>IF(Clean_Data[[#This Row],[Status]]="Delivered",IF(Clean_Data[[#This Row],[DeliveryMinutes]]&lt;=Dashboard!$X$5,1,0),0)</f>
        <v>1</v>
      </c>
      <c r="Y6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1" s="3">
        <f>IF(AND(Clean_Data[[#This Row],[Include]]=1,Clean_Data[[#This Row],[DeliveredFlag]]=1),1,0)</f>
        <v>1</v>
      </c>
      <c r="AA621" s="1">
        <f>IF(COUNTIF($D$2:D621,D621)=1,ROW()-1,ROWS(Clean_Data[OrderID])+1)</f>
        <v>901</v>
      </c>
      <c r="AB621" s="1">
        <f>IF(COUNTIF($F$2:F621,F621)=1,ROW()-1,ROWS(Clean_Data[OrderID])+1)</f>
        <v>901</v>
      </c>
      <c r="AC621" s="1">
        <f>IF(COUNTIF($G$2:G621,G621)=1,ROW()-1,ROWS(Clean_Data[OrderID])+1)</f>
        <v>901</v>
      </c>
      <c r="AD621" s="1">
        <f>IF(COUNTIF($H$2:H621,H621)=1,ROW()-1,ROWS(Clean_Data[OrderID])+1)</f>
        <v>901</v>
      </c>
      <c r="AE621" s="1">
        <f>IF(COUNTIF($V$2:V621,V621)=1,V621,ROWS(Clean_Data[OrderID])+1)</f>
        <v>901</v>
      </c>
      <c r="AF621" s="1">
        <f>IF(COUNTIF($U$2:U621,U621)=1,U621,ROWS(Clean_Data[OrderID])+1)</f>
        <v>901</v>
      </c>
      <c r="AG621" s="1">
        <f>IF(COUNTIF($E$2:E621,E621)=1,ROW()-1,ROWS(Clean_Data[OrderID])+1)</f>
        <v>901</v>
      </c>
    </row>
    <row r="622" spans="1:33" ht="20" customHeight="1">
      <c r="A622" s="3" t="s">
        <v>1011</v>
      </c>
      <c r="B622" s="2">
        <v>46286</v>
      </c>
      <c r="C622" s="3">
        <v>6</v>
      </c>
      <c r="D622" s="3" t="s">
        <v>120</v>
      </c>
      <c r="E622" s="3" t="s">
        <v>91</v>
      </c>
      <c r="F622" s="3" t="s">
        <v>121</v>
      </c>
      <c r="G622" s="3" t="s">
        <v>122</v>
      </c>
      <c r="H622" s="3" t="s">
        <v>153</v>
      </c>
      <c r="I622" s="3">
        <v>4</v>
      </c>
      <c r="J622" s="11">
        <v>130</v>
      </c>
      <c r="K622" s="4">
        <v>0</v>
      </c>
      <c r="L622" s="3" t="s">
        <v>95</v>
      </c>
      <c r="M622" s="3">
        <v>18</v>
      </c>
      <c r="N622" s="3">
        <v>8</v>
      </c>
      <c r="O622" s="3">
        <v>4</v>
      </c>
      <c r="P622" s="11">
        <f>Clean_Data[[#This Row],[Quantity]]*Clean_Data[[#This Row],[UnitPrice]]</f>
        <v>520</v>
      </c>
      <c r="Q622" s="11">
        <f>ROUND(Clean_Data[[#This Row],[GrossSales]]*Clean_Data[[#This Row],[DiscountPct]],2)</f>
        <v>0</v>
      </c>
      <c r="R622" s="11">
        <f>IF(Clean_Data[[#This Row],[Status]]="Delivered",ROUND(Clean_Data[[#This Row],[GrossSales]]-Clean_Data[[#This Row],[DiscountAmount]],2),0)</f>
        <v>520</v>
      </c>
      <c r="S622" s="3" t="str">
        <f>IF(Clean_Data[[#This Row],[OrderHour]]&lt;6,"Night",IF(Clean_Data[[#This Row],[OrderHour]]&lt;12,"Morning",IF(Clean_Data[[#This Row],[OrderHour]]&lt;18,"Afternoon","Evening")))</f>
        <v>Morning</v>
      </c>
      <c r="T622" s="3" t="str">
        <f>TEXT(Clean_Data[[#This Row],[OrderDate]],"[$-409]ddd")</f>
        <v>Mon</v>
      </c>
      <c r="U622" s="3">
        <f>WEEKDAY(Clean_Data[[#This Row],[OrderDate]],2)</f>
        <v>1</v>
      </c>
      <c r="V622" s="3">
        <f>INT(Clean_Data[[#This Row],[OrderHour]]/6)+1</f>
        <v>2</v>
      </c>
      <c r="W622" s="3">
        <f>IF(Clean_Data[[#This Row],[Status]]="Delivered",1,0)</f>
        <v>1</v>
      </c>
      <c r="X622" s="3">
        <f>IF(Clean_Data[[#This Row],[Status]]="Delivered",IF(Clean_Data[[#This Row],[DeliveryMinutes]]&lt;=Dashboard!$X$5,1,0),0)</f>
        <v>1</v>
      </c>
      <c r="Y6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2" s="3">
        <f>IF(AND(Clean_Data[[#This Row],[Include]]=1,Clean_Data[[#This Row],[DeliveredFlag]]=1),1,0)</f>
        <v>1</v>
      </c>
      <c r="AA622" s="1">
        <f>IF(COUNTIF($D$2:D622,D622)=1,ROW()-1,ROWS(Clean_Data[OrderID])+1)</f>
        <v>901</v>
      </c>
      <c r="AB622" s="1">
        <f>IF(COUNTIF($F$2:F622,F622)=1,ROW()-1,ROWS(Clean_Data[OrderID])+1)</f>
        <v>901</v>
      </c>
      <c r="AC622" s="1">
        <f>IF(COUNTIF($G$2:G622,G622)=1,ROW()-1,ROWS(Clean_Data[OrderID])+1)</f>
        <v>901</v>
      </c>
      <c r="AD622" s="1">
        <f>IF(COUNTIF($H$2:H622,H622)=1,ROW()-1,ROWS(Clean_Data[OrderID])+1)</f>
        <v>901</v>
      </c>
      <c r="AE622" s="1">
        <f>IF(COUNTIF($V$2:V622,V622)=1,V622,ROWS(Clean_Data[OrderID])+1)</f>
        <v>901</v>
      </c>
      <c r="AF622" s="1">
        <f>IF(COUNTIF($U$2:U622,U622)=1,U622,ROWS(Clean_Data[OrderID])+1)</f>
        <v>901</v>
      </c>
      <c r="AG622" s="1">
        <f>IF(COUNTIF($E$2:E622,E622)=1,ROW()-1,ROWS(Clean_Data[OrderID])+1)</f>
        <v>901</v>
      </c>
    </row>
    <row r="623" spans="1:33" ht="20" customHeight="1">
      <c r="A623" s="3" t="s">
        <v>1012</v>
      </c>
      <c r="B623" s="2">
        <v>46286</v>
      </c>
      <c r="C623" s="3">
        <v>18</v>
      </c>
      <c r="D623" s="3" t="s">
        <v>777</v>
      </c>
      <c r="E623" s="3" t="s">
        <v>91</v>
      </c>
      <c r="F623" s="3" t="s">
        <v>139</v>
      </c>
      <c r="G623" s="3" t="s">
        <v>99</v>
      </c>
      <c r="H623" s="3" t="s">
        <v>130</v>
      </c>
      <c r="I623" s="3">
        <v>1</v>
      </c>
      <c r="J623" s="11">
        <v>85</v>
      </c>
      <c r="K623" s="4">
        <v>0.1</v>
      </c>
      <c r="L623" s="3" t="s">
        <v>95</v>
      </c>
      <c r="M623" s="3">
        <v>26</v>
      </c>
      <c r="N623" s="3">
        <v>13</v>
      </c>
      <c r="O623" s="3">
        <v>4</v>
      </c>
      <c r="P623" s="11">
        <f>Clean_Data[[#This Row],[Quantity]]*Clean_Data[[#This Row],[UnitPrice]]</f>
        <v>85</v>
      </c>
      <c r="Q623" s="11">
        <f>ROUND(Clean_Data[[#This Row],[GrossSales]]*Clean_Data[[#This Row],[DiscountPct]],2)</f>
        <v>8.5</v>
      </c>
      <c r="R623" s="11">
        <f>IF(Clean_Data[[#This Row],[Status]]="Delivered",ROUND(Clean_Data[[#This Row],[GrossSales]]-Clean_Data[[#This Row],[DiscountAmount]],2),0)</f>
        <v>76.5</v>
      </c>
      <c r="S623" s="3" t="str">
        <f>IF(Clean_Data[[#This Row],[OrderHour]]&lt;6,"Night",IF(Clean_Data[[#This Row],[OrderHour]]&lt;12,"Morning",IF(Clean_Data[[#This Row],[OrderHour]]&lt;18,"Afternoon","Evening")))</f>
        <v>Evening</v>
      </c>
      <c r="T623" s="3" t="str">
        <f>TEXT(Clean_Data[[#This Row],[OrderDate]],"[$-409]ddd")</f>
        <v>Mon</v>
      </c>
      <c r="U623" s="3">
        <f>WEEKDAY(Clean_Data[[#This Row],[OrderDate]],2)</f>
        <v>1</v>
      </c>
      <c r="V623" s="3">
        <f>INT(Clean_Data[[#This Row],[OrderHour]]/6)+1</f>
        <v>4</v>
      </c>
      <c r="W623" s="3">
        <f>IF(Clean_Data[[#This Row],[Status]]="Delivered",1,0)</f>
        <v>1</v>
      </c>
      <c r="X623" s="3">
        <f>IF(Clean_Data[[#This Row],[Status]]="Delivered",IF(Clean_Data[[#This Row],[DeliveryMinutes]]&lt;=Dashboard!$X$5,1,0),0)</f>
        <v>1</v>
      </c>
      <c r="Y6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3" s="3">
        <f>IF(AND(Clean_Data[[#This Row],[Include]]=1,Clean_Data[[#This Row],[DeliveredFlag]]=1),1,0)</f>
        <v>1</v>
      </c>
      <c r="AA623" s="1">
        <f>IF(COUNTIF($D$2:D623,D623)=1,ROW()-1,ROWS(Clean_Data[OrderID])+1)</f>
        <v>901</v>
      </c>
      <c r="AB623" s="1">
        <f>IF(COUNTIF($F$2:F623,F623)=1,ROW()-1,ROWS(Clean_Data[OrderID])+1)</f>
        <v>901</v>
      </c>
      <c r="AC623" s="1">
        <f>IF(COUNTIF($G$2:G623,G623)=1,ROW()-1,ROWS(Clean_Data[OrderID])+1)</f>
        <v>901</v>
      </c>
      <c r="AD623" s="1">
        <f>IF(COUNTIF($H$2:H623,H623)=1,ROW()-1,ROWS(Clean_Data[OrderID])+1)</f>
        <v>901</v>
      </c>
      <c r="AE623" s="1">
        <f>IF(COUNTIF($V$2:V623,V623)=1,V623,ROWS(Clean_Data[OrderID])+1)</f>
        <v>901</v>
      </c>
      <c r="AF623" s="1">
        <f>IF(COUNTIF($U$2:U623,U623)=1,U623,ROWS(Clean_Data[OrderID])+1)</f>
        <v>901</v>
      </c>
      <c r="AG623" s="1">
        <f>IF(COUNTIF($E$2:E623,E623)=1,ROW()-1,ROWS(Clean_Data[OrderID])+1)</f>
        <v>901</v>
      </c>
    </row>
    <row r="624" spans="1:33" ht="20" customHeight="1">
      <c r="A624" s="3" t="s">
        <v>1013</v>
      </c>
      <c r="B624" s="2">
        <v>46286</v>
      </c>
      <c r="C624" s="3">
        <v>17</v>
      </c>
      <c r="D624" s="3" t="s">
        <v>677</v>
      </c>
      <c r="E624" s="3" t="s">
        <v>117</v>
      </c>
      <c r="F624" s="3" t="s">
        <v>92</v>
      </c>
      <c r="G624" s="3" t="s">
        <v>174</v>
      </c>
      <c r="H624" s="3" t="s">
        <v>184</v>
      </c>
      <c r="I624" s="3">
        <v>5</v>
      </c>
      <c r="J624" s="11">
        <v>62</v>
      </c>
      <c r="K624" s="4">
        <v>0.15</v>
      </c>
      <c r="L624" s="3" t="s">
        <v>95</v>
      </c>
      <c r="M624" s="3">
        <v>27</v>
      </c>
      <c r="N624" s="3">
        <v>13</v>
      </c>
      <c r="O624" s="3">
        <v>4</v>
      </c>
      <c r="P624" s="11">
        <f>Clean_Data[[#This Row],[Quantity]]*Clean_Data[[#This Row],[UnitPrice]]</f>
        <v>310</v>
      </c>
      <c r="Q624" s="11">
        <f>ROUND(Clean_Data[[#This Row],[GrossSales]]*Clean_Data[[#This Row],[DiscountPct]],2)</f>
        <v>46.5</v>
      </c>
      <c r="R624" s="11">
        <f>IF(Clean_Data[[#This Row],[Status]]="Delivered",ROUND(Clean_Data[[#This Row],[GrossSales]]-Clean_Data[[#This Row],[DiscountAmount]],2),0)</f>
        <v>263.5</v>
      </c>
      <c r="S624" s="3" t="str">
        <f>IF(Clean_Data[[#This Row],[OrderHour]]&lt;6,"Night",IF(Clean_Data[[#This Row],[OrderHour]]&lt;12,"Morning",IF(Clean_Data[[#This Row],[OrderHour]]&lt;18,"Afternoon","Evening")))</f>
        <v>Afternoon</v>
      </c>
      <c r="T624" s="3" t="str">
        <f>TEXT(Clean_Data[[#This Row],[OrderDate]],"[$-409]ddd")</f>
        <v>Mon</v>
      </c>
      <c r="U624" s="3">
        <f>WEEKDAY(Clean_Data[[#This Row],[OrderDate]],2)</f>
        <v>1</v>
      </c>
      <c r="V624" s="3">
        <f>INT(Clean_Data[[#This Row],[OrderHour]]/6)+1</f>
        <v>3</v>
      </c>
      <c r="W624" s="3">
        <f>IF(Clean_Data[[#This Row],[Status]]="Delivered",1,0)</f>
        <v>1</v>
      </c>
      <c r="X624" s="3">
        <f>IF(Clean_Data[[#This Row],[Status]]="Delivered",IF(Clean_Data[[#This Row],[DeliveryMinutes]]&lt;=Dashboard!$X$5,1,0),0)</f>
        <v>1</v>
      </c>
      <c r="Y6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4" s="3">
        <f>IF(AND(Clean_Data[[#This Row],[Include]]=1,Clean_Data[[#This Row],[DeliveredFlag]]=1),1,0)</f>
        <v>1</v>
      </c>
      <c r="AA624" s="1">
        <f>IF(COUNTIF($D$2:D624,D624)=1,ROW()-1,ROWS(Clean_Data[OrderID])+1)</f>
        <v>901</v>
      </c>
      <c r="AB624" s="1">
        <f>IF(COUNTIF($F$2:F624,F624)=1,ROW()-1,ROWS(Clean_Data[OrderID])+1)</f>
        <v>901</v>
      </c>
      <c r="AC624" s="1">
        <f>IF(COUNTIF($G$2:G624,G624)=1,ROW()-1,ROWS(Clean_Data[OrderID])+1)</f>
        <v>901</v>
      </c>
      <c r="AD624" s="1">
        <f>IF(COUNTIF($H$2:H624,H624)=1,ROW()-1,ROWS(Clean_Data[OrderID])+1)</f>
        <v>901</v>
      </c>
      <c r="AE624" s="1">
        <f>IF(COUNTIF($V$2:V624,V624)=1,V624,ROWS(Clean_Data[OrderID])+1)</f>
        <v>901</v>
      </c>
      <c r="AF624" s="1">
        <f>IF(COUNTIF($U$2:U624,U624)=1,U624,ROWS(Clean_Data[OrderID])+1)</f>
        <v>901</v>
      </c>
      <c r="AG624" s="1">
        <f>IF(COUNTIF($E$2:E624,E624)=1,ROW()-1,ROWS(Clean_Data[OrderID])+1)</f>
        <v>901</v>
      </c>
    </row>
    <row r="625" spans="1:33" ht="20" customHeight="1">
      <c r="A625" s="3" t="s">
        <v>1014</v>
      </c>
      <c r="B625" s="2">
        <v>46286</v>
      </c>
      <c r="C625" s="3">
        <v>19</v>
      </c>
      <c r="D625" s="3" t="s">
        <v>745</v>
      </c>
      <c r="E625" s="3" t="s">
        <v>117</v>
      </c>
      <c r="F625" s="3" t="s">
        <v>92</v>
      </c>
      <c r="G625" s="3" t="s">
        <v>93</v>
      </c>
      <c r="H625" s="3" t="s">
        <v>146</v>
      </c>
      <c r="I625" s="3">
        <v>5</v>
      </c>
      <c r="J625" s="11">
        <v>110</v>
      </c>
      <c r="K625" s="4">
        <v>0</v>
      </c>
      <c r="L625" s="3" t="s">
        <v>95</v>
      </c>
      <c r="M625" s="3">
        <v>33</v>
      </c>
      <c r="N625" s="3">
        <v>11</v>
      </c>
      <c r="O625" s="3">
        <v>5</v>
      </c>
      <c r="P625" s="11">
        <f>Clean_Data[[#This Row],[Quantity]]*Clean_Data[[#This Row],[UnitPrice]]</f>
        <v>550</v>
      </c>
      <c r="Q625" s="11">
        <f>ROUND(Clean_Data[[#This Row],[GrossSales]]*Clean_Data[[#This Row],[DiscountPct]],2)</f>
        <v>0</v>
      </c>
      <c r="R625" s="11">
        <f>IF(Clean_Data[[#This Row],[Status]]="Delivered",ROUND(Clean_Data[[#This Row],[GrossSales]]-Clean_Data[[#This Row],[DiscountAmount]],2),0)</f>
        <v>550</v>
      </c>
      <c r="S625" s="3" t="str">
        <f>IF(Clean_Data[[#This Row],[OrderHour]]&lt;6,"Night",IF(Clean_Data[[#This Row],[OrderHour]]&lt;12,"Morning",IF(Clean_Data[[#This Row],[OrderHour]]&lt;18,"Afternoon","Evening")))</f>
        <v>Evening</v>
      </c>
      <c r="T625" s="3" t="str">
        <f>TEXT(Clean_Data[[#This Row],[OrderDate]],"[$-409]ddd")</f>
        <v>Mon</v>
      </c>
      <c r="U625" s="3">
        <f>WEEKDAY(Clean_Data[[#This Row],[OrderDate]],2)</f>
        <v>1</v>
      </c>
      <c r="V625" s="3">
        <f>INT(Clean_Data[[#This Row],[OrderHour]]/6)+1</f>
        <v>4</v>
      </c>
      <c r="W625" s="3">
        <f>IF(Clean_Data[[#This Row],[Status]]="Delivered",1,0)</f>
        <v>1</v>
      </c>
      <c r="X625" s="3">
        <f>IF(Clean_Data[[#This Row],[Status]]="Delivered",IF(Clean_Data[[#This Row],[DeliveryMinutes]]&lt;=Dashboard!$X$5,1,0),0)</f>
        <v>0</v>
      </c>
      <c r="Y6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5" s="3">
        <f>IF(AND(Clean_Data[[#This Row],[Include]]=1,Clean_Data[[#This Row],[DeliveredFlag]]=1),1,0)</f>
        <v>1</v>
      </c>
      <c r="AA625" s="1">
        <f>IF(COUNTIF($D$2:D625,D625)=1,ROW()-1,ROWS(Clean_Data[OrderID])+1)</f>
        <v>901</v>
      </c>
      <c r="AB625" s="1">
        <f>IF(COUNTIF($F$2:F625,F625)=1,ROW()-1,ROWS(Clean_Data[OrderID])+1)</f>
        <v>901</v>
      </c>
      <c r="AC625" s="1">
        <f>IF(COUNTIF($G$2:G625,G625)=1,ROW()-1,ROWS(Clean_Data[OrderID])+1)</f>
        <v>901</v>
      </c>
      <c r="AD625" s="1">
        <f>IF(COUNTIF($H$2:H625,H625)=1,ROW()-1,ROWS(Clean_Data[OrderID])+1)</f>
        <v>901</v>
      </c>
      <c r="AE625" s="1">
        <f>IF(COUNTIF($V$2:V625,V625)=1,V625,ROWS(Clean_Data[OrderID])+1)</f>
        <v>901</v>
      </c>
      <c r="AF625" s="1">
        <f>IF(COUNTIF($U$2:U625,U625)=1,U625,ROWS(Clean_Data[OrderID])+1)</f>
        <v>901</v>
      </c>
      <c r="AG625" s="1">
        <f>IF(COUNTIF($E$2:E625,E625)=1,ROW()-1,ROWS(Clean_Data[OrderID])+1)</f>
        <v>901</v>
      </c>
    </row>
    <row r="626" spans="1:33" ht="20" customHeight="1">
      <c r="A626" s="3" t="s">
        <v>1015</v>
      </c>
      <c r="B626" s="2">
        <v>46286</v>
      </c>
      <c r="C626" s="3">
        <v>10</v>
      </c>
      <c r="D626" s="3" t="s">
        <v>353</v>
      </c>
      <c r="E626" s="3" t="s">
        <v>91</v>
      </c>
      <c r="F626" s="3" t="s">
        <v>139</v>
      </c>
      <c r="G626" s="3" t="s">
        <v>93</v>
      </c>
      <c r="H626" s="3" t="s">
        <v>94</v>
      </c>
      <c r="I626" s="3">
        <v>2</v>
      </c>
      <c r="J626" s="11">
        <v>95</v>
      </c>
      <c r="K626" s="4">
        <v>0</v>
      </c>
      <c r="L626" s="3" t="s">
        <v>95</v>
      </c>
      <c r="M626" s="3">
        <v>14</v>
      </c>
      <c r="N626" s="3">
        <v>10</v>
      </c>
      <c r="O626" s="3">
        <v>3</v>
      </c>
      <c r="P626" s="11">
        <f>Clean_Data[[#This Row],[Quantity]]*Clean_Data[[#This Row],[UnitPrice]]</f>
        <v>190</v>
      </c>
      <c r="Q626" s="11">
        <f>ROUND(Clean_Data[[#This Row],[GrossSales]]*Clean_Data[[#This Row],[DiscountPct]],2)</f>
        <v>0</v>
      </c>
      <c r="R626" s="11">
        <f>IF(Clean_Data[[#This Row],[Status]]="Delivered",ROUND(Clean_Data[[#This Row],[GrossSales]]-Clean_Data[[#This Row],[DiscountAmount]],2),0)</f>
        <v>190</v>
      </c>
      <c r="S626" s="3" t="str">
        <f>IF(Clean_Data[[#This Row],[OrderHour]]&lt;6,"Night",IF(Clean_Data[[#This Row],[OrderHour]]&lt;12,"Morning",IF(Clean_Data[[#This Row],[OrderHour]]&lt;18,"Afternoon","Evening")))</f>
        <v>Morning</v>
      </c>
      <c r="T626" s="3" t="str">
        <f>TEXT(Clean_Data[[#This Row],[OrderDate]],"[$-409]ddd")</f>
        <v>Mon</v>
      </c>
      <c r="U626" s="3">
        <f>WEEKDAY(Clean_Data[[#This Row],[OrderDate]],2)</f>
        <v>1</v>
      </c>
      <c r="V626" s="3">
        <f>INT(Clean_Data[[#This Row],[OrderHour]]/6)+1</f>
        <v>2</v>
      </c>
      <c r="W626" s="3">
        <f>IF(Clean_Data[[#This Row],[Status]]="Delivered",1,0)</f>
        <v>1</v>
      </c>
      <c r="X626" s="3">
        <f>IF(Clean_Data[[#This Row],[Status]]="Delivered",IF(Clean_Data[[#This Row],[DeliveryMinutes]]&lt;=Dashboard!$X$5,1,0),0)</f>
        <v>1</v>
      </c>
      <c r="Y6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6" s="3">
        <f>IF(AND(Clean_Data[[#This Row],[Include]]=1,Clean_Data[[#This Row],[DeliveredFlag]]=1),1,0)</f>
        <v>1</v>
      </c>
      <c r="AA626" s="1">
        <f>IF(COUNTIF($D$2:D626,D626)=1,ROW()-1,ROWS(Clean_Data[OrderID])+1)</f>
        <v>901</v>
      </c>
      <c r="AB626" s="1">
        <f>IF(COUNTIF($F$2:F626,F626)=1,ROW()-1,ROWS(Clean_Data[OrderID])+1)</f>
        <v>901</v>
      </c>
      <c r="AC626" s="1">
        <f>IF(COUNTIF($G$2:G626,G626)=1,ROW()-1,ROWS(Clean_Data[OrderID])+1)</f>
        <v>901</v>
      </c>
      <c r="AD626" s="1">
        <f>IF(COUNTIF($H$2:H626,H626)=1,ROW()-1,ROWS(Clean_Data[OrderID])+1)</f>
        <v>901</v>
      </c>
      <c r="AE626" s="1">
        <f>IF(COUNTIF($V$2:V626,V626)=1,V626,ROWS(Clean_Data[OrderID])+1)</f>
        <v>901</v>
      </c>
      <c r="AF626" s="1">
        <f>IF(COUNTIF($U$2:U626,U626)=1,U626,ROWS(Clean_Data[OrderID])+1)</f>
        <v>901</v>
      </c>
      <c r="AG626" s="1">
        <f>IF(COUNTIF($E$2:E626,E626)=1,ROW()-1,ROWS(Clean_Data[OrderID])+1)</f>
        <v>901</v>
      </c>
    </row>
    <row r="627" spans="1:33" ht="20" customHeight="1">
      <c r="A627" s="3" t="s">
        <v>1016</v>
      </c>
      <c r="B627" s="2">
        <v>46286</v>
      </c>
      <c r="C627" s="3">
        <v>12</v>
      </c>
      <c r="D627" s="3" t="s">
        <v>308</v>
      </c>
      <c r="E627" s="3" t="s">
        <v>91</v>
      </c>
      <c r="F627" s="3" t="s">
        <v>109</v>
      </c>
      <c r="G627" s="3" t="s">
        <v>99</v>
      </c>
      <c r="H627" s="3" t="s">
        <v>100</v>
      </c>
      <c r="I627" s="3">
        <v>5</v>
      </c>
      <c r="J627" s="11">
        <v>120</v>
      </c>
      <c r="K627" s="4">
        <v>0.15</v>
      </c>
      <c r="L627" s="3" t="s">
        <v>95</v>
      </c>
      <c r="M627" s="3">
        <v>14</v>
      </c>
      <c r="N627" s="3">
        <v>7</v>
      </c>
      <c r="O627" s="3">
        <v>5</v>
      </c>
      <c r="P627" s="11">
        <f>Clean_Data[[#This Row],[Quantity]]*Clean_Data[[#This Row],[UnitPrice]]</f>
        <v>600</v>
      </c>
      <c r="Q627" s="11">
        <f>ROUND(Clean_Data[[#This Row],[GrossSales]]*Clean_Data[[#This Row],[DiscountPct]],2)</f>
        <v>90</v>
      </c>
      <c r="R627" s="11">
        <f>IF(Clean_Data[[#This Row],[Status]]="Delivered",ROUND(Clean_Data[[#This Row],[GrossSales]]-Clean_Data[[#This Row],[DiscountAmount]],2),0)</f>
        <v>510</v>
      </c>
      <c r="S627" s="3" t="str">
        <f>IF(Clean_Data[[#This Row],[OrderHour]]&lt;6,"Night",IF(Clean_Data[[#This Row],[OrderHour]]&lt;12,"Morning",IF(Clean_Data[[#This Row],[OrderHour]]&lt;18,"Afternoon","Evening")))</f>
        <v>Afternoon</v>
      </c>
      <c r="T627" s="3" t="str">
        <f>TEXT(Clean_Data[[#This Row],[OrderDate]],"[$-409]ddd")</f>
        <v>Mon</v>
      </c>
      <c r="U627" s="3">
        <f>WEEKDAY(Clean_Data[[#This Row],[OrderDate]],2)</f>
        <v>1</v>
      </c>
      <c r="V627" s="3">
        <f>INT(Clean_Data[[#This Row],[OrderHour]]/6)+1</f>
        <v>3</v>
      </c>
      <c r="W627" s="3">
        <f>IF(Clean_Data[[#This Row],[Status]]="Delivered",1,0)</f>
        <v>1</v>
      </c>
      <c r="X627" s="3">
        <f>IF(Clean_Data[[#This Row],[Status]]="Delivered",IF(Clean_Data[[#This Row],[DeliveryMinutes]]&lt;=Dashboard!$X$5,1,0),0)</f>
        <v>1</v>
      </c>
      <c r="Y6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7" s="3">
        <f>IF(AND(Clean_Data[[#This Row],[Include]]=1,Clean_Data[[#This Row],[DeliveredFlag]]=1),1,0)</f>
        <v>1</v>
      </c>
      <c r="AA627" s="1">
        <f>IF(COUNTIF($D$2:D627,D627)=1,ROW()-1,ROWS(Clean_Data[OrderID])+1)</f>
        <v>901</v>
      </c>
      <c r="AB627" s="1">
        <f>IF(COUNTIF($F$2:F627,F627)=1,ROW()-1,ROWS(Clean_Data[OrderID])+1)</f>
        <v>901</v>
      </c>
      <c r="AC627" s="1">
        <f>IF(COUNTIF($G$2:G627,G627)=1,ROW()-1,ROWS(Clean_Data[OrderID])+1)</f>
        <v>901</v>
      </c>
      <c r="AD627" s="1">
        <f>IF(COUNTIF($H$2:H627,H627)=1,ROW()-1,ROWS(Clean_Data[OrderID])+1)</f>
        <v>901</v>
      </c>
      <c r="AE627" s="1">
        <f>IF(COUNTIF($V$2:V627,V627)=1,V627,ROWS(Clean_Data[OrderID])+1)</f>
        <v>901</v>
      </c>
      <c r="AF627" s="1">
        <f>IF(COUNTIF($U$2:U627,U627)=1,U627,ROWS(Clean_Data[OrderID])+1)</f>
        <v>901</v>
      </c>
      <c r="AG627" s="1">
        <f>IF(COUNTIF($E$2:E627,E627)=1,ROW()-1,ROWS(Clean_Data[OrderID])+1)</f>
        <v>901</v>
      </c>
    </row>
    <row r="628" spans="1:33" ht="20" customHeight="1">
      <c r="A628" s="3" t="s">
        <v>1017</v>
      </c>
      <c r="B628" s="2">
        <v>46286</v>
      </c>
      <c r="C628" s="3">
        <v>18</v>
      </c>
      <c r="D628" s="3" t="s">
        <v>279</v>
      </c>
      <c r="E628" s="3" t="s">
        <v>91</v>
      </c>
      <c r="F628" s="3" t="s">
        <v>98</v>
      </c>
      <c r="G628" s="3" t="s">
        <v>99</v>
      </c>
      <c r="H628" s="3" t="s">
        <v>100</v>
      </c>
      <c r="I628" s="3">
        <v>2</v>
      </c>
      <c r="J628" s="11">
        <v>120</v>
      </c>
      <c r="K628" s="4">
        <v>0.1</v>
      </c>
      <c r="L628" s="3" t="s">
        <v>95</v>
      </c>
      <c r="M628" s="3">
        <v>30</v>
      </c>
      <c r="N628" s="3">
        <v>14</v>
      </c>
      <c r="O628" s="3">
        <v>5</v>
      </c>
      <c r="P628" s="11">
        <f>Clean_Data[[#This Row],[Quantity]]*Clean_Data[[#This Row],[UnitPrice]]</f>
        <v>240</v>
      </c>
      <c r="Q628" s="11">
        <f>ROUND(Clean_Data[[#This Row],[GrossSales]]*Clean_Data[[#This Row],[DiscountPct]],2)</f>
        <v>24</v>
      </c>
      <c r="R628" s="11">
        <f>IF(Clean_Data[[#This Row],[Status]]="Delivered",ROUND(Clean_Data[[#This Row],[GrossSales]]-Clean_Data[[#This Row],[DiscountAmount]],2),0)</f>
        <v>216</v>
      </c>
      <c r="S628" s="3" t="str">
        <f>IF(Clean_Data[[#This Row],[OrderHour]]&lt;6,"Night",IF(Clean_Data[[#This Row],[OrderHour]]&lt;12,"Morning",IF(Clean_Data[[#This Row],[OrderHour]]&lt;18,"Afternoon","Evening")))</f>
        <v>Evening</v>
      </c>
      <c r="T628" s="3" t="str">
        <f>TEXT(Clean_Data[[#This Row],[OrderDate]],"[$-409]ddd")</f>
        <v>Mon</v>
      </c>
      <c r="U628" s="3">
        <f>WEEKDAY(Clean_Data[[#This Row],[OrderDate]],2)</f>
        <v>1</v>
      </c>
      <c r="V628" s="3">
        <f>INT(Clean_Data[[#This Row],[OrderHour]]/6)+1</f>
        <v>4</v>
      </c>
      <c r="W628" s="3">
        <f>IF(Clean_Data[[#This Row],[Status]]="Delivered",1,0)</f>
        <v>1</v>
      </c>
      <c r="X628" s="3">
        <f>IF(Clean_Data[[#This Row],[Status]]="Delivered",IF(Clean_Data[[#This Row],[DeliveryMinutes]]&lt;=Dashboard!$X$5,1,0),0)</f>
        <v>1</v>
      </c>
      <c r="Y6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8" s="3">
        <f>IF(AND(Clean_Data[[#This Row],[Include]]=1,Clean_Data[[#This Row],[DeliveredFlag]]=1),1,0)</f>
        <v>1</v>
      </c>
      <c r="AA628" s="1">
        <f>IF(COUNTIF($D$2:D628,D628)=1,ROW()-1,ROWS(Clean_Data[OrderID])+1)</f>
        <v>901</v>
      </c>
      <c r="AB628" s="1">
        <f>IF(COUNTIF($F$2:F628,F628)=1,ROW()-1,ROWS(Clean_Data[OrderID])+1)</f>
        <v>901</v>
      </c>
      <c r="AC628" s="1">
        <f>IF(COUNTIF($G$2:G628,G628)=1,ROW()-1,ROWS(Clean_Data[OrderID])+1)</f>
        <v>901</v>
      </c>
      <c r="AD628" s="1">
        <f>IF(COUNTIF($H$2:H628,H628)=1,ROW()-1,ROWS(Clean_Data[OrderID])+1)</f>
        <v>901</v>
      </c>
      <c r="AE628" s="1">
        <f>IF(COUNTIF($V$2:V628,V628)=1,V628,ROWS(Clean_Data[OrderID])+1)</f>
        <v>901</v>
      </c>
      <c r="AF628" s="1">
        <f>IF(COUNTIF($U$2:U628,U628)=1,U628,ROWS(Clean_Data[OrderID])+1)</f>
        <v>901</v>
      </c>
      <c r="AG628" s="1">
        <f>IF(COUNTIF($E$2:E628,E628)=1,ROW()-1,ROWS(Clean_Data[OrderID])+1)</f>
        <v>901</v>
      </c>
    </row>
    <row r="629" spans="1:33" ht="20" customHeight="1">
      <c r="A629" s="3" t="s">
        <v>1018</v>
      </c>
      <c r="B629" s="2">
        <v>46286</v>
      </c>
      <c r="C629" s="3">
        <v>17</v>
      </c>
      <c r="D629" s="3" t="s">
        <v>975</v>
      </c>
      <c r="E629" s="3" t="s">
        <v>117</v>
      </c>
      <c r="F629" s="3" t="s">
        <v>139</v>
      </c>
      <c r="G629" s="3" t="s">
        <v>135</v>
      </c>
      <c r="H629" s="3" t="s">
        <v>217</v>
      </c>
      <c r="I629" s="3">
        <v>6</v>
      </c>
      <c r="J629" s="11">
        <v>65</v>
      </c>
      <c r="K629" s="4">
        <v>0</v>
      </c>
      <c r="L629" s="3" t="s">
        <v>95</v>
      </c>
      <c r="M629" s="3">
        <v>15</v>
      </c>
      <c r="N629" s="3">
        <v>9</v>
      </c>
      <c r="O629" s="3">
        <v>4</v>
      </c>
      <c r="P629" s="11">
        <f>Clean_Data[[#This Row],[Quantity]]*Clean_Data[[#This Row],[UnitPrice]]</f>
        <v>390</v>
      </c>
      <c r="Q629" s="11">
        <f>ROUND(Clean_Data[[#This Row],[GrossSales]]*Clean_Data[[#This Row],[DiscountPct]],2)</f>
        <v>0</v>
      </c>
      <c r="R629" s="11">
        <f>IF(Clean_Data[[#This Row],[Status]]="Delivered",ROUND(Clean_Data[[#This Row],[GrossSales]]-Clean_Data[[#This Row],[DiscountAmount]],2),0)</f>
        <v>390</v>
      </c>
      <c r="S629" s="3" t="str">
        <f>IF(Clean_Data[[#This Row],[OrderHour]]&lt;6,"Night",IF(Clean_Data[[#This Row],[OrderHour]]&lt;12,"Morning",IF(Clean_Data[[#This Row],[OrderHour]]&lt;18,"Afternoon","Evening")))</f>
        <v>Afternoon</v>
      </c>
      <c r="T629" s="3" t="str">
        <f>TEXT(Clean_Data[[#This Row],[OrderDate]],"[$-409]ddd")</f>
        <v>Mon</v>
      </c>
      <c r="U629" s="3">
        <f>WEEKDAY(Clean_Data[[#This Row],[OrderDate]],2)</f>
        <v>1</v>
      </c>
      <c r="V629" s="3">
        <f>INT(Clean_Data[[#This Row],[OrderHour]]/6)+1</f>
        <v>3</v>
      </c>
      <c r="W629" s="3">
        <f>IF(Clean_Data[[#This Row],[Status]]="Delivered",1,0)</f>
        <v>1</v>
      </c>
      <c r="X629" s="3">
        <f>IF(Clean_Data[[#This Row],[Status]]="Delivered",IF(Clean_Data[[#This Row],[DeliveryMinutes]]&lt;=Dashboard!$X$5,1,0),0)</f>
        <v>1</v>
      </c>
      <c r="Y6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29" s="3">
        <f>IF(AND(Clean_Data[[#This Row],[Include]]=1,Clean_Data[[#This Row],[DeliveredFlag]]=1),1,0)</f>
        <v>1</v>
      </c>
      <c r="AA629" s="1">
        <f>IF(COUNTIF($D$2:D629,D629)=1,ROW()-1,ROWS(Clean_Data[OrderID])+1)</f>
        <v>901</v>
      </c>
      <c r="AB629" s="1">
        <f>IF(COUNTIF($F$2:F629,F629)=1,ROW()-1,ROWS(Clean_Data[OrderID])+1)</f>
        <v>901</v>
      </c>
      <c r="AC629" s="1">
        <f>IF(COUNTIF($G$2:G629,G629)=1,ROW()-1,ROWS(Clean_Data[OrderID])+1)</f>
        <v>901</v>
      </c>
      <c r="AD629" s="1">
        <f>IF(COUNTIF($H$2:H629,H629)=1,ROW()-1,ROWS(Clean_Data[OrderID])+1)</f>
        <v>901</v>
      </c>
      <c r="AE629" s="1">
        <f>IF(COUNTIF($V$2:V629,V629)=1,V629,ROWS(Clean_Data[OrderID])+1)</f>
        <v>901</v>
      </c>
      <c r="AF629" s="1">
        <f>IF(COUNTIF($U$2:U629,U629)=1,U629,ROWS(Clean_Data[OrderID])+1)</f>
        <v>901</v>
      </c>
      <c r="AG629" s="1">
        <f>IF(COUNTIF($E$2:E629,E629)=1,ROW()-1,ROWS(Clean_Data[OrderID])+1)</f>
        <v>901</v>
      </c>
    </row>
    <row r="630" spans="1:33" ht="20" customHeight="1">
      <c r="A630" s="3" t="s">
        <v>1019</v>
      </c>
      <c r="B630" s="2">
        <v>46286</v>
      </c>
      <c r="C630" s="3">
        <v>18</v>
      </c>
      <c r="D630" s="3" t="s">
        <v>388</v>
      </c>
      <c r="E630" s="3" t="s">
        <v>91</v>
      </c>
      <c r="F630" s="3" t="s">
        <v>109</v>
      </c>
      <c r="G630" s="3" t="s">
        <v>174</v>
      </c>
      <c r="H630" s="3" t="s">
        <v>175</v>
      </c>
      <c r="I630" s="3">
        <v>4</v>
      </c>
      <c r="J630" s="11">
        <v>155</v>
      </c>
      <c r="K630" s="4">
        <v>0</v>
      </c>
      <c r="L630" s="3" t="s">
        <v>95</v>
      </c>
      <c r="M630" s="3">
        <v>23</v>
      </c>
      <c r="N630" s="3">
        <v>10</v>
      </c>
      <c r="O630" s="3">
        <v>5</v>
      </c>
      <c r="P630" s="11">
        <f>Clean_Data[[#This Row],[Quantity]]*Clean_Data[[#This Row],[UnitPrice]]</f>
        <v>620</v>
      </c>
      <c r="Q630" s="11">
        <f>ROUND(Clean_Data[[#This Row],[GrossSales]]*Clean_Data[[#This Row],[DiscountPct]],2)</f>
        <v>0</v>
      </c>
      <c r="R630" s="11">
        <f>IF(Clean_Data[[#This Row],[Status]]="Delivered",ROUND(Clean_Data[[#This Row],[GrossSales]]-Clean_Data[[#This Row],[DiscountAmount]],2),0)</f>
        <v>620</v>
      </c>
      <c r="S630" s="3" t="str">
        <f>IF(Clean_Data[[#This Row],[OrderHour]]&lt;6,"Night",IF(Clean_Data[[#This Row],[OrderHour]]&lt;12,"Morning",IF(Clean_Data[[#This Row],[OrderHour]]&lt;18,"Afternoon","Evening")))</f>
        <v>Evening</v>
      </c>
      <c r="T630" s="3" t="str">
        <f>TEXT(Clean_Data[[#This Row],[OrderDate]],"[$-409]ddd")</f>
        <v>Mon</v>
      </c>
      <c r="U630" s="3">
        <f>WEEKDAY(Clean_Data[[#This Row],[OrderDate]],2)</f>
        <v>1</v>
      </c>
      <c r="V630" s="3">
        <f>INT(Clean_Data[[#This Row],[OrderHour]]/6)+1</f>
        <v>4</v>
      </c>
      <c r="W630" s="3">
        <f>IF(Clean_Data[[#This Row],[Status]]="Delivered",1,0)</f>
        <v>1</v>
      </c>
      <c r="X630" s="3">
        <f>IF(Clean_Data[[#This Row],[Status]]="Delivered",IF(Clean_Data[[#This Row],[DeliveryMinutes]]&lt;=Dashboard!$X$5,1,0),0)</f>
        <v>1</v>
      </c>
      <c r="Y6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0" s="3">
        <f>IF(AND(Clean_Data[[#This Row],[Include]]=1,Clean_Data[[#This Row],[DeliveredFlag]]=1),1,0)</f>
        <v>1</v>
      </c>
      <c r="AA630" s="1">
        <f>IF(COUNTIF($D$2:D630,D630)=1,ROW()-1,ROWS(Clean_Data[OrderID])+1)</f>
        <v>901</v>
      </c>
      <c r="AB630" s="1">
        <f>IF(COUNTIF($F$2:F630,F630)=1,ROW()-1,ROWS(Clean_Data[OrderID])+1)</f>
        <v>901</v>
      </c>
      <c r="AC630" s="1">
        <f>IF(COUNTIF($G$2:G630,G630)=1,ROW()-1,ROWS(Clean_Data[OrderID])+1)</f>
        <v>901</v>
      </c>
      <c r="AD630" s="1">
        <f>IF(COUNTIF($H$2:H630,H630)=1,ROW()-1,ROWS(Clean_Data[OrderID])+1)</f>
        <v>901</v>
      </c>
      <c r="AE630" s="1">
        <f>IF(COUNTIF($V$2:V630,V630)=1,V630,ROWS(Clean_Data[OrderID])+1)</f>
        <v>901</v>
      </c>
      <c r="AF630" s="1">
        <f>IF(COUNTIF($U$2:U630,U630)=1,U630,ROWS(Clean_Data[OrderID])+1)</f>
        <v>901</v>
      </c>
      <c r="AG630" s="1">
        <f>IF(COUNTIF($E$2:E630,E630)=1,ROW()-1,ROWS(Clean_Data[OrderID])+1)</f>
        <v>901</v>
      </c>
    </row>
    <row r="631" spans="1:33" ht="20" customHeight="1">
      <c r="A631" s="3" t="s">
        <v>1020</v>
      </c>
      <c r="B631" s="2">
        <v>46286</v>
      </c>
      <c r="C631" s="3">
        <v>17</v>
      </c>
      <c r="D631" s="3" t="s">
        <v>933</v>
      </c>
      <c r="E631" s="3" t="s">
        <v>117</v>
      </c>
      <c r="F631" s="3" t="s">
        <v>121</v>
      </c>
      <c r="G631" s="3" t="s">
        <v>174</v>
      </c>
      <c r="H631" s="3" t="s">
        <v>274</v>
      </c>
      <c r="I631" s="3">
        <v>5</v>
      </c>
      <c r="J631" s="11">
        <v>90</v>
      </c>
      <c r="K631" s="4">
        <v>0.1</v>
      </c>
      <c r="L631" s="3" t="s">
        <v>95</v>
      </c>
      <c r="M631" s="3">
        <v>30</v>
      </c>
      <c r="N631" s="3">
        <v>6</v>
      </c>
      <c r="O631" s="3">
        <v>4</v>
      </c>
      <c r="P631" s="11">
        <f>Clean_Data[[#This Row],[Quantity]]*Clean_Data[[#This Row],[UnitPrice]]</f>
        <v>450</v>
      </c>
      <c r="Q631" s="11">
        <f>ROUND(Clean_Data[[#This Row],[GrossSales]]*Clean_Data[[#This Row],[DiscountPct]],2)</f>
        <v>45</v>
      </c>
      <c r="R631" s="11">
        <f>IF(Clean_Data[[#This Row],[Status]]="Delivered",ROUND(Clean_Data[[#This Row],[GrossSales]]-Clean_Data[[#This Row],[DiscountAmount]],2),0)</f>
        <v>405</v>
      </c>
      <c r="S631" s="3" t="str">
        <f>IF(Clean_Data[[#This Row],[OrderHour]]&lt;6,"Night",IF(Clean_Data[[#This Row],[OrderHour]]&lt;12,"Morning",IF(Clean_Data[[#This Row],[OrderHour]]&lt;18,"Afternoon","Evening")))</f>
        <v>Afternoon</v>
      </c>
      <c r="T631" s="3" t="str">
        <f>TEXT(Clean_Data[[#This Row],[OrderDate]],"[$-409]ddd")</f>
        <v>Mon</v>
      </c>
      <c r="U631" s="3">
        <f>WEEKDAY(Clean_Data[[#This Row],[OrderDate]],2)</f>
        <v>1</v>
      </c>
      <c r="V631" s="3">
        <f>INT(Clean_Data[[#This Row],[OrderHour]]/6)+1</f>
        <v>3</v>
      </c>
      <c r="W631" s="3">
        <f>IF(Clean_Data[[#This Row],[Status]]="Delivered",1,0)</f>
        <v>1</v>
      </c>
      <c r="X631" s="3">
        <f>IF(Clean_Data[[#This Row],[Status]]="Delivered",IF(Clean_Data[[#This Row],[DeliveryMinutes]]&lt;=Dashboard!$X$5,1,0),0)</f>
        <v>1</v>
      </c>
      <c r="Y6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1" s="3">
        <f>IF(AND(Clean_Data[[#This Row],[Include]]=1,Clean_Data[[#This Row],[DeliveredFlag]]=1),1,0)</f>
        <v>1</v>
      </c>
      <c r="AA631" s="1">
        <f>IF(COUNTIF($D$2:D631,D631)=1,ROW()-1,ROWS(Clean_Data[OrderID])+1)</f>
        <v>901</v>
      </c>
      <c r="AB631" s="1">
        <f>IF(COUNTIF($F$2:F631,F631)=1,ROW()-1,ROWS(Clean_Data[OrderID])+1)</f>
        <v>901</v>
      </c>
      <c r="AC631" s="1">
        <f>IF(COUNTIF($G$2:G631,G631)=1,ROW()-1,ROWS(Clean_Data[OrderID])+1)</f>
        <v>901</v>
      </c>
      <c r="AD631" s="1">
        <f>IF(COUNTIF($H$2:H631,H631)=1,ROW()-1,ROWS(Clean_Data[OrderID])+1)</f>
        <v>901</v>
      </c>
      <c r="AE631" s="1">
        <f>IF(COUNTIF($V$2:V631,V631)=1,V631,ROWS(Clean_Data[OrderID])+1)</f>
        <v>901</v>
      </c>
      <c r="AF631" s="1">
        <f>IF(COUNTIF($U$2:U631,U631)=1,U631,ROWS(Clean_Data[OrderID])+1)</f>
        <v>901</v>
      </c>
      <c r="AG631" s="1">
        <f>IF(COUNTIF($E$2:E631,E631)=1,ROW()-1,ROWS(Clean_Data[OrderID])+1)</f>
        <v>901</v>
      </c>
    </row>
    <row r="632" spans="1:33" ht="20" customHeight="1">
      <c r="A632" s="3" t="s">
        <v>1021</v>
      </c>
      <c r="B632" s="2">
        <v>46287</v>
      </c>
      <c r="C632" s="3">
        <v>22</v>
      </c>
      <c r="D632" s="3" t="s">
        <v>244</v>
      </c>
      <c r="E632" s="3" t="s">
        <v>117</v>
      </c>
      <c r="F632" s="3" t="s">
        <v>98</v>
      </c>
      <c r="G632" s="3" t="s">
        <v>93</v>
      </c>
      <c r="H632" s="3" t="s">
        <v>94</v>
      </c>
      <c r="I632" s="3">
        <v>6</v>
      </c>
      <c r="J632" s="11">
        <v>95</v>
      </c>
      <c r="K632" s="4">
        <v>0</v>
      </c>
      <c r="L632" s="3" t="s">
        <v>95</v>
      </c>
      <c r="M632" s="3">
        <v>35</v>
      </c>
      <c r="N632" s="3">
        <v>8</v>
      </c>
      <c r="O632" s="3">
        <v>5</v>
      </c>
      <c r="P632" s="11">
        <f>Clean_Data[[#This Row],[Quantity]]*Clean_Data[[#This Row],[UnitPrice]]</f>
        <v>570</v>
      </c>
      <c r="Q632" s="11">
        <f>ROUND(Clean_Data[[#This Row],[GrossSales]]*Clean_Data[[#This Row],[DiscountPct]],2)</f>
        <v>0</v>
      </c>
      <c r="R632" s="11">
        <f>IF(Clean_Data[[#This Row],[Status]]="Delivered",ROUND(Clean_Data[[#This Row],[GrossSales]]-Clean_Data[[#This Row],[DiscountAmount]],2),0)</f>
        <v>570</v>
      </c>
      <c r="S632" s="3" t="str">
        <f>IF(Clean_Data[[#This Row],[OrderHour]]&lt;6,"Night",IF(Clean_Data[[#This Row],[OrderHour]]&lt;12,"Morning",IF(Clean_Data[[#This Row],[OrderHour]]&lt;18,"Afternoon","Evening")))</f>
        <v>Evening</v>
      </c>
      <c r="T632" s="3" t="str">
        <f>TEXT(Clean_Data[[#This Row],[OrderDate]],"[$-409]ddd")</f>
        <v>Tue</v>
      </c>
      <c r="U632" s="3">
        <f>WEEKDAY(Clean_Data[[#This Row],[OrderDate]],2)</f>
        <v>2</v>
      </c>
      <c r="V632" s="3">
        <f>INT(Clean_Data[[#This Row],[OrderHour]]/6)+1</f>
        <v>4</v>
      </c>
      <c r="W632" s="3">
        <f>IF(Clean_Data[[#This Row],[Status]]="Delivered",1,0)</f>
        <v>1</v>
      </c>
      <c r="X632" s="3">
        <f>IF(Clean_Data[[#This Row],[Status]]="Delivered",IF(Clean_Data[[#This Row],[DeliveryMinutes]]&lt;=Dashboard!$X$5,1,0),0)</f>
        <v>0</v>
      </c>
      <c r="Y6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2" s="3">
        <f>IF(AND(Clean_Data[[#This Row],[Include]]=1,Clean_Data[[#This Row],[DeliveredFlag]]=1),1,0)</f>
        <v>1</v>
      </c>
      <c r="AA632" s="1">
        <f>IF(COUNTIF($D$2:D632,D632)=1,ROW()-1,ROWS(Clean_Data[OrderID])+1)</f>
        <v>901</v>
      </c>
      <c r="AB632" s="1">
        <f>IF(COUNTIF($F$2:F632,F632)=1,ROW()-1,ROWS(Clean_Data[OrderID])+1)</f>
        <v>901</v>
      </c>
      <c r="AC632" s="1">
        <f>IF(COUNTIF($G$2:G632,G632)=1,ROW()-1,ROWS(Clean_Data[OrderID])+1)</f>
        <v>901</v>
      </c>
      <c r="AD632" s="1">
        <f>IF(COUNTIF($H$2:H632,H632)=1,ROW()-1,ROWS(Clean_Data[OrderID])+1)</f>
        <v>901</v>
      </c>
      <c r="AE632" s="1">
        <f>IF(COUNTIF($V$2:V632,V632)=1,V632,ROWS(Clean_Data[OrderID])+1)</f>
        <v>901</v>
      </c>
      <c r="AF632" s="1">
        <f>IF(COUNTIF($U$2:U632,U632)=1,U632,ROWS(Clean_Data[OrderID])+1)</f>
        <v>901</v>
      </c>
      <c r="AG632" s="1">
        <f>IF(COUNTIF($E$2:E632,E632)=1,ROW()-1,ROWS(Clean_Data[OrderID])+1)</f>
        <v>901</v>
      </c>
    </row>
    <row r="633" spans="1:33" ht="20" customHeight="1">
      <c r="A633" s="3" t="s">
        <v>1022</v>
      </c>
      <c r="B633" s="2">
        <v>46287</v>
      </c>
      <c r="C633" s="3">
        <v>20</v>
      </c>
      <c r="D633" s="3" t="s">
        <v>150</v>
      </c>
      <c r="E633" s="3" t="s">
        <v>91</v>
      </c>
      <c r="F633" s="3" t="s">
        <v>92</v>
      </c>
      <c r="G633" s="3" t="s">
        <v>174</v>
      </c>
      <c r="H633" s="3" t="s">
        <v>184</v>
      </c>
      <c r="I633" s="3">
        <v>5</v>
      </c>
      <c r="J633" s="11">
        <v>62</v>
      </c>
      <c r="K633" s="4">
        <v>0.1</v>
      </c>
      <c r="L633" s="3" t="s">
        <v>101</v>
      </c>
      <c r="M633" s="3"/>
      <c r="N633" s="3"/>
      <c r="O633" s="3"/>
      <c r="P633" s="11">
        <f>Clean_Data[[#This Row],[Quantity]]*Clean_Data[[#This Row],[UnitPrice]]</f>
        <v>310</v>
      </c>
      <c r="Q633" s="11">
        <f>ROUND(Clean_Data[[#This Row],[GrossSales]]*Clean_Data[[#This Row],[DiscountPct]],2)</f>
        <v>31</v>
      </c>
      <c r="R633" s="11">
        <f>IF(Clean_Data[[#This Row],[Status]]="Delivered",ROUND(Clean_Data[[#This Row],[GrossSales]]-Clean_Data[[#This Row],[DiscountAmount]],2),0)</f>
        <v>0</v>
      </c>
      <c r="S633" s="3" t="str">
        <f>IF(Clean_Data[[#This Row],[OrderHour]]&lt;6,"Night",IF(Clean_Data[[#This Row],[OrderHour]]&lt;12,"Morning",IF(Clean_Data[[#This Row],[OrderHour]]&lt;18,"Afternoon","Evening")))</f>
        <v>Evening</v>
      </c>
      <c r="T633" s="3" t="str">
        <f>TEXT(Clean_Data[[#This Row],[OrderDate]],"[$-409]ddd")</f>
        <v>Tue</v>
      </c>
      <c r="U633" s="3">
        <f>WEEKDAY(Clean_Data[[#This Row],[OrderDate]],2)</f>
        <v>2</v>
      </c>
      <c r="V633" s="3">
        <f>INT(Clean_Data[[#This Row],[OrderHour]]/6)+1</f>
        <v>4</v>
      </c>
      <c r="W633" s="3">
        <f>IF(Clean_Data[[#This Row],[Status]]="Delivered",1,0)</f>
        <v>0</v>
      </c>
      <c r="X633" s="3">
        <f>IF(Clean_Data[[#This Row],[Status]]="Delivered",IF(Clean_Data[[#This Row],[DeliveryMinutes]]&lt;=Dashboard!$X$5,1,0),0)</f>
        <v>0</v>
      </c>
      <c r="Y6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3" s="3">
        <f>IF(AND(Clean_Data[[#This Row],[Include]]=1,Clean_Data[[#This Row],[DeliveredFlag]]=1),1,0)</f>
        <v>0</v>
      </c>
      <c r="AA633" s="1">
        <f>IF(COUNTIF($D$2:D633,D633)=1,ROW()-1,ROWS(Clean_Data[OrderID])+1)</f>
        <v>901</v>
      </c>
      <c r="AB633" s="1">
        <f>IF(COUNTIF($F$2:F633,F633)=1,ROW()-1,ROWS(Clean_Data[OrderID])+1)</f>
        <v>901</v>
      </c>
      <c r="AC633" s="1">
        <f>IF(COUNTIF($G$2:G633,G633)=1,ROW()-1,ROWS(Clean_Data[OrderID])+1)</f>
        <v>901</v>
      </c>
      <c r="AD633" s="1">
        <f>IF(COUNTIF($H$2:H633,H633)=1,ROW()-1,ROWS(Clean_Data[OrderID])+1)</f>
        <v>901</v>
      </c>
      <c r="AE633" s="1">
        <f>IF(COUNTIF($V$2:V633,V633)=1,V633,ROWS(Clean_Data[OrderID])+1)</f>
        <v>901</v>
      </c>
      <c r="AF633" s="1">
        <f>IF(COUNTIF($U$2:U633,U633)=1,U633,ROWS(Clean_Data[OrderID])+1)</f>
        <v>901</v>
      </c>
      <c r="AG633" s="1">
        <f>IF(COUNTIF($E$2:E633,E633)=1,ROW()-1,ROWS(Clean_Data[OrderID])+1)</f>
        <v>901</v>
      </c>
    </row>
    <row r="634" spans="1:33" ht="20" customHeight="1">
      <c r="A634" s="3" t="s">
        <v>1023</v>
      </c>
      <c r="B634" s="2">
        <v>46287</v>
      </c>
      <c r="C634" s="3">
        <v>11</v>
      </c>
      <c r="D634" s="3" t="s">
        <v>460</v>
      </c>
      <c r="E634" s="3" t="s">
        <v>117</v>
      </c>
      <c r="F634" s="3" t="s">
        <v>98</v>
      </c>
      <c r="G634" s="3" t="s">
        <v>99</v>
      </c>
      <c r="H634" s="3" t="s">
        <v>104</v>
      </c>
      <c r="I634" s="3">
        <v>2</v>
      </c>
      <c r="J634" s="11">
        <v>240</v>
      </c>
      <c r="K634" s="4">
        <v>0.15</v>
      </c>
      <c r="L634" s="3" t="s">
        <v>95</v>
      </c>
      <c r="M634" s="3">
        <v>18</v>
      </c>
      <c r="N634" s="3">
        <v>15</v>
      </c>
      <c r="O634" s="3">
        <v>5</v>
      </c>
      <c r="P634" s="11">
        <f>Clean_Data[[#This Row],[Quantity]]*Clean_Data[[#This Row],[UnitPrice]]</f>
        <v>480</v>
      </c>
      <c r="Q634" s="11">
        <f>ROUND(Clean_Data[[#This Row],[GrossSales]]*Clean_Data[[#This Row],[DiscountPct]],2)</f>
        <v>72</v>
      </c>
      <c r="R634" s="11">
        <f>IF(Clean_Data[[#This Row],[Status]]="Delivered",ROUND(Clean_Data[[#This Row],[GrossSales]]-Clean_Data[[#This Row],[DiscountAmount]],2),0)</f>
        <v>408</v>
      </c>
      <c r="S634" s="3" t="str">
        <f>IF(Clean_Data[[#This Row],[OrderHour]]&lt;6,"Night",IF(Clean_Data[[#This Row],[OrderHour]]&lt;12,"Morning",IF(Clean_Data[[#This Row],[OrderHour]]&lt;18,"Afternoon","Evening")))</f>
        <v>Morning</v>
      </c>
      <c r="T634" s="3" t="str">
        <f>TEXT(Clean_Data[[#This Row],[OrderDate]],"[$-409]ddd")</f>
        <v>Tue</v>
      </c>
      <c r="U634" s="3">
        <f>WEEKDAY(Clean_Data[[#This Row],[OrderDate]],2)</f>
        <v>2</v>
      </c>
      <c r="V634" s="3">
        <f>INT(Clean_Data[[#This Row],[OrderHour]]/6)+1</f>
        <v>2</v>
      </c>
      <c r="W634" s="3">
        <f>IF(Clean_Data[[#This Row],[Status]]="Delivered",1,0)</f>
        <v>1</v>
      </c>
      <c r="X634" s="3">
        <f>IF(Clean_Data[[#This Row],[Status]]="Delivered",IF(Clean_Data[[#This Row],[DeliveryMinutes]]&lt;=Dashboard!$X$5,1,0),0)</f>
        <v>1</v>
      </c>
      <c r="Y6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4" s="3">
        <f>IF(AND(Clean_Data[[#This Row],[Include]]=1,Clean_Data[[#This Row],[DeliveredFlag]]=1),1,0)</f>
        <v>1</v>
      </c>
      <c r="AA634" s="1">
        <f>IF(COUNTIF($D$2:D634,D634)=1,ROW()-1,ROWS(Clean_Data[OrderID])+1)</f>
        <v>901</v>
      </c>
      <c r="AB634" s="1">
        <f>IF(COUNTIF($F$2:F634,F634)=1,ROW()-1,ROWS(Clean_Data[OrderID])+1)</f>
        <v>901</v>
      </c>
      <c r="AC634" s="1">
        <f>IF(COUNTIF($G$2:G634,G634)=1,ROW()-1,ROWS(Clean_Data[OrderID])+1)</f>
        <v>901</v>
      </c>
      <c r="AD634" s="1">
        <f>IF(COUNTIF($H$2:H634,H634)=1,ROW()-1,ROWS(Clean_Data[OrderID])+1)</f>
        <v>901</v>
      </c>
      <c r="AE634" s="1">
        <f>IF(COUNTIF($V$2:V634,V634)=1,V634,ROWS(Clean_Data[OrderID])+1)</f>
        <v>901</v>
      </c>
      <c r="AF634" s="1">
        <f>IF(COUNTIF($U$2:U634,U634)=1,U634,ROWS(Clean_Data[OrderID])+1)</f>
        <v>901</v>
      </c>
      <c r="AG634" s="1">
        <f>IF(COUNTIF($E$2:E634,E634)=1,ROW()-1,ROWS(Clean_Data[OrderID])+1)</f>
        <v>901</v>
      </c>
    </row>
    <row r="635" spans="1:33" ht="20" customHeight="1">
      <c r="A635" s="3" t="s">
        <v>1024</v>
      </c>
      <c r="B635" s="2">
        <v>46287</v>
      </c>
      <c r="C635" s="3">
        <v>19</v>
      </c>
      <c r="D635" s="3" t="s">
        <v>301</v>
      </c>
      <c r="E635" s="3" t="s">
        <v>91</v>
      </c>
      <c r="F635" s="3" t="s">
        <v>121</v>
      </c>
      <c r="G635" s="3" t="s">
        <v>99</v>
      </c>
      <c r="H635" s="3" t="s">
        <v>100</v>
      </c>
      <c r="I635" s="3">
        <v>5</v>
      </c>
      <c r="J635" s="11">
        <v>120</v>
      </c>
      <c r="K635" s="4">
        <v>0.05</v>
      </c>
      <c r="L635" s="3" t="s">
        <v>95</v>
      </c>
      <c r="M635" s="3">
        <v>27</v>
      </c>
      <c r="N635" s="3">
        <v>8</v>
      </c>
      <c r="O635" s="3">
        <v>4</v>
      </c>
      <c r="P635" s="11">
        <f>Clean_Data[[#This Row],[Quantity]]*Clean_Data[[#This Row],[UnitPrice]]</f>
        <v>600</v>
      </c>
      <c r="Q635" s="11">
        <f>ROUND(Clean_Data[[#This Row],[GrossSales]]*Clean_Data[[#This Row],[DiscountPct]],2)</f>
        <v>30</v>
      </c>
      <c r="R635" s="11">
        <f>IF(Clean_Data[[#This Row],[Status]]="Delivered",ROUND(Clean_Data[[#This Row],[GrossSales]]-Clean_Data[[#This Row],[DiscountAmount]],2),0)</f>
        <v>570</v>
      </c>
      <c r="S635" s="3" t="str">
        <f>IF(Clean_Data[[#This Row],[OrderHour]]&lt;6,"Night",IF(Clean_Data[[#This Row],[OrderHour]]&lt;12,"Morning",IF(Clean_Data[[#This Row],[OrderHour]]&lt;18,"Afternoon","Evening")))</f>
        <v>Evening</v>
      </c>
      <c r="T635" s="3" t="str">
        <f>TEXT(Clean_Data[[#This Row],[OrderDate]],"[$-409]ddd")</f>
        <v>Tue</v>
      </c>
      <c r="U635" s="3">
        <f>WEEKDAY(Clean_Data[[#This Row],[OrderDate]],2)</f>
        <v>2</v>
      </c>
      <c r="V635" s="3">
        <f>INT(Clean_Data[[#This Row],[OrderHour]]/6)+1</f>
        <v>4</v>
      </c>
      <c r="W635" s="3">
        <f>IF(Clean_Data[[#This Row],[Status]]="Delivered",1,0)</f>
        <v>1</v>
      </c>
      <c r="X635" s="3">
        <f>IF(Clean_Data[[#This Row],[Status]]="Delivered",IF(Clean_Data[[#This Row],[DeliveryMinutes]]&lt;=Dashboard!$X$5,1,0),0)</f>
        <v>1</v>
      </c>
      <c r="Y6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5" s="3">
        <f>IF(AND(Clean_Data[[#This Row],[Include]]=1,Clean_Data[[#This Row],[DeliveredFlag]]=1),1,0)</f>
        <v>1</v>
      </c>
      <c r="AA635" s="1">
        <f>IF(COUNTIF($D$2:D635,D635)=1,ROW()-1,ROWS(Clean_Data[OrderID])+1)</f>
        <v>901</v>
      </c>
      <c r="AB635" s="1">
        <f>IF(COUNTIF($F$2:F635,F635)=1,ROW()-1,ROWS(Clean_Data[OrderID])+1)</f>
        <v>901</v>
      </c>
      <c r="AC635" s="1">
        <f>IF(COUNTIF($G$2:G635,G635)=1,ROW()-1,ROWS(Clean_Data[OrderID])+1)</f>
        <v>901</v>
      </c>
      <c r="AD635" s="1">
        <f>IF(COUNTIF($H$2:H635,H635)=1,ROW()-1,ROWS(Clean_Data[OrderID])+1)</f>
        <v>901</v>
      </c>
      <c r="AE635" s="1">
        <f>IF(COUNTIF($V$2:V635,V635)=1,V635,ROWS(Clean_Data[OrderID])+1)</f>
        <v>901</v>
      </c>
      <c r="AF635" s="1">
        <f>IF(COUNTIF($U$2:U635,U635)=1,U635,ROWS(Clean_Data[OrderID])+1)</f>
        <v>901</v>
      </c>
      <c r="AG635" s="1">
        <f>IF(COUNTIF($E$2:E635,E635)=1,ROW()-1,ROWS(Clean_Data[OrderID])+1)</f>
        <v>901</v>
      </c>
    </row>
    <row r="636" spans="1:33" ht="20" customHeight="1">
      <c r="A636" s="3" t="s">
        <v>1025</v>
      </c>
      <c r="B636" s="2">
        <v>46287</v>
      </c>
      <c r="C636" s="3">
        <v>10</v>
      </c>
      <c r="D636" s="3" t="s">
        <v>1026</v>
      </c>
      <c r="E636" s="3" t="s">
        <v>91</v>
      </c>
      <c r="F636" s="3" t="s">
        <v>121</v>
      </c>
      <c r="G636" s="3" t="s">
        <v>135</v>
      </c>
      <c r="H636" s="3" t="s">
        <v>217</v>
      </c>
      <c r="I636" s="3">
        <v>5</v>
      </c>
      <c r="J636" s="11">
        <v>65</v>
      </c>
      <c r="K636" s="4">
        <v>0.1</v>
      </c>
      <c r="L636" s="3" t="s">
        <v>95</v>
      </c>
      <c r="M636" s="3">
        <v>30</v>
      </c>
      <c r="N636" s="3">
        <v>10</v>
      </c>
      <c r="O636" s="3">
        <v>3</v>
      </c>
      <c r="P636" s="11">
        <f>Clean_Data[[#This Row],[Quantity]]*Clean_Data[[#This Row],[UnitPrice]]</f>
        <v>325</v>
      </c>
      <c r="Q636" s="11">
        <f>ROUND(Clean_Data[[#This Row],[GrossSales]]*Clean_Data[[#This Row],[DiscountPct]],2)</f>
        <v>32.5</v>
      </c>
      <c r="R636" s="11">
        <f>IF(Clean_Data[[#This Row],[Status]]="Delivered",ROUND(Clean_Data[[#This Row],[GrossSales]]-Clean_Data[[#This Row],[DiscountAmount]],2),0)</f>
        <v>292.5</v>
      </c>
      <c r="S636" s="3" t="str">
        <f>IF(Clean_Data[[#This Row],[OrderHour]]&lt;6,"Night",IF(Clean_Data[[#This Row],[OrderHour]]&lt;12,"Morning",IF(Clean_Data[[#This Row],[OrderHour]]&lt;18,"Afternoon","Evening")))</f>
        <v>Morning</v>
      </c>
      <c r="T636" s="3" t="str">
        <f>TEXT(Clean_Data[[#This Row],[OrderDate]],"[$-409]ddd")</f>
        <v>Tue</v>
      </c>
      <c r="U636" s="3">
        <f>WEEKDAY(Clean_Data[[#This Row],[OrderDate]],2)</f>
        <v>2</v>
      </c>
      <c r="V636" s="3">
        <f>INT(Clean_Data[[#This Row],[OrderHour]]/6)+1</f>
        <v>2</v>
      </c>
      <c r="W636" s="3">
        <f>IF(Clean_Data[[#This Row],[Status]]="Delivered",1,0)</f>
        <v>1</v>
      </c>
      <c r="X636" s="3">
        <f>IF(Clean_Data[[#This Row],[Status]]="Delivered",IF(Clean_Data[[#This Row],[DeliveryMinutes]]&lt;=Dashboard!$X$5,1,0),0)</f>
        <v>1</v>
      </c>
      <c r="Y6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6" s="3">
        <f>IF(AND(Clean_Data[[#This Row],[Include]]=1,Clean_Data[[#This Row],[DeliveredFlag]]=1),1,0)</f>
        <v>1</v>
      </c>
      <c r="AA636" s="1">
        <f>IF(COUNTIF($D$2:D636,D636)=1,ROW()-1,ROWS(Clean_Data[OrderID])+1)</f>
        <v>635</v>
      </c>
      <c r="AB636" s="1">
        <f>IF(COUNTIF($F$2:F636,F636)=1,ROW()-1,ROWS(Clean_Data[OrderID])+1)</f>
        <v>901</v>
      </c>
      <c r="AC636" s="1">
        <f>IF(COUNTIF($G$2:G636,G636)=1,ROW()-1,ROWS(Clean_Data[OrderID])+1)</f>
        <v>901</v>
      </c>
      <c r="AD636" s="1">
        <f>IF(COUNTIF($H$2:H636,H636)=1,ROW()-1,ROWS(Clean_Data[OrderID])+1)</f>
        <v>901</v>
      </c>
      <c r="AE636" s="1">
        <f>IF(COUNTIF($V$2:V636,V636)=1,V636,ROWS(Clean_Data[OrderID])+1)</f>
        <v>901</v>
      </c>
      <c r="AF636" s="1">
        <f>IF(COUNTIF($U$2:U636,U636)=1,U636,ROWS(Clean_Data[OrderID])+1)</f>
        <v>901</v>
      </c>
      <c r="AG636" s="1">
        <f>IF(COUNTIF($E$2:E636,E636)=1,ROW()-1,ROWS(Clean_Data[OrderID])+1)</f>
        <v>901</v>
      </c>
    </row>
    <row r="637" spans="1:33" ht="20" customHeight="1">
      <c r="A637" s="3" t="s">
        <v>1027</v>
      </c>
      <c r="B637" s="2">
        <v>46287</v>
      </c>
      <c r="C637" s="3">
        <v>13</v>
      </c>
      <c r="D637" s="3" t="s">
        <v>1028</v>
      </c>
      <c r="E637" s="3" t="s">
        <v>91</v>
      </c>
      <c r="F637" s="3" t="s">
        <v>139</v>
      </c>
      <c r="G637" s="3" t="s">
        <v>135</v>
      </c>
      <c r="H637" s="3" t="s">
        <v>217</v>
      </c>
      <c r="I637" s="3">
        <v>2</v>
      </c>
      <c r="J637" s="11">
        <v>65</v>
      </c>
      <c r="K637" s="4">
        <v>0</v>
      </c>
      <c r="L637" s="3" t="s">
        <v>95</v>
      </c>
      <c r="M637" s="3">
        <v>30</v>
      </c>
      <c r="N637" s="3">
        <v>12</v>
      </c>
      <c r="O637" s="3">
        <v>4</v>
      </c>
      <c r="P637" s="11">
        <f>Clean_Data[[#This Row],[Quantity]]*Clean_Data[[#This Row],[UnitPrice]]</f>
        <v>130</v>
      </c>
      <c r="Q637" s="11">
        <f>ROUND(Clean_Data[[#This Row],[GrossSales]]*Clean_Data[[#This Row],[DiscountPct]],2)</f>
        <v>0</v>
      </c>
      <c r="R637" s="11">
        <f>IF(Clean_Data[[#This Row],[Status]]="Delivered",ROUND(Clean_Data[[#This Row],[GrossSales]]-Clean_Data[[#This Row],[DiscountAmount]],2),0)</f>
        <v>130</v>
      </c>
      <c r="S637" s="3" t="str">
        <f>IF(Clean_Data[[#This Row],[OrderHour]]&lt;6,"Night",IF(Clean_Data[[#This Row],[OrderHour]]&lt;12,"Morning",IF(Clean_Data[[#This Row],[OrderHour]]&lt;18,"Afternoon","Evening")))</f>
        <v>Afternoon</v>
      </c>
      <c r="T637" s="3" t="str">
        <f>TEXT(Clean_Data[[#This Row],[OrderDate]],"[$-409]ddd")</f>
        <v>Tue</v>
      </c>
      <c r="U637" s="3">
        <f>WEEKDAY(Clean_Data[[#This Row],[OrderDate]],2)</f>
        <v>2</v>
      </c>
      <c r="V637" s="3">
        <f>INT(Clean_Data[[#This Row],[OrderHour]]/6)+1</f>
        <v>3</v>
      </c>
      <c r="W637" s="3">
        <f>IF(Clean_Data[[#This Row],[Status]]="Delivered",1,0)</f>
        <v>1</v>
      </c>
      <c r="X637" s="3">
        <f>IF(Clean_Data[[#This Row],[Status]]="Delivered",IF(Clean_Data[[#This Row],[DeliveryMinutes]]&lt;=Dashboard!$X$5,1,0),0)</f>
        <v>1</v>
      </c>
      <c r="Y6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7" s="3">
        <f>IF(AND(Clean_Data[[#This Row],[Include]]=1,Clean_Data[[#This Row],[DeliveredFlag]]=1),1,0)</f>
        <v>1</v>
      </c>
      <c r="AA637" s="1">
        <f>IF(COUNTIF($D$2:D637,D637)=1,ROW()-1,ROWS(Clean_Data[OrderID])+1)</f>
        <v>636</v>
      </c>
      <c r="AB637" s="1">
        <f>IF(COUNTIF($F$2:F637,F637)=1,ROW()-1,ROWS(Clean_Data[OrderID])+1)</f>
        <v>901</v>
      </c>
      <c r="AC637" s="1">
        <f>IF(COUNTIF($G$2:G637,G637)=1,ROW()-1,ROWS(Clean_Data[OrderID])+1)</f>
        <v>901</v>
      </c>
      <c r="AD637" s="1">
        <f>IF(COUNTIF($H$2:H637,H637)=1,ROW()-1,ROWS(Clean_Data[OrderID])+1)</f>
        <v>901</v>
      </c>
      <c r="AE637" s="1">
        <f>IF(COUNTIF($V$2:V637,V637)=1,V637,ROWS(Clean_Data[OrderID])+1)</f>
        <v>901</v>
      </c>
      <c r="AF637" s="1">
        <f>IF(COUNTIF($U$2:U637,U637)=1,U637,ROWS(Clean_Data[OrderID])+1)</f>
        <v>901</v>
      </c>
      <c r="AG637" s="1">
        <f>IF(COUNTIF($E$2:E637,E637)=1,ROW()-1,ROWS(Clean_Data[OrderID])+1)</f>
        <v>901</v>
      </c>
    </row>
    <row r="638" spans="1:33" ht="20" customHeight="1">
      <c r="A638" s="3" t="s">
        <v>1029</v>
      </c>
      <c r="B638" s="2">
        <v>46287</v>
      </c>
      <c r="C638" s="3">
        <v>19</v>
      </c>
      <c r="D638" s="3" t="s">
        <v>788</v>
      </c>
      <c r="E638" s="3" t="s">
        <v>91</v>
      </c>
      <c r="F638" s="3" t="s">
        <v>109</v>
      </c>
      <c r="G638" s="3" t="s">
        <v>93</v>
      </c>
      <c r="H638" s="3" t="s">
        <v>146</v>
      </c>
      <c r="I638" s="3">
        <v>2</v>
      </c>
      <c r="J638" s="11">
        <v>110</v>
      </c>
      <c r="K638" s="4">
        <v>0.1</v>
      </c>
      <c r="L638" s="3" t="s">
        <v>95</v>
      </c>
      <c r="M638" s="3">
        <v>18</v>
      </c>
      <c r="N638" s="3">
        <v>6</v>
      </c>
      <c r="O638" s="3">
        <v>4</v>
      </c>
      <c r="P638" s="11">
        <f>Clean_Data[[#This Row],[Quantity]]*Clean_Data[[#This Row],[UnitPrice]]</f>
        <v>220</v>
      </c>
      <c r="Q638" s="11">
        <f>ROUND(Clean_Data[[#This Row],[GrossSales]]*Clean_Data[[#This Row],[DiscountPct]],2)</f>
        <v>22</v>
      </c>
      <c r="R638" s="11">
        <f>IF(Clean_Data[[#This Row],[Status]]="Delivered",ROUND(Clean_Data[[#This Row],[GrossSales]]-Clean_Data[[#This Row],[DiscountAmount]],2),0)</f>
        <v>198</v>
      </c>
      <c r="S638" s="3" t="str">
        <f>IF(Clean_Data[[#This Row],[OrderHour]]&lt;6,"Night",IF(Clean_Data[[#This Row],[OrderHour]]&lt;12,"Morning",IF(Clean_Data[[#This Row],[OrderHour]]&lt;18,"Afternoon","Evening")))</f>
        <v>Evening</v>
      </c>
      <c r="T638" s="3" t="str">
        <f>TEXT(Clean_Data[[#This Row],[OrderDate]],"[$-409]ddd")</f>
        <v>Tue</v>
      </c>
      <c r="U638" s="3">
        <f>WEEKDAY(Clean_Data[[#This Row],[OrderDate]],2)</f>
        <v>2</v>
      </c>
      <c r="V638" s="3">
        <f>INT(Clean_Data[[#This Row],[OrderHour]]/6)+1</f>
        <v>4</v>
      </c>
      <c r="W638" s="3">
        <f>IF(Clean_Data[[#This Row],[Status]]="Delivered",1,0)</f>
        <v>1</v>
      </c>
      <c r="X638" s="3">
        <f>IF(Clean_Data[[#This Row],[Status]]="Delivered",IF(Clean_Data[[#This Row],[DeliveryMinutes]]&lt;=Dashboard!$X$5,1,0),0)</f>
        <v>1</v>
      </c>
      <c r="Y6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8" s="3">
        <f>IF(AND(Clean_Data[[#This Row],[Include]]=1,Clean_Data[[#This Row],[DeliveredFlag]]=1),1,0)</f>
        <v>1</v>
      </c>
      <c r="AA638" s="1">
        <f>IF(COUNTIF($D$2:D638,D638)=1,ROW()-1,ROWS(Clean_Data[OrderID])+1)</f>
        <v>901</v>
      </c>
      <c r="AB638" s="1">
        <f>IF(COUNTIF($F$2:F638,F638)=1,ROW()-1,ROWS(Clean_Data[OrderID])+1)</f>
        <v>901</v>
      </c>
      <c r="AC638" s="1">
        <f>IF(COUNTIF($G$2:G638,G638)=1,ROW()-1,ROWS(Clean_Data[OrderID])+1)</f>
        <v>901</v>
      </c>
      <c r="AD638" s="1">
        <f>IF(COUNTIF($H$2:H638,H638)=1,ROW()-1,ROWS(Clean_Data[OrderID])+1)</f>
        <v>901</v>
      </c>
      <c r="AE638" s="1">
        <f>IF(COUNTIF($V$2:V638,V638)=1,V638,ROWS(Clean_Data[OrderID])+1)</f>
        <v>901</v>
      </c>
      <c r="AF638" s="1">
        <f>IF(COUNTIF($U$2:U638,U638)=1,U638,ROWS(Clean_Data[OrderID])+1)</f>
        <v>901</v>
      </c>
      <c r="AG638" s="1">
        <f>IF(COUNTIF($E$2:E638,E638)=1,ROW()-1,ROWS(Clean_Data[OrderID])+1)</f>
        <v>901</v>
      </c>
    </row>
    <row r="639" spans="1:33" ht="20" customHeight="1">
      <c r="A639" s="3" t="s">
        <v>1030</v>
      </c>
      <c r="B639" s="2">
        <v>46287</v>
      </c>
      <c r="C639" s="3">
        <v>13</v>
      </c>
      <c r="D639" s="3" t="s">
        <v>255</v>
      </c>
      <c r="E639" s="3" t="s">
        <v>91</v>
      </c>
      <c r="F639" s="3" t="s">
        <v>109</v>
      </c>
      <c r="G639" s="3" t="s">
        <v>122</v>
      </c>
      <c r="H639" s="3" t="s">
        <v>214</v>
      </c>
      <c r="I639" s="3">
        <v>4</v>
      </c>
      <c r="J639" s="11">
        <v>55</v>
      </c>
      <c r="K639" s="4">
        <v>0.15</v>
      </c>
      <c r="L639" s="3" t="s">
        <v>95</v>
      </c>
      <c r="M639" s="3">
        <v>31</v>
      </c>
      <c r="N639" s="3">
        <v>11</v>
      </c>
      <c r="O639" s="3">
        <v>5</v>
      </c>
      <c r="P639" s="11">
        <f>Clean_Data[[#This Row],[Quantity]]*Clean_Data[[#This Row],[UnitPrice]]</f>
        <v>220</v>
      </c>
      <c r="Q639" s="11">
        <f>ROUND(Clean_Data[[#This Row],[GrossSales]]*Clean_Data[[#This Row],[DiscountPct]],2)</f>
        <v>33</v>
      </c>
      <c r="R639" s="11">
        <f>IF(Clean_Data[[#This Row],[Status]]="Delivered",ROUND(Clean_Data[[#This Row],[GrossSales]]-Clean_Data[[#This Row],[DiscountAmount]],2),0)</f>
        <v>187</v>
      </c>
      <c r="S639" s="3" t="str">
        <f>IF(Clean_Data[[#This Row],[OrderHour]]&lt;6,"Night",IF(Clean_Data[[#This Row],[OrderHour]]&lt;12,"Morning",IF(Clean_Data[[#This Row],[OrderHour]]&lt;18,"Afternoon","Evening")))</f>
        <v>Afternoon</v>
      </c>
      <c r="T639" s="3" t="str">
        <f>TEXT(Clean_Data[[#This Row],[OrderDate]],"[$-409]ddd")</f>
        <v>Tue</v>
      </c>
      <c r="U639" s="3">
        <f>WEEKDAY(Clean_Data[[#This Row],[OrderDate]],2)</f>
        <v>2</v>
      </c>
      <c r="V639" s="3">
        <f>INT(Clean_Data[[#This Row],[OrderHour]]/6)+1</f>
        <v>3</v>
      </c>
      <c r="W639" s="3">
        <f>IF(Clean_Data[[#This Row],[Status]]="Delivered",1,0)</f>
        <v>1</v>
      </c>
      <c r="X639" s="3">
        <f>IF(Clean_Data[[#This Row],[Status]]="Delivered",IF(Clean_Data[[#This Row],[DeliveryMinutes]]&lt;=Dashboard!$X$5,1,0),0)</f>
        <v>0</v>
      </c>
      <c r="Y6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39" s="3">
        <f>IF(AND(Clean_Data[[#This Row],[Include]]=1,Clean_Data[[#This Row],[DeliveredFlag]]=1),1,0)</f>
        <v>1</v>
      </c>
      <c r="AA639" s="1">
        <f>IF(COUNTIF($D$2:D639,D639)=1,ROW()-1,ROWS(Clean_Data[OrderID])+1)</f>
        <v>901</v>
      </c>
      <c r="AB639" s="1">
        <f>IF(COUNTIF($F$2:F639,F639)=1,ROW()-1,ROWS(Clean_Data[OrderID])+1)</f>
        <v>901</v>
      </c>
      <c r="AC639" s="1">
        <f>IF(COUNTIF($G$2:G639,G639)=1,ROW()-1,ROWS(Clean_Data[OrderID])+1)</f>
        <v>901</v>
      </c>
      <c r="AD639" s="1">
        <f>IF(COUNTIF($H$2:H639,H639)=1,ROW()-1,ROWS(Clean_Data[OrderID])+1)</f>
        <v>901</v>
      </c>
      <c r="AE639" s="1">
        <f>IF(COUNTIF($V$2:V639,V639)=1,V639,ROWS(Clean_Data[OrderID])+1)</f>
        <v>901</v>
      </c>
      <c r="AF639" s="1">
        <f>IF(COUNTIF($U$2:U639,U639)=1,U639,ROWS(Clean_Data[OrderID])+1)</f>
        <v>901</v>
      </c>
      <c r="AG639" s="1">
        <f>IF(COUNTIF($E$2:E639,E639)=1,ROW()-1,ROWS(Clean_Data[OrderID])+1)</f>
        <v>901</v>
      </c>
    </row>
    <row r="640" spans="1:33" ht="20" customHeight="1">
      <c r="A640" s="3" t="s">
        <v>1031</v>
      </c>
      <c r="B640" s="2">
        <v>46287</v>
      </c>
      <c r="C640" s="3">
        <v>21</v>
      </c>
      <c r="D640" s="3" t="s">
        <v>975</v>
      </c>
      <c r="E640" s="3" t="s">
        <v>117</v>
      </c>
      <c r="F640" s="3" t="s">
        <v>109</v>
      </c>
      <c r="G640" s="3" t="s">
        <v>93</v>
      </c>
      <c r="H640" s="3" t="s">
        <v>146</v>
      </c>
      <c r="I640" s="3">
        <v>2</v>
      </c>
      <c r="J640" s="11">
        <v>110</v>
      </c>
      <c r="K640" s="4">
        <v>0</v>
      </c>
      <c r="L640" s="3" t="s">
        <v>95</v>
      </c>
      <c r="M640" s="3">
        <v>20</v>
      </c>
      <c r="N640" s="3">
        <v>7</v>
      </c>
      <c r="O640" s="3">
        <v>4</v>
      </c>
      <c r="P640" s="11">
        <f>Clean_Data[[#This Row],[Quantity]]*Clean_Data[[#This Row],[UnitPrice]]</f>
        <v>220</v>
      </c>
      <c r="Q640" s="11">
        <f>ROUND(Clean_Data[[#This Row],[GrossSales]]*Clean_Data[[#This Row],[DiscountPct]],2)</f>
        <v>0</v>
      </c>
      <c r="R640" s="11">
        <f>IF(Clean_Data[[#This Row],[Status]]="Delivered",ROUND(Clean_Data[[#This Row],[GrossSales]]-Clean_Data[[#This Row],[DiscountAmount]],2),0)</f>
        <v>220</v>
      </c>
      <c r="S640" s="3" t="str">
        <f>IF(Clean_Data[[#This Row],[OrderHour]]&lt;6,"Night",IF(Clean_Data[[#This Row],[OrderHour]]&lt;12,"Morning",IF(Clean_Data[[#This Row],[OrderHour]]&lt;18,"Afternoon","Evening")))</f>
        <v>Evening</v>
      </c>
      <c r="T640" s="3" t="str">
        <f>TEXT(Clean_Data[[#This Row],[OrderDate]],"[$-409]ddd")</f>
        <v>Tue</v>
      </c>
      <c r="U640" s="3">
        <f>WEEKDAY(Clean_Data[[#This Row],[OrderDate]],2)</f>
        <v>2</v>
      </c>
      <c r="V640" s="3">
        <f>INT(Clean_Data[[#This Row],[OrderHour]]/6)+1</f>
        <v>4</v>
      </c>
      <c r="W640" s="3">
        <f>IF(Clean_Data[[#This Row],[Status]]="Delivered",1,0)</f>
        <v>1</v>
      </c>
      <c r="X640" s="3">
        <f>IF(Clean_Data[[#This Row],[Status]]="Delivered",IF(Clean_Data[[#This Row],[DeliveryMinutes]]&lt;=Dashboard!$X$5,1,0),0)</f>
        <v>1</v>
      </c>
      <c r="Y6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0" s="3">
        <f>IF(AND(Clean_Data[[#This Row],[Include]]=1,Clean_Data[[#This Row],[DeliveredFlag]]=1),1,0)</f>
        <v>1</v>
      </c>
      <c r="AA640" s="1">
        <f>IF(COUNTIF($D$2:D640,D640)=1,ROW()-1,ROWS(Clean_Data[OrderID])+1)</f>
        <v>901</v>
      </c>
      <c r="AB640" s="1">
        <f>IF(COUNTIF($F$2:F640,F640)=1,ROW()-1,ROWS(Clean_Data[OrderID])+1)</f>
        <v>901</v>
      </c>
      <c r="AC640" s="1">
        <f>IF(COUNTIF($G$2:G640,G640)=1,ROW()-1,ROWS(Clean_Data[OrderID])+1)</f>
        <v>901</v>
      </c>
      <c r="AD640" s="1">
        <f>IF(COUNTIF($H$2:H640,H640)=1,ROW()-1,ROWS(Clean_Data[OrderID])+1)</f>
        <v>901</v>
      </c>
      <c r="AE640" s="1">
        <f>IF(COUNTIF($V$2:V640,V640)=1,V640,ROWS(Clean_Data[OrderID])+1)</f>
        <v>901</v>
      </c>
      <c r="AF640" s="1">
        <f>IF(COUNTIF($U$2:U640,U640)=1,U640,ROWS(Clean_Data[OrderID])+1)</f>
        <v>901</v>
      </c>
      <c r="AG640" s="1">
        <f>IF(COUNTIF($E$2:E640,E640)=1,ROW()-1,ROWS(Clean_Data[OrderID])+1)</f>
        <v>901</v>
      </c>
    </row>
    <row r="641" spans="1:33" ht="20" customHeight="1">
      <c r="A641" s="3" t="s">
        <v>1032</v>
      </c>
      <c r="B641" s="2">
        <v>46287</v>
      </c>
      <c r="C641" s="3">
        <v>15</v>
      </c>
      <c r="D641" s="3" t="s">
        <v>930</v>
      </c>
      <c r="E641" s="3" t="s">
        <v>117</v>
      </c>
      <c r="F641" s="3" t="s">
        <v>98</v>
      </c>
      <c r="G641" s="3" t="s">
        <v>174</v>
      </c>
      <c r="H641" s="3" t="s">
        <v>184</v>
      </c>
      <c r="I641" s="3">
        <v>4</v>
      </c>
      <c r="J641" s="11">
        <v>62</v>
      </c>
      <c r="K641" s="4">
        <v>0.15</v>
      </c>
      <c r="L641" s="3" t="s">
        <v>95</v>
      </c>
      <c r="M641" s="3">
        <v>22</v>
      </c>
      <c r="N641" s="3">
        <v>10</v>
      </c>
      <c r="O641" s="3">
        <v>5</v>
      </c>
      <c r="P641" s="11">
        <f>Clean_Data[[#This Row],[Quantity]]*Clean_Data[[#This Row],[UnitPrice]]</f>
        <v>248</v>
      </c>
      <c r="Q641" s="11">
        <f>ROUND(Clean_Data[[#This Row],[GrossSales]]*Clean_Data[[#This Row],[DiscountPct]],2)</f>
        <v>37.200000000000003</v>
      </c>
      <c r="R641" s="11">
        <f>IF(Clean_Data[[#This Row],[Status]]="Delivered",ROUND(Clean_Data[[#This Row],[GrossSales]]-Clean_Data[[#This Row],[DiscountAmount]],2),0)</f>
        <v>210.8</v>
      </c>
      <c r="S641" s="3" t="str">
        <f>IF(Clean_Data[[#This Row],[OrderHour]]&lt;6,"Night",IF(Clean_Data[[#This Row],[OrderHour]]&lt;12,"Morning",IF(Clean_Data[[#This Row],[OrderHour]]&lt;18,"Afternoon","Evening")))</f>
        <v>Afternoon</v>
      </c>
      <c r="T641" s="3" t="str">
        <f>TEXT(Clean_Data[[#This Row],[OrderDate]],"[$-409]ddd")</f>
        <v>Tue</v>
      </c>
      <c r="U641" s="3">
        <f>WEEKDAY(Clean_Data[[#This Row],[OrderDate]],2)</f>
        <v>2</v>
      </c>
      <c r="V641" s="3">
        <f>INT(Clean_Data[[#This Row],[OrderHour]]/6)+1</f>
        <v>3</v>
      </c>
      <c r="W641" s="3">
        <f>IF(Clean_Data[[#This Row],[Status]]="Delivered",1,0)</f>
        <v>1</v>
      </c>
      <c r="X641" s="3">
        <f>IF(Clean_Data[[#This Row],[Status]]="Delivered",IF(Clean_Data[[#This Row],[DeliveryMinutes]]&lt;=Dashboard!$X$5,1,0),0)</f>
        <v>1</v>
      </c>
      <c r="Y6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1" s="3">
        <f>IF(AND(Clean_Data[[#This Row],[Include]]=1,Clean_Data[[#This Row],[DeliveredFlag]]=1),1,0)</f>
        <v>1</v>
      </c>
      <c r="AA641" s="1">
        <f>IF(COUNTIF($D$2:D641,D641)=1,ROW()-1,ROWS(Clean_Data[OrderID])+1)</f>
        <v>901</v>
      </c>
      <c r="AB641" s="1">
        <f>IF(COUNTIF($F$2:F641,F641)=1,ROW()-1,ROWS(Clean_Data[OrderID])+1)</f>
        <v>901</v>
      </c>
      <c r="AC641" s="1">
        <f>IF(COUNTIF($G$2:G641,G641)=1,ROW()-1,ROWS(Clean_Data[OrderID])+1)</f>
        <v>901</v>
      </c>
      <c r="AD641" s="1">
        <f>IF(COUNTIF($H$2:H641,H641)=1,ROW()-1,ROWS(Clean_Data[OrderID])+1)</f>
        <v>901</v>
      </c>
      <c r="AE641" s="1">
        <f>IF(COUNTIF($V$2:V641,V641)=1,V641,ROWS(Clean_Data[OrderID])+1)</f>
        <v>901</v>
      </c>
      <c r="AF641" s="1">
        <f>IF(COUNTIF($U$2:U641,U641)=1,U641,ROWS(Clean_Data[OrderID])+1)</f>
        <v>901</v>
      </c>
      <c r="AG641" s="1">
        <f>IF(COUNTIF($E$2:E641,E641)=1,ROW()-1,ROWS(Clean_Data[OrderID])+1)</f>
        <v>901</v>
      </c>
    </row>
    <row r="642" spans="1:33" ht="20" customHeight="1">
      <c r="A642" s="3" t="s">
        <v>1033</v>
      </c>
      <c r="B642" s="2">
        <v>46287</v>
      </c>
      <c r="C642" s="3">
        <v>15</v>
      </c>
      <c r="D642" s="3" t="s">
        <v>291</v>
      </c>
      <c r="E642" s="3" t="s">
        <v>91</v>
      </c>
      <c r="F642" s="3" t="s">
        <v>109</v>
      </c>
      <c r="G642" s="3" t="s">
        <v>110</v>
      </c>
      <c r="H642" s="3" t="s">
        <v>114</v>
      </c>
      <c r="I642" s="3">
        <v>5</v>
      </c>
      <c r="J642" s="11">
        <v>145</v>
      </c>
      <c r="K642" s="4">
        <v>0</v>
      </c>
      <c r="L642" s="3" t="s">
        <v>95</v>
      </c>
      <c r="M642" s="3">
        <v>35</v>
      </c>
      <c r="N642" s="3">
        <v>12</v>
      </c>
      <c r="O642" s="3">
        <v>4</v>
      </c>
      <c r="P642" s="11">
        <f>Clean_Data[[#This Row],[Quantity]]*Clean_Data[[#This Row],[UnitPrice]]</f>
        <v>725</v>
      </c>
      <c r="Q642" s="11">
        <f>ROUND(Clean_Data[[#This Row],[GrossSales]]*Clean_Data[[#This Row],[DiscountPct]],2)</f>
        <v>0</v>
      </c>
      <c r="R642" s="11">
        <f>IF(Clean_Data[[#This Row],[Status]]="Delivered",ROUND(Clean_Data[[#This Row],[GrossSales]]-Clean_Data[[#This Row],[DiscountAmount]],2),0)</f>
        <v>725</v>
      </c>
      <c r="S642" s="3" t="str">
        <f>IF(Clean_Data[[#This Row],[OrderHour]]&lt;6,"Night",IF(Clean_Data[[#This Row],[OrderHour]]&lt;12,"Morning",IF(Clean_Data[[#This Row],[OrderHour]]&lt;18,"Afternoon","Evening")))</f>
        <v>Afternoon</v>
      </c>
      <c r="T642" s="3" t="str">
        <f>TEXT(Clean_Data[[#This Row],[OrderDate]],"[$-409]ddd")</f>
        <v>Tue</v>
      </c>
      <c r="U642" s="3">
        <f>WEEKDAY(Clean_Data[[#This Row],[OrderDate]],2)</f>
        <v>2</v>
      </c>
      <c r="V642" s="3">
        <f>INT(Clean_Data[[#This Row],[OrderHour]]/6)+1</f>
        <v>3</v>
      </c>
      <c r="W642" s="3">
        <f>IF(Clean_Data[[#This Row],[Status]]="Delivered",1,0)</f>
        <v>1</v>
      </c>
      <c r="X642" s="3">
        <f>IF(Clean_Data[[#This Row],[Status]]="Delivered",IF(Clean_Data[[#This Row],[DeliveryMinutes]]&lt;=Dashboard!$X$5,1,0),0)</f>
        <v>0</v>
      </c>
      <c r="Y6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2" s="3">
        <f>IF(AND(Clean_Data[[#This Row],[Include]]=1,Clean_Data[[#This Row],[DeliveredFlag]]=1),1,0)</f>
        <v>1</v>
      </c>
      <c r="AA642" s="1">
        <f>IF(COUNTIF($D$2:D642,D642)=1,ROW()-1,ROWS(Clean_Data[OrderID])+1)</f>
        <v>901</v>
      </c>
      <c r="AB642" s="1">
        <f>IF(COUNTIF($F$2:F642,F642)=1,ROW()-1,ROWS(Clean_Data[OrderID])+1)</f>
        <v>901</v>
      </c>
      <c r="AC642" s="1">
        <f>IF(COUNTIF($G$2:G642,G642)=1,ROW()-1,ROWS(Clean_Data[OrderID])+1)</f>
        <v>901</v>
      </c>
      <c r="AD642" s="1">
        <f>IF(COUNTIF($H$2:H642,H642)=1,ROW()-1,ROWS(Clean_Data[OrderID])+1)</f>
        <v>901</v>
      </c>
      <c r="AE642" s="1">
        <f>IF(COUNTIF($V$2:V642,V642)=1,V642,ROWS(Clean_Data[OrderID])+1)</f>
        <v>901</v>
      </c>
      <c r="AF642" s="1">
        <f>IF(COUNTIF($U$2:U642,U642)=1,U642,ROWS(Clean_Data[OrderID])+1)</f>
        <v>901</v>
      </c>
      <c r="AG642" s="1">
        <f>IF(COUNTIF($E$2:E642,E642)=1,ROW()-1,ROWS(Clean_Data[OrderID])+1)</f>
        <v>901</v>
      </c>
    </row>
    <row r="643" spans="1:33" ht="20" customHeight="1">
      <c r="A643" s="3" t="s">
        <v>1034</v>
      </c>
      <c r="B643" s="2">
        <v>46287</v>
      </c>
      <c r="C643" s="3">
        <v>9</v>
      </c>
      <c r="D643" s="3" t="s">
        <v>291</v>
      </c>
      <c r="E643" s="3" t="s">
        <v>91</v>
      </c>
      <c r="F643" s="3" t="s">
        <v>139</v>
      </c>
      <c r="G643" s="3" t="s">
        <v>110</v>
      </c>
      <c r="H643" s="3" t="s">
        <v>111</v>
      </c>
      <c r="I643" s="3">
        <v>2</v>
      </c>
      <c r="J643" s="11">
        <v>115</v>
      </c>
      <c r="K643" s="4">
        <v>0</v>
      </c>
      <c r="L643" s="3" t="s">
        <v>95</v>
      </c>
      <c r="M643" s="3">
        <v>30</v>
      </c>
      <c r="N643" s="3">
        <v>14</v>
      </c>
      <c r="O643" s="3">
        <v>5</v>
      </c>
      <c r="P643" s="11">
        <f>Clean_Data[[#This Row],[Quantity]]*Clean_Data[[#This Row],[UnitPrice]]</f>
        <v>230</v>
      </c>
      <c r="Q643" s="11">
        <f>ROUND(Clean_Data[[#This Row],[GrossSales]]*Clean_Data[[#This Row],[DiscountPct]],2)</f>
        <v>0</v>
      </c>
      <c r="R643" s="11">
        <f>IF(Clean_Data[[#This Row],[Status]]="Delivered",ROUND(Clean_Data[[#This Row],[GrossSales]]-Clean_Data[[#This Row],[DiscountAmount]],2),0)</f>
        <v>230</v>
      </c>
      <c r="S643" s="3" t="str">
        <f>IF(Clean_Data[[#This Row],[OrderHour]]&lt;6,"Night",IF(Clean_Data[[#This Row],[OrderHour]]&lt;12,"Morning",IF(Clean_Data[[#This Row],[OrderHour]]&lt;18,"Afternoon","Evening")))</f>
        <v>Morning</v>
      </c>
      <c r="T643" s="3" t="str">
        <f>TEXT(Clean_Data[[#This Row],[OrderDate]],"[$-409]ddd")</f>
        <v>Tue</v>
      </c>
      <c r="U643" s="3">
        <f>WEEKDAY(Clean_Data[[#This Row],[OrderDate]],2)</f>
        <v>2</v>
      </c>
      <c r="V643" s="3">
        <f>INT(Clean_Data[[#This Row],[OrderHour]]/6)+1</f>
        <v>2</v>
      </c>
      <c r="W643" s="3">
        <f>IF(Clean_Data[[#This Row],[Status]]="Delivered",1,0)</f>
        <v>1</v>
      </c>
      <c r="X643" s="3">
        <f>IF(Clean_Data[[#This Row],[Status]]="Delivered",IF(Clean_Data[[#This Row],[DeliveryMinutes]]&lt;=Dashboard!$X$5,1,0),0)</f>
        <v>1</v>
      </c>
      <c r="Y6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3" s="3">
        <f>IF(AND(Clean_Data[[#This Row],[Include]]=1,Clean_Data[[#This Row],[DeliveredFlag]]=1),1,0)</f>
        <v>1</v>
      </c>
      <c r="AA643" s="1">
        <f>IF(COUNTIF($D$2:D643,D643)=1,ROW()-1,ROWS(Clean_Data[OrderID])+1)</f>
        <v>901</v>
      </c>
      <c r="AB643" s="1">
        <f>IF(COUNTIF($F$2:F643,F643)=1,ROW()-1,ROWS(Clean_Data[OrderID])+1)</f>
        <v>901</v>
      </c>
      <c r="AC643" s="1">
        <f>IF(COUNTIF($G$2:G643,G643)=1,ROW()-1,ROWS(Clean_Data[OrderID])+1)</f>
        <v>901</v>
      </c>
      <c r="AD643" s="1">
        <f>IF(COUNTIF($H$2:H643,H643)=1,ROW()-1,ROWS(Clean_Data[OrderID])+1)</f>
        <v>901</v>
      </c>
      <c r="AE643" s="1">
        <f>IF(COUNTIF($V$2:V643,V643)=1,V643,ROWS(Clean_Data[OrderID])+1)</f>
        <v>901</v>
      </c>
      <c r="AF643" s="1">
        <f>IF(COUNTIF($U$2:U643,U643)=1,U643,ROWS(Clean_Data[OrderID])+1)</f>
        <v>901</v>
      </c>
      <c r="AG643" s="1">
        <f>IF(COUNTIF($E$2:E643,E643)=1,ROW()-1,ROWS(Clean_Data[OrderID])+1)</f>
        <v>901</v>
      </c>
    </row>
    <row r="644" spans="1:33" ht="20" customHeight="1">
      <c r="A644" s="3" t="s">
        <v>1035</v>
      </c>
      <c r="B644" s="2">
        <v>46287</v>
      </c>
      <c r="C644" s="3">
        <v>13</v>
      </c>
      <c r="D644" s="3" t="s">
        <v>933</v>
      </c>
      <c r="E644" s="3" t="s">
        <v>117</v>
      </c>
      <c r="F644" s="3" t="s">
        <v>121</v>
      </c>
      <c r="G644" s="3" t="s">
        <v>122</v>
      </c>
      <c r="H644" s="3" t="s">
        <v>214</v>
      </c>
      <c r="I644" s="3">
        <v>3</v>
      </c>
      <c r="J644" s="11">
        <v>55</v>
      </c>
      <c r="K644" s="4">
        <v>0</v>
      </c>
      <c r="L644" s="3" t="s">
        <v>101</v>
      </c>
      <c r="M644" s="3"/>
      <c r="N644" s="3"/>
      <c r="O644" s="3"/>
      <c r="P644" s="11">
        <f>Clean_Data[[#This Row],[Quantity]]*Clean_Data[[#This Row],[UnitPrice]]</f>
        <v>165</v>
      </c>
      <c r="Q644" s="11">
        <f>ROUND(Clean_Data[[#This Row],[GrossSales]]*Clean_Data[[#This Row],[DiscountPct]],2)</f>
        <v>0</v>
      </c>
      <c r="R644" s="11">
        <f>IF(Clean_Data[[#This Row],[Status]]="Delivered",ROUND(Clean_Data[[#This Row],[GrossSales]]-Clean_Data[[#This Row],[DiscountAmount]],2),0)</f>
        <v>0</v>
      </c>
      <c r="S644" s="3" t="str">
        <f>IF(Clean_Data[[#This Row],[OrderHour]]&lt;6,"Night",IF(Clean_Data[[#This Row],[OrderHour]]&lt;12,"Morning",IF(Clean_Data[[#This Row],[OrderHour]]&lt;18,"Afternoon","Evening")))</f>
        <v>Afternoon</v>
      </c>
      <c r="T644" s="3" t="str">
        <f>TEXT(Clean_Data[[#This Row],[OrderDate]],"[$-409]ddd")</f>
        <v>Tue</v>
      </c>
      <c r="U644" s="3">
        <f>WEEKDAY(Clean_Data[[#This Row],[OrderDate]],2)</f>
        <v>2</v>
      </c>
      <c r="V644" s="3">
        <f>INT(Clean_Data[[#This Row],[OrderHour]]/6)+1</f>
        <v>3</v>
      </c>
      <c r="W644" s="3">
        <f>IF(Clean_Data[[#This Row],[Status]]="Delivered",1,0)</f>
        <v>0</v>
      </c>
      <c r="X644" s="3">
        <f>IF(Clean_Data[[#This Row],[Status]]="Delivered",IF(Clean_Data[[#This Row],[DeliveryMinutes]]&lt;=Dashboard!$X$5,1,0),0)</f>
        <v>0</v>
      </c>
      <c r="Y6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4" s="3">
        <f>IF(AND(Clean_Data[[#This Row],[Include]]=1,Clean_Data[[#This Row],[DeliveredFlag]]=1),1,0)</f>
        <v>0</v>
      </c>
      <c r="AA644" s="1">
        <f>IF(COUNTIF($D$2:D644,D644)=1,ROW()-1,ROWS(Clean_Data[OrderID])+1)</f>
        <v>901</v>
      </c>
      <c r="AB644" s="1">
        <f>IF(COUNTIF($F$2:F644,F644)=1,ROW()-1,ROWS(Clean_Data[OrderID])+1)</f>
        <v>901</v>
      </c>
      <c r="AC644" s="1">
        <f>IF(COUNTIF($G$2:G644,G644)=1,ROW()-1,ROWS(Clean_Data[OrderID])+1)</f>
        <v>901</v>
      </c>
      <c r="AD644" s="1">
        <f>IF(COUNTIF($H$2:H644,H644)=1,ROW()-1,ROWS(Clean_Data[OrderID])+1)</f>
        <v>901</v>
      </c>
      <c r="AE644" s="1">
        <f>IF(COUNTIF($V$2:V644,V644)=1,V644,ROWS(Clean_Data[OrderID])+1)</f>
        <v>901</v>
      </c>
      <c r="AF644" s="1">
        <f>IF(COUNTIF($U$2:U644,U644)=1,U644,ROWS(Clean_Data[OrderID])+1)</f>
        <v>901</v>
      </c>
      <c r="AG644" s="1">
        <f>IF(COUNTIF($E$2:E644,E644)=1,ROW()-1,ROWS(Clean_Data[OrderID])+1)</f>
        <v>901</v>
      </c>
    </row>
    <row r="645" spans="1:33" ht="20" customHeight="1">
      <c r="A645" s="3" t="s">
        <v>1036</v>
      </c>
      <c r="B645" s="2">
        <v>46287</v>
      </c>
      <c r="C645" s="3">
        <v>19</v>
      </c>
      <c r="D645" s="3" t="s">
        <v>825</v>
      </c>
      <c r="E645" s="3" t="s">
        <v>117</v>
      </c>
      <c r="F645" s="3" t="s">
        <v>121</v>
      </c>
      <c r="G645" s="3" t="s">
        <v>93</v>
      </c>
      <c r="H645" s="3" t="s">
        <v>94</v>
      </c>
      <c r="I645" s="3">
        <v>5</v>
      </c>
      <c r="J645" s="11">
        <v>95</v>
      </c>
      <c r="K645" s="4">
        <v>0</v>
      </c>
      <c r="L645" s="3" t="s">
        <v>95</v>
      </c>
      <c r="M645" s="3">
        <v>17</v>
      </c>
      <c r="N645" s="3">
        <v>12</v>
      </c>
      <c r="O645" s="3">
        <v>4</v>
      </c>
      <c r="P645" s="11">
        <f>Clean_Data[[#This Row],[Quantity]]*Clean_Data[[#This Row],[UnitPrice]]</f>
        <v>475</v>
      </c>
      <c r="Q645" s="11">
        <f>ROUND(Clean_Data[[#This Row],[GrossSales]]*Clean_Data[[#This Row],[DiscountPct]],2)</f>
        <v>0</v>
      </c>
      <c r="R645" s="11">
        <f>IF(Clean_Data[[#This Row],[Status]]="Delivered",ROUND(Clean_Data[[#This Row],[GrossSales]]-Clean_Data[[#This Row],[DiscountAmount]],2),0)</f>
        <v>475</v>
      </c>
      <c r="S645" s="3" t="str">
        <f>IF(Clean_Data[[#This Row],[OrderHour]]&lt;6,"Night",IF(Clean_Data[[#This Row],[OrderHour]]&lt;12,"Morning",IF(Clean_Data[[#This Row],[OrderHour]]&lt;18,"Afternoon","Evening")))</f>
        <v>Evening</v>
      </c>
      <c r="T645" s="3" t="str">
        <f>TEXT(Clean_Data[[#This Row],[OrderDate]],"[$-409]ddd")</f>
        <v>Tue</v>
      </c>
      <c r="U645" s="3">
        <f>WEEKDAY(Clean_Data[[#This Row],[OrderDate]],2)</f>
        <v>2</v>
      </c>
      <c r="V645" s="3">
        <f>INT(Clean_Data[[#This Row],[OrderHour]]/6)+1</f>
        <v>4</v>
      </c>
      <c r="W645" s="3">
        <f>IF(Clean_Data[[#This Row],[Status]]="Delivered",1,0)</f>
        <v>1</v>
      </c>
      <c r="X645" s="3">
        <f>IF(Clean_Data[[#This Row],[Status]]="Delivered",IF(Clean_Data[[#This Row],[DeliveryMinutes]]&lt;=Dashboard!$X$5,1,0),0)</f>
        <v>1</v>
      </c>
      <c r="Y6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5" s="3">
        <f>IF(AND(Clean_Data[[#This Row],[Include]]=1,Clean_Data[[#This Row],[DeliveredFlag]]=1),1,0)</f>
        <v>1</v>
      </c>
      <c r="AA645" s="1">
        <f>IF(COUNTIF($D$2:D645,D645)=1,ROW()-1,ROWS(Clean_Data[OrderID])+1)</f>
        <v>901</v>
      </c>
      <c r="AB645" s="1">
        <f>IF(COUNTIF($F$2:F645,F645)=1,ROW()-1,ROWS(Clean_Data[OrderID])+1)</f>
        <v>901</v>
      </c>
      <c r="AC645" s="1">
        <f>IF(COUNTIF($G$2:G645,G645)=1,ROW()-1,ROWS(Clean_Data[OrderID])+1)</f>
        <v>901</v>
      </c>
      <c r="AD645" s="1">
        <f>IF(COUNTIF($H$2:H645,H645)=1,ROW()-1,ROWS(Clean_Data[OrderID])+1)</f>
        <v>901</v>
      </c>
      <c r="AE645" s="1">
        <f>IF(COUNTIF($V$2:V645,V645)=1,V645,ROWS(Clean_Data[OrderID])+1)</f>
        <v>901</v>
      </c>
      <c r="AF645" s="1">
        <f>IF(COUNTIF($U$2:U645,U645)=1,U645,ROWS(Clean_Data[OrderID])+1)</f>
        <v>901</v>
      </c>
      <c r="AG645" s="1">
        <f>IF(COUNTIF($E$2:E645,E645)=1,ROW()-1,ROWS(Clean_Data[OrderID])+1)</f>
        <v>901</v>
      </c>
    </row>
    <row r="646" spans="1:33" ht="20" customHeight="1">
      <c r="A646" s="3" t="s">
        <v>1037</v>
      </c>
      <c r="B646" s="2">
        <v>46287</v>
      </c>
      <c r="C646" s="3">
        <v>19</v>
      </c>
      <c r="D646" s="3" t="s">
        <v>337</v>
      </c>
      <c r="E646" s="3" t="s">
        <v>117</v>
      </c>
      <c r="F646" s="3" t="s">
        <v>139</v>
      </c>
      <c r="G646" s="3" t="s">
        <v>122</v>
      </c>
      <c r="H646" s="3" t="s">
        <v>153</v>
      </c>
      <c r="I646" s="3">
        <v>4</v>
      </c>
      <c r="J646" s="11">
        <v>130</v>
      </c>
      <c r="K646" s="4">
        <v>0.1</v>
      </c>
      <c r="L646" s="3" t="s">
        <v>95</v>
      </c>
      <c r="M646" s="3">
        <v>25</v>
      </c>
      <c r="N646" s="3">
        <v>11</v>
      </c>
      <c r="O646" s="3">
        <v>4</v>
      </c>
      <c r="P646" s="11">
        <f>Clean_Data[[#This Row],[Quantity]]*Clean_Data[[#This Row],[UnitPrice]]</f>
        <v>520</v>
      </c>
      <c r="Q646" s="11">
        <f>ROUND(Clean_Data[[#This Row],[GrossSales]]*Clean_Data[[#This Row],[DiscountPct]],2)</f>
        <v>52</v>
      </c>
      <c r="R646" s="11">
        <f>IF(Clean_Data[[#This Row],[Status]]="Delivered",ROUND(Clean_Data[[#This Row],[GrossSales]]-Clean_Data[[#This Row],[DiscountAmount]],2),0)</f>
        <v>468</v>
      </c>
      <c r="S646" s="3" t="str">
        <f>IF(Clean_Data[[#This Row],[OrderHour]]&lt;6,"Night",IF(Clean_Data[[#This Row],[OrderHour]]&lt;12,"Morning",IF(Clean_Data[[#This Row],[OrderHour]]&lt;18,"Afternoon","Evening")))</f>
        <v>Evening</v>
      </c>
      <c r="T646" s="3" t="str">
        <f>TEXT(Clean_Data[[#This Row],[OrderDate]],"[$-409]ddd")</f>
        <v>Tue</v>
      </c>
      <c r="U646" s="3">
        <f>WEEKDAY(Clean_Data[[#This Row],[OrderDate]],2)</f>
        <v>2</v>
      </c>
      <c r="V646" s="3">
        <f>INT(Clean_Data[[#This Row],[OrderHour]]/6)+1</f>
        <v>4</v>
      </c>
      <c r="W646" s="3">
        <f>IF(Clean_Data[[#This Row],[Status]]="Delivered",1,0)</f>
        <v>1</v>
      </c>
      <c r="X646" s="3">
        <f>IF(Clean_Data[[#This Row],[Status]]="Delivered",IF(Clean_Data[[#This Row],[DeliveryMinutes]]&lt;=Dashboard!$X$5,1,0),0)</f>
        <v>1</v>
      </c>
      <c r="Y6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6" s="3">
        <f>IF(AND(Clean_Data[[#This Row],[Include]]=1,Clean_Data[[#This Row],[DeliveredFlag]]=1),1,0)</f>
        <v>1</v>
      </c>
      <c r="AA646" s="1">
        <f>IF(COUNTIF($D$2:D646,D646)=1,ROW()-1,ROWS(Clean_Data[OrderID])+1)</f>
        <v>901</v>
      </c>
      <c r="AB646" s="1">
        <f>IF(COUNTIF($F$2:F646,F646)=1,ROW()-1,ROWS(Clean_Data[OrderID])+1)</f>
        <v>901</v>
      </c>
      <c r="AC646" s="1">
        <f>IF(COUNTIF($G$2:G646,G646)=1,ROW()-1,ROWS(Clean_Data[OrderID])+1)</f>
        <v>901</v>
      </c>
      <c r="AD646" s="1">
        <f>IF(COUNTIF($H$2:H646,H646)=1,ROW()-1,ROWS(Clean_Data[OrderID])+1)</f>
        <v>901</v>
      </c>
      <c r="AE646" s="1">
        <f>IF(COUNTIF($V$2:V646,V646)=1,V646,ROWS(Clean_Data[OrderID])+1)</f>
        <v>901</v>
      </c>
      <c r="AF646" s="1">
        <f>IF(COUNTIF($U$2:U646,U646)=1,U646,ROWS(Clean_Data[OrderID])+1)</f>
        <v>901</v>
      </c>
      <c r="AG646" s="1">
        <f>IF(COUNTIF($E$2:E646,E646)=1,ROW()-1,ROWS(Clean_Data[OrderID])+1)</f>
        <v>901</v>
      </c>
    </row>
    <row r="647" spans="1:33" ht="20" customHeight="1">
      <c r="A647" s="3" t="s">
        <v>1038</v>
      </c>
      <c r="B647" s="2">
        <v>46287</v>
      </c>
      <c r="C647" s="3">
        <v>11</v>
      </c>
      <c r="D647" s="3" t="s">
        <v>1039</v>
      </c>
      <c r="E647" s="3" t="s">
        <v>91</v>
      </c>
      <c r="F647" s="3" t="s">
        <v>109</v>
      </c>
      <c r="G647" s="3" t="s">
        <v>110</v>
      </c>
      <c r="H647" s="3" t="s">
        <v>114</v>
      </c>
      <c r="I647" s="3">
        <v>6</v>
      </c>
      <c r="J647" s="11">
        <v>145</v>
      </c>
      <c r="K647" s="4">
        <v>0</v>
      </c>
      <c r="L647" s="3" t="s">
        <v>95</v>
      </c>
      <c r="M647" s="3">
        <v>15</v>
      </c>
      <c r="N647" s="3">
        <v>7</v>
      </c>
      <c r="O647" s="3">
        <v>4</v>
      </c>
      <c r="P647" s="11">
        <f>Clean_Data[[#This Row],[Quantity]]*Clean_Data[[#This Row],[UnitPrice]]</f>
        <v>870</v>
      </c>
      <c r="Q647" s="11">
        <f>ROUND(Clean_Data[[#This Row],[GrossSales]]*Clean_Data[[#This Row],[DiscountPct]],2)</f>
        <v>0</v>
      </c>
      <c r="R647" s="11">
        <f>IF(Clean_Data[[#This Row],[Status]]="Delivered",ROUND(Clean_Data[[#This Row],[GrossSales]]-Clean_Data[[#This Row],[DiscountAmount]],2),0)</f>
        <v>870</v>
      </c>
      <c r="S647" s="3" t="str">
        <f>IF(Clean_Data[[#This Row],[OrderHour]]&lt;6,"Night",IF(Clean_Data[[#This Row],[OrderHour]]&lt;12,"Morning",IF(Clean_Data[[#This Row],[OrderHour]]&lt;18,"Afternoon","Evening")))</f>
        <v>Morning</v>
      </c>
      <c r="T647" s="3" t="str">
        <f>TEXT(Clean_Data[[#This Row],[OrderDate]],"[$-409]ddd")</f>
        <v>Tue</v>
      </c>
      <c r="U647" s="3">
        <f>WEEKDAY(Clean_Data[[#This Row],[OrderDate]],2)</f>
        <v>2</v>
      </c>
      <c r="V647" s="3">
        <f>INT(Clean_Data[[#This Row],[OrderHour]]/6)+1</f>
        <v>2</v>
      </c>
      <c r="W647" s="3">
        <f>IF(Clean_Data[[#This Row],[Status]]="Delivered",1,0)</f>
        <v>1</v>
      </c>
      <c r="X647" s="3">
        <f>IF(Clean_Data[[#This Row],[Status]]="Delivered",IF(Clean_Data[[#This Row],[DeliveryMinutes]]&lt;=Dashboard!$X$5,1,0),0)</f>
        <v>1</v>
      </c>
      <c r="Y6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7" s="3">
        <f>IF(AND(Clean_Data[[#This Row],[Include]]=1,Clean_Data[[#This Row],[DeliveredFlag]]=1),1,0)</f>
        <v>1</v>
      </c>
      <c r="AA647" s="1">
        <f>IF(COUNTIF($D$2:D647,D647)=1,ROW()-1,ROWS(Clean_Data[OrderID])+1)</f>
        <v>646</v>
      </c>
      <c r="AB647" s="1">
        <f>IF(COUNTIF($F$2:F647,F647)=1,ROW()-1,ROWS(Clean_Data[OrderID])+1)</f>
        <v>901</v>
      </c>
      <c r="AC647" s="1">
        <f>IF(COUNTIF($G$2:G647,G647)=1,ROW()-1,ROWS(Clean_Data[OrderID])+1)</f>
        <v>901</v>
      </c>
      <c r="AD647" s="1">
        <f>IF(COUNTIF($H$2:H647,H647)=1,ROW()-1,ROWS(Clean_Data[OrderID])+1)</f>
        <v>901</v>
      </c>
      <c r="AE647" s="1">
        <f>IF(COUNTIF($V$2:V647,V647)=1,V647,ROWS(Clean_Data[OrderID])+1)</f>
        <v>901</v>
      </c>
      <c r="AF647" s="1">
        <f>IF(COUNTIF($U$2:U647,U647)=1,U647,ROWS(Clean_Data[OrderID])+1)</f>
        <v>901</v>
      </c>
      <c r="AG647" s="1">
        <f>IF(COUNTIF($E$2:E647,E647)=1,ROW()-1,ROWS(Clean_Data[OrderID])+1)</f>
        <v>901</v>
      </c>
    </row>
    <row r="648" spans="1:33" ht="20" customHeight="1">
      <c r="A648" s="3" t="s">
        <v>1040</v>
      </c>
      <c r="B648" s="2">
        <v>46287</v>
      </c>
      <c r="C648" s="3">
        <v>16</v>
      </c>
      <c r="D648" s="3" t="s">
        <v>454</v>
      </c>
      <c r="E648" s="3" t="s">
        <v>91</v>
      </c>
      <c r="F648" s="3" t="s">
        <v>92</v>
      </c>
      <c r="G648" s="3" t="s">
        <v>99</v>
      </c>
      <c r="H648" s="3" t="s">
        <v>100</v>
      </c>
      <c r="I648" s="3">
        <v>1</v>
      </c>
      <c r="J648" s="11">
        <v>120</v>
      </c>
      <c r="K648" s="4">
        <v>0.05</v>
      </c>
      <c r="L648" s="3" t="s">
        <v>95</v>
      </c>
      <c r="M648" s="3">
        <v>22</v>
      </c>
      <c r="N648" s="3">
        <v>8</v>
      </c>
      <c r="O648" s="3">
        <v>3</v>
      </c>
      <c r="P648" s="11">
        <f>Clean_Data[[#This Row],[Quantity]]*Clean_Data[[#This Row],[UnitPrice]]</f>
        <v>120</v>
      </c>
      <c r="Q648" s="11">
        <f>ROUND(Clean_Data[[#This Row],[GrossSales]]*Clean_Data[[#This Row],[DiscountPct]],2)</f>
        <v>6</v>
      </c>
      <c r="R648" s="11">
        <f>IF(Clean_Data[[#This Row],[Status]]="Delivered",ROUND(Clean_Data[[#This Row],[GrossSales]]-Clean_Data[[#This Row],[DiscountAmount]],2),0)</f>
        <v>114</v>
      </c>
      <c r="S648" s="3" t="str">
        <f>IF(Clean_Data[[#This Row],[OrderHour]]&lt;6,"Night",IF(Clean_Data[[#This Row],[OrderHour]]&lt;12,"Morning",IF(Clean_Data[[#This Row],[OrderHour]]&lt;18,"Afternoon","Evening")))</f>
        <v>Afternoon</v>
      </c>
      <c r="T648" s="3" t="str">
        <f>TEXT(Clean_Data[[#This Row],[OrderDate]],"[$-409]ddd")</f>
        <v>Tue</v>
      </c>
      <c r="U648" s="3">
        <f>WEEKDAY(Clean_Data[[#This Row],[OrderDate]],2)</f>
        <v>2</v>
      </c>
      <c r="V648" s="3">
        <f>INT(Clean_Data[[#This Row],[OrderHour]]/6)+1</f>
        <v>3</v>
      </c>
      <c r="W648" s="3">
        <f>IF(Clean_Data[[#This Row],[Status]]="Delivered",1,0)</f>
        <v>1</v>
      </c>
      <c r="X648" s="3">
        <f>IF(Clean_Data[[#This Row],[Status]]="Delivered",IF(Clean_Data[[#This Row],[DeliveryMinutes]]&lt;=Dashboard!$X$5,1,0),0)</f>
        <v>1</v>
      </c>
      <c r="Y6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8" s="3">
        <f>IF(AND(Clean_Data[[#This Row],[Include]]=1,Clean_Data[[#This Row],[DeliveredFlag]]=1),1,0)</f>
        <v>1</v>
      </c>
      <c r="AA648" s="1">
        <f>IF(COUNTIF($D$2:D648,D648)=1,ROW()-1,ROWS(Clean_Data[OrderID])+1)</f>
        <v>901</v>
      </c>
      <c r="AB648" s="1">
        <f>IF(COUNTIF($F$2:F648,F648)=1,ROW()-1,ROWS(Clean_Data[OrderID])+1)</f>
        <v>901</v>
      </c>
      <c r="AC648" s="1">
        <f>IF(COUNTIF($G$2:G648,G648)=1,ROW()-1,ROWS(Clean_Data[OrderID])+1)</f>
        <v>901</v>
      </c>
      <c r="AD648" s="1">
        <f>IF(COUNTIF($H$2:H648,H648)=1,ROW()-1,ROWS(Clean_Data[OrderID])+1)</f>
        <v>901</v>
      </c>
      <c r="AE648" s="1">
        <f>IF(COUNTIF($V$2:V648,V648)=1,V648,ROWS(Clean_Data[OrderID])+1)</f>
        <v>901</v>
      </c>
      <c r="AF648" s="1">
        <f>IF(COUNTIF($U$2:U648,U648)=1,U648,ROWS(Clean_Data[OrderID])+1)</f>
        <v>901</v>
      </c>
      <c r="AG648" s="1">
        <f>IF(COUNTIF($E$2:E648,E648)=1,ROW()-1,ROWS(Clean_Data[OrderID])+1)</f>
        <v>901</v>
      </c>
    </row>
    <row r="649" spans="1:33" ht="20" customHeight="1">
      <c r="A649" s="3" t="s">
        <v>1041</v>
      </c>
      <c r="B649" s="2">
        <v>46287</v>
      </c>
      <c r="C649" s="3">
        <v>10</v>
      </c>
      <c r="D649" s="3" t="s">
        <v>579</v>
      </c>
      <c r="E649" s="3" t="s">
        <v>117</v>
      </c>
      <c r="F649" s="3" t="s">
        <v>109</v>
      </c>
      <c r="G649" s="3" t="s">
        <v>174</v>
      </c>
      <c r="H649" s="3" t="s">
        <v>274</v>
      </c>
      <c r="I649" s="3">
        <v>1</v>
      </c>
      <c r="J649" s="11">
        <v>90</v>
      </c>
      <c r="K649" s="4">
        <v>0</v>
      </c>
      <c r="L649" s="3" t="s">
        <v>95</v>
      </c>
      <c r="M649" s="3">
        <v>27</v>
      </c>
      <c r="N649" s="3">
        <v>12</v>
      </c>
      <c r="O649" s="3">
        <v>4</v>
      </c>
      <c r="P649" s="11">
        <f>Clean_Data[[#This Row],[Quantity]]*Clean_Data[[#This Row],[UnitPrice]]</f>
        <v>90</v>
      </c>
      <c r="Q649" s="11">
        <f>ROUND(Clean_Data[[#This Row],[GrossSales]]*Clean_Data[[#This Row],[DiscountPct]],2)</f>
        <v>0</v>
      </c>
      <c r="R649" s="11">
        <f>IF(Clean_Data[[#This Row],[Status]]="Delivered",ROUND(Clean_Data[[#This Row],[GrossSales]]-Clean_Data[[#This Row],[DiscountAmount]],2),0)</f>
        <v>90</v>
      </c>
      <c r="S649" s="3" t="str">
        <f>IF(Clean_Data[[#This Row],[OrderHour]]&lt;6,"Night",IF(Clean_Data[[#This Row],[OrderHour]]&lt;12,"Morning",IF(Clean_Data[[#This Row],[OrderHour]]&lt;18,"Afternoon","Evening")))</f>
        <v>Morning</v>
      </c>
      <c r="T649" s="3" t="str">
        <f>TEXT(Clean_Data[[#This Row],[OrderDate]],"[$-409]ddd")</f>
        <v>Tue</v>
      </c>
      <c r="U649" s="3">
        <f>WEEKDAY(Clean_Data[[#This Row],[OrderDate]],2)</f>
        <v>2</v>
      </c>
      <c r="V649" s="3">
        <f>INT(Clean_Data[[#This Row],[OrderHour]]/6)+1</f>
        <v>2</v>
      </c>
      <c r="W649" s="3">
        <f>IF(Clean_Data[[#This Row],[Status]]="Delivered",1,0)</f>
        <v>1</v>
      </c>
      <c r="X649" s="3">
        <f>IF(Clean_Data[[#This Row],[Status]]="Delivered",IF(Clean_Data[[#This Row],[DeliveryMinutes]]&lt;=Dashboard!$X$5,1,0),0)</f>
        <v>1</v>
      </c>
      <c r="Y6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49" s="3">
        <f>IF(AND(Clean_Data[[#This Row],[Include]]=1,Clean_Data[[#This Row],[DeliveredFlag]]=1),1,0)</f>
        <v>1</v>
      </c>
      <c r="AA649" s="1">
        <f>IF(COUNTIF($D$2:D649,D649)=1,ROW()-1,ROWS(Clean_Data[OrderID])+1)</f>
        <v>901</v>
      </c>
      <c r="AB649" s="1">
        <f>IF(COUNTIF($F$2:F649,F649)=1,ROW()-1,ROWS(Clean_Data[OrderID])+1)</f>
        <v>901</v>
      </c>
      <c r="AC649" s="1">
        <f>IF(COUNTIF($G$2:G649,G649)=1,ROW()-1,ROWS(Clean_Data[OrderID])+1)</f>
        <v>901</v>
      </c>
      <c r="AD649" s="1">
        <f>IF(COUNTIF($H$2:H649,H649)=1,ROW()-1,ROWS(Clean_Data[OrderID])+1)</f>
        <v>901</v>
      </c>
      <c r="AE649" s="1">
        <f>IF(COUNTIF($V$2:V649,V649)=1,V649,ROWS(Clean_Data[OrderID])+1)</f>
        <v>901</v>
      </c>
      <c r="AF649" s="1">
        <f>IF(COUNTIF($U$2:U649,U649)=1,U649,ROWS(Clean_Data[OrderID])+1)</f>
        <v>901</v>
      </c>
      <c r="AG649" s="1">
        <f>IF(COUNTIF($E$2:E649,E649)=1,ROW()-1,ROWS(Clean_Data[OrderID])+1)</f>
        <v>901</v>
      </c>
    </row>
    <row r="650" spans="1:33" ht="20" customHeight="1">
      <c r="A650" s="3" t="s">
        <v>1042</v>
      </c>
      <c r="B650" s="2">
        <v>46287</v>
      </c>
      <c r="C650" s="3">
        <v>19</v>
      </c>
      <c r="D650" s="3" t="s">
        <v>188</v>
      </c>
      <c r="E650" s="3" t="s">
        <v>117</v>
      </c>
      <c r="F650" s="3" t="s">
        <v>92</v>
      </c>
      <c r="G650" s="3" t="s">
        <v>122</v>
      </c>
      <c r="H650" s="3" t="s">
        <v>214</v>
      </c>
      <c r="I650" s="3">
        <v>3</v>
      </c>
      <c r="J650" s="11">
        <v>55</v>
      </c>
      <c r="K650" s="4">
        <v>0</v>
      </c>
      <c r="L650" s="3" t="s">
        <v>95</v>
      </c>
      <c r="M650" s="3">
        <v>27</v>
      </c>
      <c r="N650" s="3">
        <v>7</v>
      </c>
      <c r="O650" s="3">
        <v>4</v>
      </c>
      <c r="P650" s="11">
        <f>Clean_Data[[#This Row],[Quantity]]*Clean_Data[[#This Row],[UnitPrice]]</f>
        <v>165</v>
      </c>
      <c r="Q650" s="11">
        <f>ROUND(Clean_Data[[#This Row],[GrossSales]]*Clean_Data[[#This Row],[DiscountPct]],2)</f>
        <v>0</v>
      </c>
      <c r="R650" s="11">
        <f>IF(Clean_Data[[#This Row],[Status]]="Delivered",ROUND(Clean_Data[[#This Row],[GrossSales]]-Clean_Data[[#This Row],[DiscountAmount]],2),0)</f>
        <v>165</v>
      </c>
      <c r="S650" s="3" t="str">
        <f>IF(Clean_Data[[#This Row],[OrderHour]]&lt;6,"Night",IF(Clean_Data[[#This Row],[OrderHour]]&lt;12,"Morning",IF(Clean_Data[[#This Row],[OrderHour]]&lt;18,"Afternoon","Evening")))</f>
        <v>Evening</v>
      </c>
      <c r="T650" s="3" t="str">
        <f>TEXT(Clean_Data[[#This Row],[OrderDate]],"[$-409]ddd")</f>
        <v>Tue</v>
      </c>
      <c r="U650" s="3">
        <f>WEEKDAY(Clean_Data[[#This Row],[OrderDate]],2)</f>
        <v>2</v>
      </c>
      <c r="V650" s="3">
        <f>INT(Clean_Data[[#This Row],[OrderHour]]/6)+1</f>
        <v>4</v>
      </c>
      <c r="W650" s="3">
        <f>IF(Clean_Data[[#This Row],[Status]]="Delivered",1,0)</f>
        <v>1</v>
      </c>
      <c r="X650" s="3">
        <f>IF(Clean_Data[[#This Row],[Status]]="Delivered",IF(Clean_Data[[#This Row],[DeliveryMinutes]]&lt;=Dashboard!$X$5,1,0),0)</f>
        <v>1</v>
      </c>
      <c r="Y6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0" s="3">
        <f>IF(AND(Clean_Data[[#This Row],[Include]]=1,Clean_Data[[#This Row],[DeliveredFlag]]=1),1,0)</f>
        <v>1</v>
      </c>
      <c r="AA650" s="1">
        <f>IF(COUNTIF($D$2:D650,D650)=1,ROW()-1,ROWS(Clean_Data[OrderID])+1)</f>
        <v>901</v>
      </c>
      <c r="AB650" s="1">
        <f>IF(COUNTIF($F$2:F650,F650)=1,ROW()-1,ROWS(Clean_Data[OrderID])+1)</f>
        <v>901</v>
      </c>
      <c r="AC650" s="1">
        <f>IF(COUNTIF($G$2:G650,G650)=1,ROW()-1,ROWS(Clean_Data[OrderID])+1)</f>
        <v>901</v>
      </c>
      <c r="AD650" s="1">
        <f>IF(COUNTIF($H$2:H650,H650)=1,ROW()-1,ROWS(Clean_Data[OrderID])+1)</f>
        <v>901</v>
      </c>
      <c r="AE650" s="1">
        <f>IF(COUNTIF($V$2:V650,V650)=1,V650,ROWS(Clean_Data[OrderID])+1)</f>
        <v>901</v>
      </c>
      <c r="AF650" s="1">
        <f>IF(COUNTIF($U$2:U650,U650)=1,U650,ROWS(Clean_Data[OrderID])+1)</f>
        <v>901</v>
      </c>
      <c r="AG650" s="1">
        <f>IF(COUNTIF($E$2:E650,E650)=1,ROW()-1,ROWS(Clean_Data[OrderID])+1)</f>
        <v>901</v>
      </c>
    </row>
    <row r="651" spans="1:33" ht="20" customHeight="1">
      <c r="A651" s="3" t="s">
        <v>1043</v>
      </c>
      <c r="B651" s="2">
        <v>46287</v>
      </c>
      <c r="C651" s="3">
        <v>23</v>
      </c>
      <c r="D651" s="3" t="s">
        <v>97</v>
      </c>
      <c r="E651" s="3" t="s">
        <v>91</v>
      </c>
      <c r="F651" s="3" t="s">
        <v>109</v>
      </c>
      <c r="G651" s="3" t="s">
        <v>122</v>
      </c>
      <c r="H651" s="3" t="s">
        <v>123</v>
      </c>
      <c r="I651" s="3">
        <v>3</v>
      </c>
      <c r="J651" s="11">
        <v>45</v>
      </c>
      <c r="K651" s="4">
        <v>0.15</v>
      </c>
      <c r="L651" s="3" t="s">
        <v>95</v>
      </c>
      <c r="M651" s="3">
        <v>36</v>
      </c>
      <c r="N651" s="3">
        <v>15</v>
      </c>
      <c r="O651" s="3">
        <v>4</v>
      </c>
      <c r="P651" s="11">
        <f>Clean_Data[[#This Row],[Quantity]]*Clean_Data[[#This Row],[UnitPrice]]</f>
        <v>135</v>
      </c>
      <c r="Q651" s="11">
        <f>ROUND(Clean_Data[[#This Row],[GrossSales]]*Clean_Data[[#This Row],[DiscountPct]],2)</f>
        <v>20.25</v>
      </c>
      <c r="R651" s="11">
        <f>IF(Clean_Data[[#This Row],[Status]]="Delivered",ROUND(Clean_Data[[#This Row],[GrossSales]]-Clean_Data[[#This Row],[DiscountAmount]],2),0)</f>
        <v>114.75</v>
      </c>
      <c r="S651" s="3" t="str">
        <f>IF(Clean_Data[[#This Row],[OrderHour]]&lt;6,"Night",IF(Clean_Data[[#This Row],[OrderHour]]&lt;12,"Morning",IF(Clean_Data[[#This Row],[OrderHour]]&lt;18,"Afternoon","Evening")))</f>
        <v>Evening</v>
      </c>
      <c r="T651" s="3" t="str">
        <f>TEXT(Clean_Data[[#This Row],[OrderDate]],"[$-409]ddd")</f>
        <v>Tue</v>
      </c>
      <c r="U651" s="3">
        <f>WEEKDAY(Clean_Data[[#This Row],[OrderDate]],2)</f>
        <v>2</v>
      </c>
      <c r="V651" s="3">
        <f>INT(Clean_Data[[#This Row],[OrderHour]]/6)+1</f>
        <v>4</v>
      </c>
      <c r="W651" s="3">
        <f>IF(Clean_Data[[#This Row],[Status]]="Delivered",1,0)</f>
        <v>1</v>
      </c>
      <c r="X651" s="3">
        <f>IF(Clean_Data[[#This Row],[Status]]="Delivered",IF(Clean_Data[[#This Row],[DeliveryMinutes]]&lt;=Dashboard!$X$5,1,0),0)</f>
        <v>0</v>
      </c>
      <c r="Y6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1" s="3">
        <f>IF(AND(Clean_Data[[#This Row],[Include]]=1,Clean_Data[[#This Row],[DeliveredFlag]]=1),1,0)</f>
        <v>1</v>
      </c>
      <c r="AA651" s="1">
        <f>IF(COUNTIF($D$2:D651,D651)=1,ROW()-1,ROWS(Clean_Data[OrderID])+1)</f>
        <v>901</v>
      </c>
      <c r="AB651" s="1">
        <f>IF(COUNTIF($F$2:F651,F651)=1,ROW()-1,ROWS(Clean_Data[OrderID])+1)</f>
        <v>901</v>
      </c>
      <c r="AC651" s="1">
        <f>IF(COUNTIF($G$2:G651,G651)=1,ROW()-1,ROWS(Clean_Data[OrderID])+1)</f>
        <v>901</v>
      </c>
      <c r="AD651" s="1">
        <f>IF(COUNTIF($H$2:H651,H651)=1,ROW()-1,ROWS(Clean_Data[OrderID])+1)</f>
        <v>901</v>
      </c>
      <c r="AE651" s="1">
        <f>IF(COUNTIF($V$2:V651,V651)=1,V651,ROWS(Clean_Data[OrderID])+1)</f>
        <v>901</v>
      </c>
      <c r="AF651" s="1">
        <f>IF(COUNTIF($U$2:U651,U651)=1,U651,ROWS(Clean_Data[OrderID])+1)</f>
        <v>901</v>
      </c>
      <c r="AG651" s="1">
        <f>IF(COUNTIF($E$2:E651,E651)=1,ROW()-1,ROWS(Clean_Data[OrderID])+1)</f>
        <v>901</v>
      </c>
    </row>
    <row r="652" spans="1:33" ht="20" customHeight="1">
      <c r="A652" s="3" t="s">
        <v>1044</v>
      </c>
      <c r="B652" s="2">
        <v>46287</v>
      </c>
      <c r="C652" s="3">
        <v>17</v>
      </c>
      <c r="D652" s="3" t="s">
        <v>219</v>
      </c>
      <c r="E652" s="3" t="s">
        <v>91</v>
      </c>
      <c r="F652" s="3" t="s">
        <v>121</v>
      </c>
      <c r="G652" s="3" t="s">
        <v>110</v>
      </c>
      <c r="H652" s="3" t="s">
        <v>206</v>
      </c>
      <c r="I652" s="3">
        <v>4</v>
      </c>
      <c r="J652" s="11">
        <v>220</v>
      </c>
      <c r="K652" s="4">
        <v>0.15</v>
      </c>
      <c r="L652" s="3" t="s">
        <v>95</v>
      </c>
      <c r="M652" s="3">
        <v>36</v>
      </c>
      <c r="N652" s="3">
        <v>12</v>
      </c>
      <c r="O652" s="3">
        <v>3</v>
      </c>
      <c r="P652" s="11">
        <f>Clean_Data[[#This Row],[Quantity]]*Clean_Data[[#This Row],[UnitPrice]]</f>
        <v>880</v>
      </c>
      <c r="Q652" s="11">
        <f>ROUND(Clean_Data[[#This Row],[GrossSales]]*Clean_Data[[#This Row],[DiscountPct]],2)</f>
        <v>132</v>
      </c>
      <c r="R652" s="11">
        <f>IF(Clean_Data[[#This Row],[Status]]="Delivered",ROUND(Clean_Data[[#This Row],[GrossSales]]-Clean_Data[[#This Row],[DiscountAmount]],2),0)</f>
        <v>748</v>
      </c>
      <c r="S652" s="3" t="str">
        <f>IF(Clean_Data[[#This Row],[OrderHour]]&lt;6,"Night",IF(Clean_Data[[#This Row],[OrderHour]]&lt;12,"Morning",IF(Clean_Data[[#This Row],[OrderHour]]&lt;18,"Afternoon","Evening")))</f>
        <v>Afternoon</v>
      </c>
      <c r="T652" s="3" t="str">
        <f>TEXT(Clean_Data[[#This Row],[OrderDate]],"[$-409]ddd")</f>
        <v>Tue</v>
      </c>
      <c r="U652" s="3">
        <f>WEEKDAY(Clean_Data[[#This Row],[OrderDate]],2)</f>
        <v>2</v>
      </c>
      <c r="V652" s="3">
        <f>INT(Clean_Data[[#This Row],[OrderHour]]/6)+1</f>
        <v>3</v>
      </c>
      <c r="W652" s="3">
        <f>IF(Clean_Data[[#This Row],[Status]]="Delivered",1,0)</f>
        <v>1</v>
      </c>
      <c r="X652" s="3">
        <f>IF(Clean_Data[[#This Row],[Status]]="Delivered",IF(Clean_Data[[#This Row],[DeliveryMinutes]]&lt;=Dashboard!$X$5,1,0),0)</f>
        <v>0</v>
      </c>
      <c r="Y6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2" s="3">
        <f>IF(AND(Clean_Data[[#This Row],[Include]]=1,Clean_Data[[#This Row],[DeliveredFlag]]=1),1,0)</f>
        <v>1</v>
      </c>
      <c r="AA652" s="1">
        <f>IF(COUNTIF($D$2:D652,D652)=1,ROW()-1,ROWS(Clean_Data[OrderID])+1)</f>
        <v>901</v>
      </c>
      <c r="AB652" s="1">
        <f>IF(COUNTIF($F$2:F652,F652)=1,ROW()-1,ROWS(Clean_Data[OrderID])+1)</f>
        <v>901</v>
      </c>
      <c r="AC652" s="1">
        <f>IF(COUNTIF($G$2:G652,G652)=1,ROW()-1,ROWS(Clean_Data[OrderID])+1)</f>
        <v>901</v>
      </c>
      <c r="AD652" s="1">
        <f>IF(COUNTIF($H$2:H652,H652)=1,ROW()-1,ROWS(Clean_Data[OrderID])+1)</f>
        <v>901</v>
      </c>
      <c r="AE652" s="1">
        <f>IF(COUNTIF($V$2:V652,V652)=1,V652,ROWS(Clean_Data[OrderID])+1)</f>
        <v>901</v>
      </c>
      <c r="AF652" s="1">
        <f>IF(COUNTIF($U$2:U652,U652)=1,U652,ROWS(Clean_Data[OrderID])+1)</f>
        <v>901</v>
      </c>
      <c r="AG652" s="1">
        <f>IF(COUNTIF($E$2:E652,E652)=1,ROW()-1,ROWS(Clean_Data[OrderID])+1)</f>
        <v>901</v>
      </c>
    </row>
    <row r="653" spans="1:33" ht="20" customHeight="1">
      <c r="A653" s="3" t="s">
        <v>1045</v>
      </c>
      <c r="B653" s="2">
        <v>46287</v>
      </c>
      <c r="C653" s="3">
        <v>8</v>
      </c>
      <c r="D653" s="3" t="s">
        <v>361</v>
      </c>
      <c r="E653" s="3" t="s">
        <v>91</v>
      </c>
      <c r="F653" s="3" t="s">
        <v>109</v>
      </c>
      <c r="G653" s="3" t="s">
        <v>174</v>
      </c>
      <c r="H653" s="3" t="s">
        <v>274</v>
      </c>
      <c r="I653" s="3">
        <v>1</v>
      </c>
      <c r="J653" s="11">
        <v>90</v>
      </c>
      <c r="K653" s="4">
        <v>0</v>
      </c>
      <c r="L653" s="3" t="s">
        <v>95</v>
      </c>
      <c r="M653" s="3">
        <v>30</v>
      </c>
      <c r="N653" s="3">
        <v>6</v>
      </c>
      <c r="O653" s="3">
        <v>5</v>
      </c>
      <c r="P653" s="11">
        <f>Clean_Data[[#This Row],[Quantity]]*Clean_Data[[#This Row],[UnitPrice]]</f>
        <v>90</v>
      </c>
      <c r="Q653" s="11">
        <f>ROUND(Clean_Data[[#This Row],[GrossSales]]*Clean_Data[[#This Row],[DiscountPct]],2)</f>
        <v>0</v>
      </c>
      <c r="R653" s="11">
        <f>IF(Clean_Data[[#This Row],[Status]]="Delivered",ROUND(Clean_Data[[#This Row],[GrossSales]]-Clean_Data[[#This Row],[DiscountAmount]],2),0)</f>
        <v>90</v>
      </c>
      <c r="S653" s="3" t="str">
        <f>IF(Clean_Data[[#This Row],[OrderHour]]&lt;6,"Night",IF(Clean_Data[[#This Row],[OrderHour]]&lt;12,"Morning",IF(Clean_Data[[#This Row],[OrderHour]]&lt;18,"Afternoon","Evening")))</f>
        <v>Morning</v>
      </c>
      <c r="T653" s="3" t="str">
        <f>TEXT(Clean_Data[[#This Row],[OrderDate]],"[$-409]ddd")</f>
        <v>Tue</v>
      </c>
      <c r="U653" s="3">
        <f>WEEKDAY(Clean_Data[[#This Row],[OrderDate]],2)</f>
        <v>2</v>
      </c>
      <c r="V653" s="3">
        <f>INT(Clean_Data[[#This Row],[OrderHour]]/6)+1</f>
        <v>2</v>
      </c>
      <c r="W653" s="3">
        <f>IF(Clean_Data[[#This Row],[Status]]="Delivered",1,0)</f>
        <v>1</v>
      </c>
      <c r="X653" s="3">
        <f>IF(Clean_Data[[#This Row],[Status]]="Delivered",IF(Clean_Data[[#This Row],[DeliveryMinutes]]&lt;=Dashboard!$X$5,1,0),0)</f>
        <v>1</v>
      </c>
      <c r="Y6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3" s="3">
        <f>IF(AND(Clean_Data[[#This Row],[Include]]=1,Clean_Data[[#This Row],[DeliveredFlag]]=1),1,0)</f>
        <v>1</v>
      </c>
      <c r="AA653" s="1">
        <f>IF(COUNTIF($D$2:D653,D653)=1,ROW()-1,ROWS(Clean_Data[OrderID])+1)</f>
        <v>901</v>
      </c>
      <c r="AB653" s="1">
        <f>IF(COUNTIF($F$2:F653,F653)=1,ROW()-1,ROWS(Clean_Data[OrderID])+1)</f>
        <v>901</v>
      </c>
      <c r="AC653" s="1">
        <f>IF(COUNTIF($G$2:G653,G653)=1,ROW()-1,ROWS(Clean_Data[OrderID])+1)</f>
        <v>901</v>
      </c>
      <c r="AD653" s="1">
        <f>IF(COUNTIF($H$2:H653,H653)=1,ROW()-1,ROWS(Clean_Data[OrderID])+1)</f>
        <v>901</v>
      </c>
      <c r="AE653" s="1">
        <f>IF(COUNTIF($V$2:V653,V653)=1,V653,ROWS(Clean_Data[OrderID])+1)</f>
        <v>901</v>
      </c>
      <c r="AF653" s="1">
        <f>IF(COUNTIF($U$2:U653,U653)=1,U653,ROWS(Clean_Data[OrderID])+1)</f>
        <v>901</v>
      </c>
      <c r="AG653" s="1">
        <f>IF(COUNTIF($E$2:E653,E653)=1,ROW()-1,ROWS(Clean_Data[OrderID])+1)</f>
        <v>901</v>
      </c>
    </row>
    <row r="654" spans="1:33" ht="20" customHeight="1">
      <c r="A654" s="3" t="s">
        <v>1046</v>
      </c>
      <c r="B654" s="2">
        <v>46287</v>
      </c>
      <c r="C654" s="3">
        <v>17</v>
      </c>
      <c r="D654" s="3" t="s">
        <v>359</v>
      </c>
      <c r="E654" s="3" t="s">
        <v>91</v>
      </c>
      <c r="F654" s="3" t="s">
        <v>92</v>
      </c>
      <c r="G654" s="3" t="s">
        <v>135</v>
      </c>
      <c r="H654" s="3" t="s">
        <v>136</v>
      </c>
      <c r="I654" s="3">
        <v>4</v>
      </c>
      <c r="J654" s="11">
        <v>40</v>
      </c>
      <c r="K654" s="4">
        <v>0</v>
      </c>
      <c r="L654" s="3" t="s">
        <v>101</v>
      </c>
      <c r="M654" s="3"/>
      <c r="N654" s="3"/>
      <c r="O654" s="3"/>
      <c r="P654" s="11">
        <f>Clean_Data[[#This Row],[Quantity]]*Clean_Data[[#This Row],[UnitPrice]]</f>
        <v>160</v>
      </c>
      <c r="Q654" s="11">
        <f>ROUND(Clean_Data[[#This Row],[GrossSales]]*Clean_Data[[#This Row],[DiscountPct]],2)</f>
        <v>0</v>
      </c>
      <c r="R654" s="11">
        <f>IF(Clean_Data[[#This Row],[Status]]="Delivered",ROUND(Clean_Data[[#This Row],[GrossSales]]-Clean_Data[[#This Row],[DiscountAmount]],2),0)</f>
        <v>0</v>
      </c>
      <c r="S654" s="3" t="str">
        <f>IF(Clean_Data[[#This Row],[OrderHour]]&lt;6,"Night",IF(Clean_Data[[#This Row],[OrderHour]]&lt;12,"Morning",IF(Clean_Data[[#This Row],[OrderHour]]&lt;18,"Afternoon","Evening")))</f>
        <v>Afternoon</v>
      </c>
      <c r="T654" s="3" t="str">
        <f>TEXT(Clean_Data[[#This Row],[OrderDate]],"[$-409]ddd")</f>
        <v>Tue</v>
      </c>
      <c r="U654" s="3">
        <f>WEEKDAY(Clean_Data[[#This Row],[OrderDate]],2)</f>
        <v>2</v>
      </c>
      <c r="V654" s="3">
        <f>INT(Clean_Data[[#This Row],[OrderHour]]/6)+1</f>
        <v>3</v>
      </c>
      <c r="W654" s="3">
        <f>IF(Clean_Data[[#This Row],[Status]]="Delivered",1,0)</f>
        <v>0</v>
      </c>
      <c r="X654" s="3">
        <f>IF(Clean_Data[[#This Row],[Status]]="Delivered",IF(Clean_Data[[#This Row],[DeliveryMinutes]]&lt;=Dashboard!$X$5,1,0),0)</f>
        <v>0</v>
      </c>
      <c r="Y6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4" s="3">
        <f>IF(AND(Clean_Data[[#This Row],[Include]]=1,Clean_Data[[#This Row],[DeliveredFlag]]=1),1,0)</f>
        <v>0</v>
      </c>
      <c r="AA654" s="1">
        <f>IF(COUNTIF($D$2:D654,D654)=1,ROW()-1,ROWS(Clean_Data[OrderID])+1)</f>
        <v>901</v>
      </c>
      <c r="AB654" s="1">
        <f>IF(COUNTIF($F$2:F654,F654)=1,ROW()-1,ROWS(Clean_Data[OrderID])+1)</f>
        <v>901</v>
      </c>
      <c r="AC654" s="1">
        <f>IF(COUNTIF($G$2:G654,G654)=1,ROW()-1,ROWS(Clean_Data[OrderID])+1)</f>
        <v>901</v>
      </c>
      <c r="AD654" s="1">
        <f>IF(COUNTIF($H$2:H654,H654)=1,ROW()-1,ROWS(Clean_Data[OrderID])+1)</f>
        <v>901</v>
      </c>
      <c r="AE654" s="1">
        <f>IF(COUNTIF($V$2:V654,V654)=1,V654,ROWS(Clean_Data[OrderID])+1)</f>
        <v>901</v>
      </c>
      <c r="AF654" s="1">
        <f>IF(COUNTIF($U$2:U654,U654)=1,U654,ROWS(Clean_Data[OrderID])+1)</f>
        <v>901</v>
      </c>
      <c r="AG654" s="1">
        <f>IF(COUNTIF($E$2:E654,E654)=1,ROW()-1,ROWS(Clean_Data[OrderID])+1)</f>
        <v>901</v>
      </c>
    </row>
    <row r="655" spans="1:33" ht="20" customHeight="1">
      <c r="A655" s="3" t="s">
        <v>1047</v>
      </c>
      <c r="B655" s="2">
        <v>46287</v>
      </c>
      <c r="C655" s="3">
        <v>19</v>
      </c>
      <c r="D655" s="3" t="s">
        <v>1048</v>
      </c>
      <c r="E655" s="3" t="s">
        <v>91</v>
      </c>
      <c r="F655" s="3" t="s">
        <v>121</v>
      </c>
      <c r="G655" s="3" t="s">
        <v>99</v>
      </c>
      <c r="H655" s="3" t="s">
        <v>100</v>
      </c>
      <c r="I655" s="3">
        <v>4</v>
      </c>
      <c r="J655" s="11">
        <v>120</v>
      </c>
      <c r="K655" s="4">
        <v>0</v>
      </c>
      <c r="L655" s="3" t="s">
        <v>95</v>
      </c>
      <c r="M655" s="3">
        <v>23</v>
      </c>
      <c r="N655" s="3">
        <v>6</v>
      </c>
      <c r="O655" s="3">
        <v>4</v>
      </c>
      <c r="P655" s="11">
        <f>Clean_Data[[#This Row],[Quantity]]*Clean_Data[[#This Row],[UnitPrice]]</f>
        <v>480</v>
      </c>
      <c r="Q655" s="11">
        <f>ROUND(Clean_Data[[#This Row],[GrossSales]]*Clean_Data[[#This Row],[DiscountPct]],2)</f>
        <v>0</v>
      </c>
      <c r="R655" s="11">
        <f>IF(Clean_Data[[#This Row],[Status]]="Delivered",ROUND(Clean_Data[[#This Row],[GrossSales]]-Clean_Data[[#This Row],[DiscountAmount]],2),0)</f>
        <v>480</v>
      </c>
      <c r="S655" s="3" t="str">
        <f>IF(Clean_Data[[#This Row],[OrderHour]]&lt;6,"Night",IF(Clean_Data[[#This Row],[OrderHour]]&lt;12,"Morning",IF(Clean_Data[[#This Row],[OrderHour]]&lt;18,"Afternoon","Evening")))</f>
        <v>Evening</v>
      </c>
      <c r="T655" s="3" t="str">
        <f>TEXT(Clean_Data[[#This Row],[OrderDate]],"[$-409]ddd")</f>
        <v>Tue</v>
      </c>
      <c r="U655" s="3">
        <f>WEEKDAY(Clean_Data[[#This Row],[OrderDate]],2)</f>
        <v>2</v>
      </c>
      <c r="V655" s="3">
        <f>INT(Clean_Data[[#This Row],[OrderHour]]/6)+1</f>
        <v>4</v>
      </c>
      <c r="W655" s="3">
        <f>IF(Clean_Data[[#This Row],[Status]]="Delivered",1,0)</f>
        <v>1</v>
      </c>
      <c r="X655" s="3">
        <f>IF(Clean_Data[[#This Row],[Status]]="Delivered",IF(Clean_Data[[#This Row],[DeliveryMinutes]]&lt;=Dashboard!$X$5,1,0),0)</f>
        <v>1</v>
      </c>
      <c r="Y6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5" s="3">
        <f>IF(AND(Clean_Data[[#This Row],[Include]]=1,Clean_Data[[#This Row],[DeliveredFlag]]=1),1,0)</f>
        <v>1</v>
      </c>
      <c r="AA655" s="1">
        <f>IF(COUNTIF($D$2:D655,D655)=1,ROW()-1,ROWS(Clean_Data[OrderID])+1)</f>
        <v>654</v>
      </c>
      <c r="AB655" s="1">
        <f>IF(COUNTIF($F$2:F655,F655)=1,ROW()-1,ROWS(Clean_Data[OrderID])+1)</f>
        <v>901</v>
      </c>
      <c r="AC655" s="1">
        <f>IF(COUNTIF($G$2:G655,G655)=1,ROW()-1,ROWS(Clean_Data[OrderID])+1)</f>
        <v>901</v>
      </c>
      <c r="AD655" s="1">
        <f>IF(COUNTIF($H$2:H655,H655)=1,ROW()-1,ROWS(Clean_Data[OrderID])+1)</f>
        <v>901</v>
      </c>
      <c r="AE655" s="1">
        <f>IF(COUNTIF($V$2:V655,V655)=1,V655,ROWS(Clean_Data[OrderID])+1)</f>
        <v>901</v>
      </c>
      <c r="AF655" s="1">
        <f>IF(COUNTIF($U$2:U655,U655)=1,U655,ROWS(Clean_Data[OrderID])+1)</f>
        <v>901</v>
      </c>
      <c r="AG655" s="1">
        <f>IF(COUNTIF($E$2:E655,E655)=1,ROW()-1,ROWS(Clean_Data[OrderID])+1)</f>
        <v>901</v>
      </c>
    </row>
    <row r="656" spans="1:33" ht="20" customHeight="1">
      <c r="A656" s="3" t="s">
        <v>1049</v>
      </c>
      <c r="B656" s="2">
        <v>46287</v>
      </c>
      <c r="C656" s="3">
        <v>14</v>
      </c>
      <c r="D656" s="3" t="s">
        <v>417</v>
      </c>
      <c r="E656" s="3" t="s">
        <v>91</v>
      </c>
      <c r="F656" s="3" t="s">
        <v>92</v>
      </c>
      <c r="G656" s="3" t="s">
        <v>174</v>
      </c>
      <c r="H656" s="3" t="s">
        <v>175</v>
      </c>
      <c r="I656" s="3">
        <v>5</v>
      </c>
      <c r="J656" s="11">
        <v>155</v>
      </c>
      <c r="K656" s="4">
        <v>0.05</v>
      </c>
      <c r="L656" s="3" t="s">
        <v>95</v>
      </c>
      <c r="M656" s="3">
        <v>14</v>
      </c>
      <c r="N656" s="3">
        <v>14</v>
      </c>
      <c r="O656" s="3">
        <v>4</v>
      </c>
      <c r="P656" s="11">
        <f>Clean_Data[[#This Row],[Quantity]]*Clean_Data[[#This Row],[UnitPrice]]</f>
        <v>775</v>
      </c>
      <c r="Q656" s="11">
        <f>ROUND(Clean_Data[[#This Row],[GrossSales]]*Clean_Data[[#This Row],[DiscountPct]],2)</f>
        <v>38.75</v>
      </c>
      <c r="R656" s="11">
        <f>IF(Clean_Data[[#This Row],[Status]]="Delivered",ROUND(Clean_Data[[#This Row],[GrossSales]]-Clean_Data[[#This Row],[DiscountAmount]],2),0)</f>
        <v>736.25</v>
      </c>
      <c r="S656" s="3" t="str">
        <f>IF(Clean_Data[[#This Row],[OrderHour]]&lt;6,"Night",IF(Clean_Data[[#This Row],[OrderHour]]&lt;12,"Morning",IF(Clean_Data[[#This Row],[OrderHour]]&lt;18,"Afternoon","Evening")))</f>
        <v>Afternoon</v>
      </c>
      <c r="T656" s="3" t="str">
        <f>TEXT(Clean_Data[[#This Row],[OrderDate]],"[$-409]ddd")</f>
        <v>Tue</v>
      </c>
      <c r="U656" s="3">
        <f>WEEKDAY(Clean_Data[[#This Row],[OrderDate]],2)</f>
        <v>2</v>
      </c>
      <c r="V656" s="3">
        <f>INT(Clean_Data[[#This Row],[OrderHour]]/6)+1</f>
        <v>3</v>
      </c>
      <c r="W656" s="3">
        <f>IF(Clean_Data[[#This Row],[Status]]="Delivered",1,0)</f>
        <v>1</v>
      </c>
      <c r="X656" s="3">
        <f>IF(Clean_Data[[#This Row],[Status]]="Delivered",IF(Clean_Data[[#This Row],[DeliveryMinutes]]&lt;=Dashboard!$X$5,1,0),0)</f>
        <v>1</v>
      </c>
      <c r="Y6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6" s="3">
        <f>IF(AND(Clean_Data[[#This Row],[Include]]=1,Clean_Data[[#This Row],[DeliveredFlag]]=1),1,0)</f>
        <v>1</v>
      </c>
      <c r="AA656" s="1">
        <f>IF(COUNTIF($D$2:D656,D656)=1,ROW()-1,ROWS(Clean_Data[OrderID])+1)</f>
        <v>901</v>
      </c>
      <c r="AB656" s="1">
        <f>IF(COUNTIF($F$2:F656,F656)=1,ROW()-1,ROWS(Clean_Data[OrderID])+1)</f>
        <v>901</v>
      </c>
      <c r="AC656" s="1">
        <f>IF(COUNTIF($G$2:G656,G656)=1,ROW()-1,ROWS(Clean_Data[OrderID])+1)</f>
        <v>901</v>
      </c>
      <c r="AD656" s="1">
        <f>IF(COUNTIF($H$2:H656,H656)=1,ROW()-1,ROWS(Clean_Data[OrderID])+1)</f>
        <v>901</v>
      </c>
      <c r="AE656" s="1">
        <f>IF(COUNTIF($V$2:V656,V656)=1,V656,ROWS(Clean_Data[OrderID])+1)</f>
        <v>901</v>
      </c>
      <c r="AF656" s="1">
        <f>IF(COUNTIF($U$2:U656,U656)=1,U656,ROWS(Clean_Data[OrderID])+1)</f>
        <v>901</v>
      </c>
      <c r="AG656" s="1">
        <f>IF(COUNTIF($E$2:E656,E656)=1,ROW()-1,ROWS(Clean_Data[OrderID])+1)</f>
        <v>901</v>
      </c>
    </row>
    <row r="657" spans="1:33" ht="20" customHeight="1">
      <c r="A657" s="3" t="s">
        <v>1050</v>
      </c>
      <c r="B657" s="2">
        <v>46287</v>
      </c>
      <c r="C657" s="3">
        <v>13</v>
      </c>
      <c r="D657" s="3" t="s">
        <v>267</v>
      </c>
      <c r="E657" s="3" t="s">
        <v>91</v>
      </c>
      <c r="F657" s="3" t="s">
        <v>109</v>
      </c>
      <c r="G657" s="3" t="s">
        <v>99</v>
      </c>
      <c r="H657" s="3" t="s">
        <v>130</v>
      </c>
      <c r="I657" s="3">
        <v>3</v>
      </c>
      <c r="J657" s="11">
        <v>85</v>
      </c>
      <c r="K657" s="4">
        <v>0</v>
      </c>
      <c r="L657" s="3" t="s">
        <v>95</v>
      </c>
      <c r="M657" s="3">
        <v>32</v>
      </c>
      <c r="N657" s="3">
        <v>5</v>
      </c>
      <c r="O657" s="3">
        <v>4</v>
      </c>
      <c r="P657" s="11">
        <f>Clean_Data[[#This Row],[Quantity]]*Clean_Data[[#This Row],[UnitPrice]]</f>
        <v>255</v>
      </c>
      <c r="Q657" s="11">
        <f>ROUND(Clean_Data[[#This Row],[GrossSales]]*Clean_Data[[#This Row],[DiscountPct]],2)</f>
        <v>0</v>
      </c>
      <c r="R657" s="11">
        <f>IF(Clean_Data[[#This Row],[Status]]="Delivered",ROUND(Clean_Data[[#This Row],[GrossSales]]-Clean_Data[[#This Row],[DiscountAmount]],2),0)</f>
        <v>255</v>
      </c>
      <c r="S657" s="3" t="str">
        <f>IF(Clean_Data[[#This Row],[OrderHour]]&lt;6,"Night",IF(Clean_Data[[#This Row],[OrderHour]]&lt;12,"Morning",IF(Clean_Data[[#This Row],[OrderHour]]&lt;18,"Afternoon","Evening")))</f>
        <v>Afternoon</v>
      </c>
      <c r="T657" s="3" t="str">
        <f>TEXT(Clean_Data[[#This Row],[OrderDate]],"[$-409]ddd")</f>
        <v>Tue</v>
      </c>
      <c r="U657" s="3">
        <f>WEEKDAY(Clean_Data[[#This Row],[OrderDate]],2)</f>
        <v>2</v>
      </c>
      <c r="V657" s="3">
        <f>INT(Clean_Data[[#This Row],[OrderHour]]/6)+1</f>
        <v>3</v>
      </c>
      <c r="W657" s="3">
        <f>IF(Clean_Data[[#This Row],[Status]]="Delivered",1,0)</f>
        <v>1</v>
      </c>
      <c r="X657" s="3">
        <f>IF(Clean_Data[[#This Row],[Status]]="Delivered",IF(Clean_Data[[#This Row],[DeliveryMinutes]]&lt;=Dashboard!$X$5,1,0),0)</f>
        <v>0</v>
      </c>
      <c r="Y6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7" s="3">
        <f>IF(AND(Clean_Data[[#This Row],[Include]]=1,Clean_Data[[#This Row],[DeliveredFlag]]=1),1,0)</f>
        <v>1</v>
      </c>
      <c r="AA657" s="1">
        <f>IF(COUNTIF($D$2:D657,D657)=1,ROW()-1,ROWS(Clean_Data[OrderID])+1)</f>
        <v>901</v>
      </c>
      <c r="AB657" s="1">
        <f>IF(COUNTIF($F$2:F657,F657)=1,ROW()-1,ROWS(Clean_Data[OrderID])+1)</f>
        <v>901</v>
      </c>
      <c r="AC657" s="1">
        <f>IF(COUNTIF($G$2:G657,G657)=1,ROW()-1,ROWS(Clean_Data[OrderID])+1)</f>
        <v>901</v>
      </c>
      <c r="AD657" s="1">
        <f>IF(COUNTIF($H$2:H657,H657)=1,ROW()-1,ROWS(Clean_Data[OrderID])+1)</f>
        <v>901</v>
      </c>
      <c r="AE657" s="1">
        <f>IF(COUNTIF($V$2:V657,V657)=1,V657,ROWS(Clean_Data[OrderID])+1)</f>
        <v>901</v>
      </c>
      <c r="AF657" s="1">
        <f>IF(COUNTIF($U$2:U657,U657)=1,U657,ROWS(Clean_Data[OrderID])+1)</f>
        <v>901</v>
      </c>
      <c r="AG657" s="1">
        <f>IF(COUNTIF($E$2:E657,E657)=1,ROW()-1,ROWS(Clean_Data[OrderID])+1)</f>
        <v>901</v>
      </c>
    </row>
    <row r="658" spans="1:33" ht="20" customHeight="1">
      <c r="A658" s="3" t="s">
        <v>1051</v>
      </c>
      <c r="B658" s="2">
        <v>46287</v>
      </c>
      <c r="C658" s="3">
        <v>17</v>
      </c>
      <c r="D658" s="3" t="s">
        <v>474</v>
      </c>
      <c r="E658" s="3" t="s">
        <v>91</v>
      </c>
      <c r="F658" s="3" t="s">
        <v>92</v>
      </c>
      <c r="G658" s="3" t="s">
        <v>110</v>
      </c>
      <c r="H658" s="3" t="s">
        <v>111</v>
      </c>
      <c r="I658" s="3">
        <v>2</v>
      </c>
      <c r="J658" s="11">
        <v>115</v>
      </c>
      <c r="K658" s="4">
        <v>0.05</v>
      </c>
      <c r="L658" s="3" t="s">
        <v>95</v>
      </c>
      <c r="M658" s="3">
        <v>35</v>
      </c>
      <c r="N658" s="3">
        <v>14</v>
      </c>
      <c r="O658" s="3">
        <v>5</v>
      </c>
      <c r="P658" s="11">
        <f>Clean_Data[[#This Row],[Quantity]]*Clean_Data[[#This Row],[UnitPrice]]</f>
        <v>230</v>
      </c>
      <c r="Q658" s="11">
        <f>ROUND(Clean_Data[[#This Row],[GrossSales]]*Clean_Data[[#This Row],[DiscountPct]],2)</f>
        <v>11.5</v>
      </c>
      <c r="R658" s="11">
        <f>IF(Clean_Data[[#This Row],[Status]]="Delivered",ROUND(Clean_Data[[#This Row],[GrossSales]]-Clean_Data[[#This Row],[DiscountAmount]],2),0)</f>
        <v>218.5</v>
      </c>
      <c r="S658" s="3" t="str">
        <f>IF(Clean_Data[[#This Row],[OrderHour]]&lt;6,"Night",IF(Clean_Data[[#This Row],[OrderHour]]&lt;12,"Morning",IF(Clean_Data[[#This Row],[OrderHour]]&lt;18,"Afternoon","Evening")))</f>
        <v>Afternoon</v>
      </c>
      <c r="T658" s="3" t="str">
        <f>TEXT(Clean_Data[[#This Row],[OrderDate]],"[$-409]ddd")</f>
        <v>Tue</v>
      </c>
      <c r="U658" s="3">
        <f>WEEKDAY(Clean_Data[[#This Row],[OrderDate]],2)</f>
        <v>2</v>
      </c>
      <c r="V658" s="3">
        <f>INT(Clean_Data[[#This Row],[OrderHour]]/6)+1</f>
        <v>3</v>
      </c>
      <c r="W658" s="3">
        <f>IF(Clean_Data[[#This Row],[Status]]="Delivered",1,0)</f>
        <v>1</v>
      </c>
      <c r="X658" s="3">
        <f>IF(Clean_Data[[#This Row],[Status]]="Delivered",IF(Clean_Data[[#This Row],[DeliveryMinutes]]&lt;=Dashboard!$X$5,1,0),0)</f>
        <v>0</v>
      </c>
      <c r="Y6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8" s="3">
        <f>IF(AND(Clean_Data[[#This Row],[Include]]=1,Clean_Data[[#This Row],[DeliveredFlag]]=1),1,0)</f>
        <v>1</v>
      </c>
      <c r="AA658" s="1">
        <f>IF(COUNTIF($D$2:D658,D658)=1,ROW()-1,ROWS(Clean_Data[OrderID])+1)</f>
        <v>901</v>
      </c>
      <c r="AB658" s="1">
        <f>IF(COUNTIF($F$2:F658,F658)=1,ROW()-1,ROWS(Clean_Data[OrderID])+1)</f>
        <v>901</v>
      </c>
      <c r="AC658" s="1">
        <f>IF(COUNTIF($G$2:G658,G658)=1,ROW()-1,ROWS(Clean_Data[OrderID])+1)</f>
        <v>901</v>
      </c>
      <c r="AD658" s="1">
        <f>IF(COUNTIF($H$2:H658,H658)=1,ROW()-1,ROWS(Clean_Data[OrderID])+1)</f>
        <v>901</v>
      </c>
      <c r="AE658" s="1">
        <f>IF(COUNTIF($V$2:V658,V658)=1,V658,ROWS(Clean_Data[OrderID])+1)</f>
        <v>901</v>
      </c>
      <c r="AF658" s="1">
        <f>IF(COUNTIF($U$2:U658,U658)=1,U658,ROWS(Clean_Data[OrderID])+1)</f>
        <v>901</v>
      </c>
      <c r="AG658" s="1">
        <f>IF(COUNTIF($E$2:E658,E658)=1,ROW()-1,ROWS(Clean_Data[OrderID])+1)</f>
        <v>901</v>
      </c>
    </row>
    <row r="659" spans="1:33" ht="20" customHeight="1">
      <c r="A659" s="3" t="s">
        <v>1052</v>
      </c>
      <c r="B659" s="2">
        <v>46287</v>
      </c>
      <c r="C659" s="3">
        <v>19</v>
      </c>
      <c r="D659" s="3" t="s">
        <v>489</v>
      </c>
      <c r="E659" s="3" t="s">
        <v>117</v>
      </c>
      <c r="F659" s="3" t="s">
        <v>139</v>
      </c>
      <c r="G659" s="3" t="s">
        <v>135</v>
      </c>
      <c r="H659" s="3" t="s">
        <v>136</v>
      </c>
      <c r="I659" s="3">
        <v>4</v>
      </c>
      <c r="J659" s="11">
        <v>40</v>
      </c>
      <c r="K659" s="4">
        <v>0</v>
      </c>
      <c r="L659" s="3" t="s">
        <v>95</v>
      </c>
      <c r="M659" s="3">
        <v>36</v>
      </c>
      <c r="N659" s="3">
        <v>13</v>
      </c>
      <c r="O659" s="3">
        <v>3</v>
      </c>
      <c r="P659" s="11">
        <f>Clean_Data[[#This Row],[Quantity]]*Clean_Data[[#This Row],[UnitPrice]]</f>
        <v>160</v>
      </c>
      <c r="Q659" s="11">
        <f>ROUND(Clean_Data[[#This Row],[GrossSales]]*Clean_Data[[#This Row],[DiscountPct]],2)</f>
        <v>0</v>
      </c>
      <c r="R659" s="11">
        <f>IF(Clean_Data[[#This Row],[Status]]="Delivered",ROUND(Clean_Data[[#This Row],[GrossSales]]-Clean_Data[[#This Row],[DiscountAmount]],2),0)</f>
        <v>160</v>
      </c>
      <c r="S659" s="3" t="str">
        <f>IF(Clean_Data[[#This Row],[OrderHour]]&lt;6,"Night",IF(Clean_Data[[#This Row],[OrderHour]]&lt;12,"Morning",IF(Clean_Data[[#This Row],[OrderHour]]&lt;18,"Afternoon","Evening")))</f>
        <v>Evening</v>
      </c>
      <c r="T659" s="3" t="str">
        <f>TEXT(Clean_Data[[#This Row],[OrderDate]],"[$-409]ddd")</f>
        <v>Tue</v>
      </c>
      <c r="U659" s="3">
        <f>WEEKDAY(Clean_Data[[#This Row],[OrderDate]],2)</f>
        <v>2</v>
      </c>
      <c r="V659" s="3">
        <f>INT(Clean_Data[[#This Row],[OrderHour]]/6)+1</f>
        <v>4</v>
      </c>
      <c r="W659" s="3">
        <f>IF(Clean_Data[[#This Row],[Status]]="Delivered",1,0)</f>
        <v>1</v>
      </c>
      <c r="X659" s="3">
        <f>IF(Clean_Data[[#This Row],[Status]]="Delivered",IF(Clean_Data[[#This Row],[DeliveryMinutes]]&lt;=Dashboard!$X$5,1,0),0)</f>
        <v>0</v>
      </c>
      <c r="Y6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59" s="3">
        <f>IF(AND(Clean_Data[[#This Row],[Include]]=1,Clean_Data[[#This Row],[DeliveredFlag]]=1),1,0)</f>
        <v>1</v>
      </c>
      <c r="AA659" s="1">
        <f>IF(COUNTIF($D$2:D659,D659)=1,ROW()-1,ROWS(Clean_Data[OrderID])+1)</f>
        <v>901</v>
      </c>
      <c r="AB659" s="1">
        <f>IF(COUNTIF($F$2:F659,F659)=1,ROW()-1,ROWS(Clean_Data[OrderID])+1)</f>
        <v>901</v>
      </c>
      <c r="AC659" s="1">
        <f>IF(COUNTIF($G$2:G659,G659)=1,ROW()-1,ROWS(Clean_Data[OrderID])+1)</f>
        <v>901</v>
      </c>
      <c r="AD659" s="1">
        <f>IF(COUNTIF($H$2:H659,H659)=1,ROW()-1,ROWS(Clean_Data[OrderID])+1)</f>
        <v>901</v>
      </c>
      <c r="AE659" s="1">
        <f>IF(COUNTIF($V$2:V659,V659)=1,V659,ROWS(Clean_Data[OrderID])+1)</f>
        <v>901</v>
      </c>
      <c r="AF659" s="1">
        <f>IF(COUNTIF($U$2:U659,U659)=1,U659,ROWS(Clean_Data[OrderID])+1)</f>
        <v>901</v>
      </c>
      <c r="AG659" s="1">
        <f>IF(COUNTIF($E$2:E659,E659)=1,ROW()-1,ROWS(Clean_Data[OrderID])+1)</f>
        <v>901</v>
      </c>
    </row>
    <row r="660" spans="1:33" ht="20" customHeight="1">
      <c r="A660" s="3" t="s">
        <v>1053</v>
      </c>
      <c r="B660" s="2">
        <v>46287</v>
      </c>
      <c r="C660" s="3">
        <v>8</v>
      </c>
      <c r="D660" s="3" t="s">
        <v>930</v>
      </c>
      <c r="E660" s="3" t="s">
        <v>117</v>
      </c>
      <c r="F660" s="3" t="s">
        <v>139</v>
      </c>
      <c r="G660" s="3" t="s">
        <v>93</v>
      </c>
      <c r="H660" s="3" t="s">
        <v>94</v>
      </c>
      <c r="I660" s="3">
        <v>1</v>
      </c>
      <c r="J660" s="11">
        <v>95</v>
      </c>
      <c r="K660" s="4">
        <v>0</v>
      </c>
      <c r="L660" s="3" t="s">
        <v>95</v>
      </c>
      <c r="M660" s="3">
        <v>33</v>
      </c>
      <c r="N660" s="3">
        <v>6</v>
      </c>
      <c r="O660" s="3">
        <v>4</v>
      </c>
      <c r="P660" s="11">
        <f>Clean_Data[[#This Row],[Quantity]]*Clean_Data[[#This Row],[UnitPrice]]</f>
        <v>95</v>
      </c>
      <c r="Q660" s="11">
        <f>ROUND(Clean_Data[[#This Row],[GrossSales]]*Clean_Data[[#This Row],[DiscountPct]],2)</f>
        <v>0</v>
      </c>
      <c r="R660" s="11">
        <f>IF(Clean_Data[[#This Row],[Status]]="Delivered",ROUND(Clean_Data[[#This Row],[GrossSales]]-Clean_Data[[#This Row],[DiscountAmount]],2),0)</f>
        <v>95</v>
      </c>
      <c r="S660" s="3" t="str">
        <f>IF(Clean_Data[[#This Row],[OrderHour]]&lt;6,"Night",IF(Clean_Data[[#This Row],[OrderHour]]&lt;12,"Morning",IF(Clean_Data[[#This Row],[OrderHour]]&lt;18,"Afternoon","Evening")))</f>
        <v>Morning</v>
      </c>
      <c r="T660" s="3" t="str">
        <f>TEXT(Clean_Data[[#This Row],[OrderDate]],"[$-409]ddd")</f>
        <v>Tue</v>
      </c>
      <c r="U660" s="3">
        <f>WEEKDAY(Clean_Data[[#This Row],[OrderDate]],2)</f>
        <v>2</v>
      </c>
      <c r="V660" s="3">
        <f>INT(Clean_Data[[#This Row],[OrderHour]]/6)+1</f>
        <v>2</v>
      </c>
      <c r="W660" s="3">
        <f>IF(Clean_Data[[#This Row],[Status]]="Delivered",1,0)</f>
        <v>1</v>
      </c>
      <c r="X660" s="3">
        <f>IF(Clean_Data[[#This Row],[Status]]="Delivered",IF(Clean_Data[[#This Row],[DeliveryMinutes]]&lt;=Dashboard!$X$5,1,0),0)</f>
        <v>0</v>
      </c>
      <c r="Y6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0" s="3">
        <f>IF(AND(Clean_Data[[#This Row],[Include]]=1,Clean_Data[[#This Row],[DeliveredFlag]]=1),1,0)</f>
        <v>1</v>
      </c>
      <c r="AA660" s="1">
        <f>IF(COUNTIF($D$2:D660,D660)=1,ROW()-1,ROWS(Clean_Data[OrderID])+1)</f>
        <v>901</v>
      </c>
      <c r="AB660" s="1">
        <f>IF(COUNTIF($F$2:F660,F660)=1,ROW()-1,ROWS(Clean_Data[OrderID])+1)</f>
        <v>901</v>
      </c>
      <c r="AC660" s="1">
        <f>IF(COUNTIF($G$2:G660,G660)=1,ROW()-1,ROWS(Clean_Data[OrderID])+1)</f>
        <v>901</v>
      </c>
      <c r="AD660" s="1">
        <f>IF(COUNTIF($H$2:H660,H660)=1,ROW()-1,ROWS(Clean_Data[OrderID])+1)</f>
        <v>901</v>
      </c>
      <c r="AE660" s="1">
        <f>IF(COUNTIF($V$2:V660,V660)=1,V660,ROWS(Clean_Data[OrderID])+1)</f>
        <v>901</v>
      </c>
      <c r="AF660" s="1">
        <f>IF(COUNTIF($U$2:U660,U660)=1,U660,ROWS(Clean_Data[OrderID])+1)</f>
        <v>901</v>
      </c>
      <c r="AG660" s="1">
        <f>IF(COUNTIF($E$2:E660,E660)=1,ROW()-1,ROWS(Clean_Data[OrderID])+1)</f>
        <v>901</v>
      </c>
    </row>
    <row r="661" spans="1:33" ht="20" customHeight="1">
      <c r="A661" s="3" t="s">
        <v>1054</v>
      </c>
      <c r="B661" s="2">
        <v>46287</v>
      </c>
      <c r="C661" s="3">
        <v>16</v>
      </c>
      <c r="D661" s="3" t="s">
        <v>1048</v>
      </c>
      <c r="E661" s="3" t="s">
        <v>91</v>
      </c>
      <c r="F661" s="3" t="s">
        <v>121</v>
      </c>
      <c r="G661" s="3" t="s">
        <v>110</v>
      </c>
      <c r="H661" s="3" t="s">
        <v>206</v>
      </c>
      <c r="I661" s="3">
        <v>2</v>
      </c>
      <c r="J661" s="11">
        <v>220</v>
      </c>
      <c r="K661" s="4">
        <v>0</v>
      </c>
      <c r="L661" s="3" t="s">
        <v>95</v>
      </c>
      <c r="M661" s="3">
        <v>22</v>
      </c>
      <c r="N661" s="3">
        <v>9</v>
      </c>
      <c r="O661" s="3">
        <v>5</v>
      </c>
      <c r="P661" s="11">
        <f>Clean_Data[[#This Row],[Quantity]]*Clean_Data[[#This Row],[UnitPrice]]</f>
        <v>440</v>
      </c>
      <c r="Q661" s="11">
        <f>ROUND(Clean_Data[[#This Row],[GrossSales]]*Clean_Data[[#This Row],[DiscountPct]],2)</f>
        <v>0</v>
      </c>
      <c r="R661" s="11">
        <f>IF(Clean_Data[[#This Row],[Status]]="Delivered",ROUND(Clean_Data[[#This Row],[GrossSales]]-Clean_Data[[#This Row],[DiscountAmount]],2),0)</f>
        <v>440</v>
      </c>
      <c r="S661" s="3" t="str">
        <f>IF(Clean_Data[[#This Row],[OrderHour]]&lt;6,"Night",IF(Clean_Data[[#This Row],[OrderHour]]&lt;12,"Morning",IF(Clean_Data[[#This Row],[OrderHour]]&lt;18,"Afternoon","Evening")))</f>
        <v>Afternoon</v>
      </c>
      <c r="T661" s="3" t="str">
        <f>TEXT(Clean_Data[[#This Row],[OrderDate]],"[$-409]ddd")</f>
        <v>Tue</v>
      </c>
      <c r="U661" s="3">
        <f>WEEKDAY(Clean_Data[[#This Row],[OrderDate]],2)</f>
        <v>2</v>
      </c>
      <c r="V661" s="3">
        <f>INT(Clean_Data[[#This Row],[OrderHour]]/6)+1</f>
        <v>3</v>
      </c>
      <c r="W661" s="3">
        <f>IF(Clean_Data[[#This Row],[Status]]="Delivered",1,0)</f>
        <v>1</v>
      </c>
      <c r="X661" s="3">
        <f>IF(Clean_Data[[#This Row],[Status]]="Delivered",IF(Clean_Data[[#This Row],[DeliveryMinutes]]&lt;=Dashboard!$X$5,1,0),0)</f>
        <v>1</v>
      </c>
      <c r="Y6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1" s="3">
        <f>IF(AND(Clean_Data[[#This Row],[Include]]=1,Clean_Data[[#This Row],[DeliveredFlag]]=1),1,0)</f>
        <v>1</v>
      </c>
      <c r="AA661" s="1">
        <f>IF(COUNTIF($D$2:D661,D661)=1,ROW()-1,ROWS(Clean_Data[OrderID])+1)</f>
        <v>901</v>
      </c>
      <c r="AB661" s="1">
        <f>IF(COUNTIF($F$2:F661,F661)=1,ROW()-1,ROWS(Clean_Data[OrderID])+1)</f>
        <v>901</v>
      </c>
      <c r="AC661" s="1">
        <f>IF(COUNTIF($G$2:G661,G661)=1,ROW()-1,ROWS(Clean_Data[OrderID])+1)</f>
        <v>901</v>
      </c>
      <c r="AD661" s="1">
        <f>IF(COUNTIF($H$2:H661,H661)=1,ROW()-1,ROWS(Clean_Data[OrderID])+1)</f>
        <v>901</v>
      </c>
      <c r="AE661" s="1">
        <f>IF(COUNTIF($V$2:V661,V661)=1,V661,ROWS(Clean_Data[OrderID])+1)</f>
        <v>901</v>
      </c>
      <c r="AF661" s="1">
        <f>IF(COUNTIF($U$2:U661,U661)=1,U661,ROWS(Clean_Data[OrderID])+1)</f>
        <v>901</v>
      </c>
      <c r="AG661" s="1">
        <f>IF(COUNTIF($E$2:E661,E661)=1,ROW()-1,ROWS(Clean_Data[OrderID])+1)</f>
        <v>901</v>
      </c>
    </row>
    <row r="662" spans="1:33" ht="20" customHeight="1">
      <c r="A662" s="3" t="s">
        <v>1055</v>
      </c>
      <c r="B662" s="2">
        <v>46288</v>
      </c>
      <c r="C662" s="3">
        <v>19</v>
      </c>
      <c r="D662" s="3" t="s">
        <v>513</v>
      </c>
      <c r="E662" s="3" t="s">
        <v>117</v>
      </c>
      <c r="F662" s="3" t="s">
        <v>121</v>
      </c>
      <c r="G662" s="3" t="s">
        <v>99</v>
      </c>
      <c r="H662" s="3" t="s">
        <v>104</v>
      </c>
      <c r="I662" s="3">
        <v>5</v>
      </c>
      <c r="J662" s="11">
        <v>240</v>
      </c>
      <c r="K662" s="4">
        <v>0</v>
      </c>
      <c r="L662" s="3" t="s">
        <v>95</v>
      </c>
      <c r="M662" s="3">
        <v>18</v>
      </c>
      <c r="N662" s="3">
        <v>9</v>
      </c>
      <c r="O662" s="3">
        <v>4</v>
      </c>
      <c r="P662" s="11">
        <f>Clean_Data[[#This Row],[Quantity]]*Clean_Data[[#This Row],[UnitPrice]]</f>
        <v>1200</v>
      </c>
      <c r="Q662" s="11">
        <f>ROUND(Clean_Data[[#This Row],[GrossSales]]*Clean_Data[[#This Row],[DiscountPct]],2)</f>
        <v>0</v>
      </c>
      <c r="R662" s="11">
        <f>IF(Clean_Data[[#This Row],[Status]]="Delivered",ROUND(Clean_Data[[#This Row],[GrossSales]]-Clean_Data[[#This Row],[DiscountAmount]],2),0)</f>
        <v>1200</v>
      </c>
      <c r="S662" s="3" t="str">
        <f>IF(Clean_Data[[#This Row],[OrderHour]]&lt;6,"Night",IF(Clean_Data[[#This Row],[OrderHour]]&lt;12,"Morning",IF(Clean_Data[[#This Row],[OrderHour]]&lt;18,"Afternoon","Evening")))</f>
        <v>Evening</v>
      </c>
      <c r="T662" s="3" t="str">
        <f>TEXT(Clean_Data[[#This Row],[OrderDate]],"[$-409]ddd")</f>
        <v>Wed</v>
      </c>
      <c r="U662" s="3">
        <f>WEEKDAY(Clean_Data[[#This Row],[OrderDate]],2)</f>
        <v>3</v>
      </c>
      <c r="V662" s="3">
        <f>INT(Clean_Data[[#This Row],[OrderHour]]/6)+1</f>
        <v>4</v>
      </c>
      <c r="W662" s="3">
        <f>IF(Clean_Data[[#This Row],[Status]]="Delivered",1,0)</f>
        <v>1</v>
      </c>
      <c r="X662" s="3">
        <f>IF(Clean_Data[[#This Row],[Status]]="Delivered",IF(Clean_Data[[#This Row],[DeliveryMinutes]]&lt;=Dashboard!$X$5,1,0),0)</f>
        <v>1</v>
      </c>
      <c r="Y6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2" s="3">
        <f>IF(AND(Clean_Data[[#This Row],[Include]]=1,Clean_Data[[#This Row],[DeliveredFlag]]=1),1,0)</f>
        <v>1</v>
      </c>
      <c r="AA662" s="1">
        <f>IF(COUNTIF($D$2:D662,D662)=1,ROW()-1,ROWS(Clean_Data[OrderID])+1)</f>
        <v>901</v>
      </c>
      <c r="AB662" s="1">
        <f>IF(COUNTIF($F$2:F662,F662)=1,ROW()-1,ROWS(Clean_Data[OrderID])+1)</f>
        <v>901</v>
      </c>
      <c r="AC662" s="1">
        <f>IF(COUNTIF($G$2:G662,G662)=1,ROW()-1,ROWS(Clean_Data[OrderID])+1)</f>
        <v>901</v>
      </c>
      <c r="AD662" s="1">
        <f>IF(COUNTIF($H$2:H662,H662)=1,ROW()-1,ROWS(Clean_Data[OrderID])+1)</f>
        <v>901</v>
      </c>
      <c r="AE662" s="1">
        <f>IF(COUNTIF($V$2:V662,V662)=1,V662,ROWS(Clean_Data[OrderID])+1)</f>
        <v>901</v>
      </c>
      <c r="AF662" s="1">
        <f>IF(COUNTIF($U$2:U662,U662)=1,U662,ROWS(Clean_Data[OrderID])+1)</f>
        <v>901</v>
      </c>
      <c r="AG662" s="1">
        <f>IF(COUNTIF($E$2:E662,E662)=1,ROW()-1,ROWS(Clean_Data[OrderID])+1)</f>
        <v>901</v>
      </c>
    </row>
    <row r="663" spans="1:33" ht="20" customHeight="1">
      <c r="A663" s="3" t="s">
        <v>1056</v>
      </c>
      <c r="B663" s="2">
        <v>46288</v>
      </c>
      <c r="C663" s="3">
        <v>9</v>
      </c>
      <c r="D663" s="3" t="s">
        <v>499</v>
      </c>
      <c r="E663" s="3" t="s">
        <v>91</v>
      </c>
      <c r="F663" s="3" t="s">
        <v>92</v>
      </c>
      <c r="G663" s="3" t="s">
        <v>93</v>
      </c>
      <c r="H663" s="3" t="s">
        <v>94</v>
      </c>
      <c r="I663" s="3">
        <v>1</v>
      </c>
      <c r="J663" s="11">
        <v>95</v>
      </c>
      <c r="K663" s="4">
        <v>0.15</v>
      </c>
      <c r="L663" s="3" t="s">
        <v>95</v>
      </c>
      <c r="M663" s="3">
        <v>35</v>
      </c>
      <c r="N663" s="3">
        <v>7</v>
      </c>
      <c r="O663" s="3">
        <v>5</v>
      </c>
      <c r="P663" s="11">
        <f>Clean_Data[[#This Row],[Quantity]]*Clean_Data[[#This Row],[UnitPrice]]</f>
        <v>95</v>
      </c>
      <c r="Q663" s="11">
        <f>ROUND(Clean_Data[[#This Row],[GrossSales]]*Clean_Data[[#This Row],[DiscountPct]],2)</f>
        <v>14.25</v>
      </c>
      <c r="R663" s="11">
        <f>IF(Clean_Data[[#This Row],[Status]]="Delivered",ROUND(Clean_Data[[#This Row],[GrossSales]]-Clean_Data[[#This Row],[DiscountAmount]],2),0)</f>
        <v>80.75</v>
      </c>
      <c r="S663" s="3" t="str">
        <f>IF(Clean_Data[[#This Row],[OrderHour]]&lt;6,"Night",IF(Clean_Data[[#This Row],[OrderHour]]&lt;12,"Morning",IF(Clean_Data[[#This Row],[OrderHour]]&lt;18,"Afternoon","Evening")))</f>
        <v>Morning</v>
      </c>
      <c r="T663" s="3" t="str">
        <f>TEXT(Clean_Data[[#This Row],[OrderDate]],"[$-409]ddd")</f>
        <v>Wed</v>
      </c>
      <c r="U663" s="3">
        <f>WEEKDAY(Clean_Data[[#This Row],[OrderDate]],2)</f>
        <v>3</v>
      </c>
      <c r="V663" s="3">
        <f>INT(Clean_Data[[#This Row],[OrderHour]]/6)+1</f>
        <v>2</v>
      </c>
      <c r="W663" s="3">
        <f>IF(Clean_Data[[#This Row],[Status]]="Delivered",1,0)</f>
        <v>1</v>
      </c>
      <c r="X663" s="3">
        <f>IF(Clean_Data[[#This Row],[Status]]="Delivered",IF(Clean_Data[[#This Row],[DeliveryMinutes]]&lt;=Dashboard!$X$5,1,0),0)</f>
        <v>0</v>
      </c>
      <c r="Y6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3" s="3">
        <f>IF(AND(Clean_Data[[#This Row],[Include]]=1,Clean_Data[[#This Row],[DeliveredFlag]]=1),1,0)</f>
        <v>1</v>
      </c>
      <c r="AA663" s="1">
        <f>IF(COUNTIF($D$2:D663,D663)=1,ROW()-1,ROWS(Clean_Data[OrderID])+1)</f>
        <v>901</v>
      </c>
      <c r="AB663" s="1">
        <f>IF(COUNTIF($F$2:F663,F663)=1,ROW()-1,ROWS(Clean_Data[OrderID])+1)</f>
        <v>901</v>
      </c>
      <c r="AC663" s="1">
        <f>IF(COUNTIF($G$2:G663,G663)=1,ROW()-1,ROWS(Clean_Data[OrderID])+1)</f>
        <v>901</v>
      </c>
      <c r="AD663" s="1">
        <f>IF(COUNTIF($H$2:H663,H663)=1,ROW()-1,ROWS(Clean_Data[OrderID])+1)</f>
        <v>901</v>
      </c>
      <c r="AE663" s="1">
        <f>IF(COUNTIF($V$2:V663,V663)=1,V663,ROWS(Clean_Data[OrderID])+1)</f>
        <v>901</v>
      </c>
      <c r="AF663" s="1">
        <f>IF(COUNTIF($U$2:U663,U663)=1,U663,ROWS(Clean_Data[OrderID])+1)</f>
        <v>901</v>
      </c>
      <c r="AG663" s="1">
        <f>IF(COUNTIF($E$2:E663,E663)=1,ROW()-1,ROWS(Clean_Data[OrderID])+1)</f>
        <v>901</v>
      </c>
    </row>
    <row r="664" spans="1:33" ht="20" customHeight="1">
      <c r="A664" s="3" t="s">
        <v>1057</v>
      </c>
      <c r="B664" s="2">
        <v>46288</v>
      </c>
      <c r="C664" s="3">
        <v>10</v>
      </c>
      <c r="D664" s="3" t="s">
        <v>143</v>
      </c>
      <c r="E664" s="3" t="s">
        <v>91</v>
      </c>
      <c r="F664" s="3" t="s">
        <v>109</v>
      </c>
      <c r="G664" s="3" t="s">
        <v>122</v>
      </c>
      <c r="H664" s="3" t="s">
        <v>123</v>
      </c>
      <c r="I664" s="3">
        <v>2</v>
      </c>
      <c r="J664" s="11">
        <v>45</v>
      </c>
      <c r="K664" s="4">
        <v>0</v>
      </c>
      <c r="L664" s="3" t="s">
        <v>95</v>
      </c>
      <c r="M664" s="3">
        <v>32</v>
      </c>
      <c r="N664" s="3">
        <v>13</v>
      </c>
      <c r="O664" s="3">
        <v>3</v>
      </c>
      <c r="P664" s="11">
        <f>Clean_Data[[#This Row],[Quantity]]*Clean_Data[[#This Row],[UnitPrice]]</f>
        <v>90</v>
      </c>
      <c r="Q664" s="11">
        <f>ROUND(Clean_Data[[#This Row],[GrossSales]]*Clean_Data[[#This Row],[DiscountPct]],2)</f>
        <v>0</v>
      </c>
      <c r="R664" s="11">
        <f>IF(Clean_Data[[#This Row],[Status]]="Delivered",ROUND(Clean_Data[[#This Row],[GrossSales]]-Clean_Data[[#This Row],[DiscountAmount]],2),0)</f>
        <v>90</v>
      </c>
      <c r="S664" s="3" t="str">
        <f>IF(Clean_Data[[#This Row],[OrderHour]]&lt;6,"Night",IF(Clean_Data[[#This Row],[OrderHour]]&lt;12,"Morning",IF(Clean_Data[[#This Row],[OrderHour]]&lt;18,"Afternoon","Evening")))</f>
        <v>Morning</v>
      </c>
      <c r="T664" s="3" t="str">
        <f>TEXT(Clean_Data[[#This Row],[OrderDate]],"[$-409]ddd")</f>
        <v>Wed</v>
      </c>
      <c r="U664" s="3">
        <f>WEEKDAY(Clean_Data[[#This Row],[OrderDate]],2)</f>
        <v>3</v>
      </c>
      <c r="V664" s="3">
        <f>INT(Clean_Data[[#This Row],[OrderHour]]/6)+1</f>
        <v>2</v>
      </c>
      <c r="W664" s="3">
        <f>IF(Clean_Data[[#This Row],[Status]]="Delivered",1,0)</f>
        <v>1</v>
      </c>
      <c r="X664" s="3">
        <f>IF(Clean_Data[[#This Row],[Status]]="Delivered",IF(Clean_Data[[#This Row],[DeliveryMinutes]]&lt;=Dashboard!$X$5,1,0),0)</f>
        <v>0</v>
      </c>
      <c r="Y6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4" s="3">
        <f>IF(AND(Clean_Data[[#This Row],[Include]]=1,Clean_Data[[#This Row],[DeliveredFlag]]=1),1,0)</f>
        <v>1</v>
      </c>
      <c r="AA664" s="1">
        <f>IF(COUNTIF($D$2:D664,D664)=1,ROW()-1,ROWS(Clean_Data[OrderID])+1)</f>
        <v>901</v>
      </c>
      <c r="AB664" s="1">
        <f>IF(COUNTIF($F$2:F664,F664)=1,ROW()-1,ROWS(Clean_Data[OrderID])+1)</f>
        <v>901</v>
      </c>
      <c r="AC664" s="1">
        <f>IF(COUNTIF($G$2:G664,G664)=1,ROW()-1,ROWS(Clean_Data[OrderID])+1)</f>
        <v>901</v>
      </c>
      <c r="AD664" s="1">
        <f>IF(COUNTIF($H$2:H664,H664)=1,ROW()-1,ROWS(Clean_Data[OrderID])+1)</f>
        <v>901</v>
      </c>
      <c r="AE664" s="1">
        <f>IF(COUNTIF($V$2:V664,V664)=1,V664,ROWS(Clean_Data[OrderID])+1)</f>
        <v>901</v>
      </c>
      <c r="AF664" s="1">
        <f>IF(COUNTIF($U$2:U664,U664)=1,U664,ROWS(Clean_Data[OrderID])+1)</f>
        <v>901</v>
      </c>
      <c r="AG664" s="1">
        <f>IF(COUNTIF($E$2:E664,E664)=1,ROW()-1,ROWS(Clean_Data[OrderID])+1)</f>
        <v>901</v>
      </c>
    </row>
    <row r="665" spans="1:33" ht="20" customHeight="1">
      <c r="A665" s="3" t="s">
        <v>1058</v>
      </c>
      <c r="B665" s="2">
        <v>46288</v>
      </c>
      <c r="C665" s="3">
        <v>18</v>
      </c>
      <c r="D665" s="3" t="s">
        <v>894</v>
      </c>
      <c r="E665" s="3" t="s">
        <v>117</v>
      </c>
      <c r="F665" s="3" t="s">
        <v>98</v>
      </c>
      <c r="G665" s="3" t="s">
        <v>174</v>
      </c>
      <c r="H665" s="3" t="s">
        <v>175</v>
      </c>
      <c r="I665" s="3">
        <v>4</v>
      </c>
      <c r="J665" s="11">
        <v>155</v>
      </c>
      <c r="K665" s="4">
        <v>0</v>
      </c>
      <c r="L665" s="3" t="s">
        <v>95</v>
      </c>
      <c r="M665" s="3">
        <v>28</v>
      </c>
      <c r="N665" s="3">
        <v>13</v>
      </c>
      <c r="O665" s="3">
        <v>5</v>
      </c>
      <c r="P665" s="11">
        <f>Clean_Data[[#This Row],[Quantity]]*Clean_Data[[#This Row],[UnitPrice]]</f>
        <v>620</v>
      </c>
      <c r="Q665" s="11">
        <f>ROUND(Clean_Data[[#This Row],[GrossSales]]*Clean_Data[[#This Row],[DiscountPct]],2)</f>
        <v>0</v>
      </c>
      <c r="R665" s="11">
        <f>IF(Clean_Data[[#This Row],[Status]]="Delivered",ROUND(Clean_Data[[#This Row],[GrossSales]]-Clean_Data[[#This Row],[DiscountAmount]],2),0)</f>
        <v>620</v>
      </c>
      <c r="S665" s="3" t="str">
        <f>IF(Clean_Data[[#This Row],[OrderHour]]&lt;6,"Night",IF(Clean_Data[[#This Row],[OrderHour]]&lt;12,"Morning",IF(Clean_Data[[#This Row],[OrderHour]]&lt;18,"Afternoon","Evening")))</f>
        <v>Evening</v>
      </c>
      <c r="T665" s="3" t="str">
        <f>TEXT(Clean_Data[[#This Row],[OrderDate]],"[$-409]ddd")</f>
        <v>Wed</v>
      </c>
      <c r="U665" s="3">
        <f>WEEKDAY(Clean_Data[[#This Row],[OrderDate]],2)</f>
        <v>3</v>
      </c>
      <c r="V665" s="3">
        <f>INT(Clean_Data[[#This Row],[OrderHour]]/6)+1</f>
        <v>4</v>
      </c>
      <c r="W665" s="3">
        <f>IF(Clean_Data[[#This Row],[Status]]="Delivered",1,0)</f>
        <v>1</v>
      </c>
      <c r="X665" s="3">
        <f>IF(Clean_Data[[#This Row],[Status]]="Delivered",IF(Clean_Data[[#This Row],[DeliveryMinutes]]&lt;=Dashboard!$X$5,1,0),0)</f>
        <v>1</v>
      </c>
      <c r="Y6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5" s="3">
        <f>IF(AND(Clean_Data[[#This Row],[Include]]=1,Clean_Data[[#This Row],[DeliveredFlag]]=1),1,0)</f>
        <v>1</v>
      </c>
      <c r="AA665" s="1">
        <f>IF(COUNTIF($D$2:D665,D665)=1,ROW()-1,ROWS(Clean_Data[OrderID])+1)</f>
        <v>901</v>
      </c>
      <c r="AB665" s="1">
        <f>IF(COUNTIF($F$2:F665,F665)=1,ROW()-1,ROWS(Clean_Data[OrderID])+1)</f>
        <v>901</v>
      </c>
      <c r="AC665" s="1">
        <f>IF(COUNTIF($G$2:G665,G665)=1,ROW()-1,ROWS(Clean_Data[OrderID])+1)</f>
        <v>901</v>
      </c>
      <c r="AD665" s="1">
        <f>IF(COUNTIF($H$2:H665,H665)=1,ROW()-1,ROWS(Clean_Data[OrderID])+1)</f>
        <v>901</v>
      </c>
      <c r="AE665" s="1">
        <f>IF(COUNTIF($V$2:V665,V665)=1,V665,ROWS(Clean_Data[OrderID])+1)</f>
        <v>901</v>
      </c>
      <c r="AF665" s="1">
        <f>IF(COUNTIF($U$2:U665,U665)=1,U665,ROWS(Clean_Data[OrderID])+1)</f>
        <v>901</v>
      </c>
      <c r="AG665" s="1">
        <f>IF(COUNTIF($E$2:E665,E665)=1,ROW()-1,ROWS(Clean_Data[OrderID])+1)</f>
        <v>901</v>
      </c>
    </row>
    <row r="666" spans="1:33" ht="20" customHeight="1">
      <c r="A666" s="3" t="s">
        <v>1059</v>
      </c>
      <c r="B666" s="2">
        <v>46288</v>
      </c>
      <c r="C666" s="3">
        <v>11</v>
      </c>
      <c r="D666" s="3" t="s">
        <v>516</v>
      </c>
      <c r="E666" s="3" t="s">
        <v>117</v>
      </c>
      <c r="F666" s="3" t="s">
        <v>139</v>
      </c>
      <c r="G666" s="3" t="s">
        <v>122</v>
      </c>
      <c r="H666" s="3" t="s">
        <v>214</v>
      </c>
      <c r="I666" s="3">
        <v>2</v>
      </c>
      <c r="J666" s="11">
        <v>55</v>
      </c>
      <c r="K666" s="4">
        <v>0</v>
      </c>
      <c r="L666" s="3" t="s">
        <v>95</v>
      </c>
      <c r="M666" s="3">
        <v>25</v>
      </c>
      <c r="N666" s="3">
        <v>14</v>
      </c>
      <c r="O666" s="3">
        <v>4</v>
      </c>
      <c r="P666" s="11">
        <f>Clean_Data[[#This Row],[Quantity]]*Clean_Data[[#This Row],[UnitPrice]]</f>
        <v>110</v>
      </c>
      <c r="Q666" s="11">
        <f>ROUND(Clean_Data[[#This Row],[GrossSales]]*Clean_Data[[#This Row],[DiscountPct]],2)</f>
        <v>0</v>
      </c>
      <c r="R666" s="11">
        <f>IF(Clean_Data[[#This Row],[Status]]="Delivered",ROUND(Clean_Data[[#This Row],[GrossSales]]-Clean_Data[[#This Row],[DiscountAmount]],2),0)</f>
        <v>110</v>
      </c>
      <c r="S666" s="3" t="str">
        <f>IF(Clean_Data[[#This Row],[OrderHour]]&lt;6,"Night",IF(Clean_Data[[#This Row],[OrderHour]]&lt;12,"Morning",IF(Clean_Data[[#This Row],[OrderHour]]&lt;18,"Afternoon","Evening")))</f>
        <v>Morning</v>
      </c>
      <c r="T666" s="3" t="str">
        <f>TEXT(Clean_Data[[#This Row],[OrderDate]],"[$-409]ddd")</f>
        <v>Wed</v>
      </c>
      <c r="U666" s="3">
        <f>WEEKDAY(Clean_Data[[#This Row],[OrderDate]],2)</f>
        <v>3</v>
      </c>
      <c r="V666" s="3">
        <f>INT(Clean_Data[[#This Row],[OrderHour]]/6)+1</f>
        <v>2</v>
      </c>
      <c r="W666" s="3">
        <f>IF(Clean_Data[[#This Row],[Status]]="Delivered",1,0)</f>
        <v>1</v>
      </c>
      <c r="X666" s="3">
        <f>IF(Clean_Data[[#This Row],[Status]]="Delivered",IF(Clean_Data[[#This Row],[DeliveryMinutes]]&lt;=Dashboard!$X$5,1,0),0)</f>
        <v>1</v>
      </c>
      <c r="Y6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6" s="3">
        <f>IF(AND(Clean_Data[[#This Row],[Include]]=1,Clean_Data[[#This Row],[DeliveredFlag]]=1),1,0)</f>
        <v>1</v>
      </c>
      <c r="AA666" s="1">
        <f>IF(COUNTIF($D$2:D666,D666)=1,ROW()-1,ROWS(Clean_Data[OrderID])+1)</f>
        <v>901</v>
      </c>
      <c r="AB666" s="1">
        <f>IF(COUNTIF($F$2:F666,F666)=1,ROW()-1,ROWS(Clean_Data[OrderID])+1)</f>
        <v>901</v>
      </c>
      <c r="AC666" s="1">
        <f>IF(COUNTIF($G$2:G666,G666)=1,ROW()-1,ROWS(Clean_Data[OrderID])+1)</f>
        <v>901</v>
      </c>
      <c r="AD666" s="1">
        <f>IF(COUNTIF($H$2:H666,H666)=1,ROW()-1,ROWS(Clean_Data[OrderID])+1)</f>
        <v>901</v>
      </c>
      <c r="AE666" s="1">
        <f>IF(COUNTIF($V$2:V666,V666)=1,V666,ROWS(Clean_Data[OrderID])+1)</f>
        <v>901</v>
      </c>
      <c r="AF666" s="1">
        <f>IF(COUNTIF($U$2:U666,U666)=1,U666,ROWS(Clean_Data[OrderID])+1)</f>
        <v>901</v>
      </c>
      <c r="AG666" s="1">
        <f>IF(COUNTIF($E$2:E666,E666)=1,ROW()-1,ROWS(Clean_Data[OrderID])+1)</f>
        <v>901</v>
      </c>
    </row>
    <row r="667" spans="1:33" ht="20" customHeight="1">
      <c r="A667" s="3" t="s">
        <v>1060</v>
      </c>
      <c r="B667" s="2">
        <v>46288</v>
      </c>
      <c r="C667" s="3">
        <v>21</v>
      </c>
      <c r="D667" s="3" t="s">
        <v>1061</v>
      </c>
      <c r="E667" s="3" t="s">
        <v>91</v>
      </c>
      <c r="F667" s="3" t="s">
        <v>92</v>
      </c>
      <c r="G667" s="3" t="s">
        <v>93</v>
      </c>
      <c r="H667" s="3" t="s">
        <v>146</v>
      </c>
      <c r="I667" s="3">
        <v>2</v>
      </c>
      <c r="J667" s="11">
        <v>110</v>
      </c>
      <c r="K667" s="4">
        <v>0.1</v>
      </c>
      <c r="L667" s="3" t="s">
        <v>95</v>
      </c>
      <c r="M667" s="3">
        <v>15</v>
      </c>
      <c r="N667" s="3">
        <v>11</v>
      </c>
      <c r="O667" s="3">
        <v>5</v>
      </c>
      <c r="P667" s="11">
        <f>Clean_Data[[#This Row],[Quantity]]*Clean_Data[[#This Row],[UnitPrice]]</f>
        <v>220</v>
      </c>
      <c r="Q667" s="11">
        <f>ROUND(Clean_Data[[#This Row],[GrossSales]]*Clean_Data[[#This Row],[DiscountPct]],2)</f>
        <v>22</v>
      </c>
      <c r="R667" s="11">
        <f>IF(Clean_Data[[#This Row],[Status]]="Delivered",ROUND(Clean_Data[[#This Row],[GrossSales]]-Clean_Data[[#This Row],[DiscountAmount]],2),0)</f>
        <v>198</v>
      </c>
      <c r="S667" s="3" t="str">
        <f>IF(Clean_Data[[#This Row],[OrderHour]]&lt;6,"Night",IF(Clean_Data[[#This Row],[OrderHour]]&lt;12,"Morning",IF(Clean_Data[[#This Row],[OrderHour]]&lt;18,"Afternoon","Evening")))</f>
        <v>Evening</v>
      </c>
      <c r="T667" s="3" t="str">
        <f>TEXT(Clean_Data[[#This Row],[OrderDate]],"[$-409]ddd")</f>
        <v>Wed</v>
      </c>
      <c r="U667" s="3">
        <f>WEEKDAY(Clean_Data[[#This Row],[OrderDate]],2)</f>
        <v>3</v>
      </c>
      <c r="V667" s="3">
        <f>INT(Clean_Data[[#This Row],[OrderHour]]/6)+1</f>
        <v>4</v>
      </c>
      <c r="W667" s="3">
        <f>IF(Clean_Data[[#This Row],[Status]]="Delivered",1,0)</f>
        <v>1</v>
      </c>
      <c r="X667" s="3">
        <f>IF(Clean_Data[[#This Row],[Status]]="Delivered",IF(Clean_Data[[#This Row],[DeliveryMinutes]]&lt;=Dashboard!$X$5,1,0),0)</f>
        <v>1</v>
      </c>
      <c r="Y6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7" s="3">
        <f>IF(AND(Clean_Data[[#This Row],[Include]]=1,Clean_Data[[#This Row],[DeliveredFlag]]=1),1,0)</f>
        <v>1</v>
      </c>
      <c r="AA667" s="1">
        <f>IF(COUNTIF($D$2:D667,D667)=1,ROW()-1,ROWS(Clean_Data[OrderID])+1)</f>
        <v>666</v>
      </c>
      <c r="AB667" s="1">
        <f>IF(COUNTIF($F$2:F667,F667)=1,ROW()-1,ROWS(Clean_Data[OrderID])+1)</f>
        <v>901</v>
      </c>
      <c r="AC667" s="1">
        <f>IF(COUNTIF($G$2:G667,G667)=1,ROW()-1,ROWS(Clean_Data[OrderID])+1)</f>
        <v>901</v>
      </c>
      <c r="AD667" s="1">
        <f>IF(COUNTIF($H$2:H667,H667)=1,ROW()-1,ROWS(Clean_Data[OrderID])+1)</f>
        <v>901</v>
      </c>
      <c r="AE667" s="1">
        <f>IF(COUNTIF($V$2:V667,V667)=1,V667,ROWS(Clean_Data[OrderID])+1)</f>
        <v>901</v>
      </c>
      <c r="AF667" s="1">
        <f>IF(COUNTIF($U$2:U667,U667)=1,U667,ROWS(Clean_Data[OrderID])+1)</f>
        <v>901</v>
      </c>
      <c r="AG667" s="1">
        <f>IF(COUNTIF($E$2:E667,E667)=1,ROW()-1,ROWS(Clean_Data[OrderID])+1)</f>
        <v>901</v>
      </c>
    </row>
    <row r="668" spans="1:33" ht="20" customHeight="1">
      <c r="A668" s="3" t="s">
        <v>1062</v>
      </c>
      <c r="B668" s="2">
        <v>46288</v>
      </c>
      <c r="C668" s="3">
        <v>10</v>
      </c>
      <c r="D668" s="3" t="s">
        <v>511</v>
      </c>
      <c r="E668" s="3" t="s">
        <v>91</v>
      </c>
      <c r="F668" s="3" t="s">
        <v>121</v>
      </c>
      <c r="G668" s="3" t="s">
        <v>135</v>
      </c>
      <c r="H668" s="3" t="s">
        <v>136</v>
      </c>
      <c r="I668" s="3">
        <v>2</v>
      </c>
      <c r="J668" s="11">
        <v>40</v>
      </c>
      <c r="K668" s="4">
        <v>0</v>
      </c>
      <c r="L668" s="3" t="s">
        <v>95</v>
      </c>
      <c r="M668" s="3">
        <v>35</v>
      </c>
      <c r="N668" s="3">
        <v>12</v>
      </c>
      <c r="O668" s="3">
        <v>5</v>
      </c>
      <c r="P668" s="11">
        <f>Clean_Data[[#This Row],[Quantity]]*Clean_Data[[#This Row],[UnitPrice]]</f>
        <v>80</v>
      </c>
      <c r="Q668" s="11">
        <f>ROUND(Clean_Data[[#This Row],[GrossSales]]*Clean_Data[[#This Row],[DiscountPct]],2)</f>
        <v>0</v>
      </c>
      <c r="R668" s="11">
        <f>IF(Clean_Data[[#This Row],[Status]]="Delivered",ROUND(Clean_Data[[#This Row],[GrossSales]]-Clean_Data[[#This Row],[DiscountAmount]],2),0)</f>
        <v>80</v>
      </c>
      <c r="S668" s="3" t="str">
        <f>IF(Clean_Data[[#This Row],[OrderHour]]&lt;6,"Night",IF(Clean_Data[[#This Row],[OrderHour]]&lt;12,"Morning",IF(Clean_Data[[#This Row],[OrderHour]]&lt;18,"Afternoon","Evening")))</f>
        <v>Morning</v>
      </c>
      <c r="T668" s="3" t="str">
        <f>TEXT(Clean_Data[[#This Row],[OrderDate]],"[$-409]ddd")</f>
        <v>Wed</v>
      </c>
      <c r="U668" s="3">
        <f>WEEKDAY(Clean_Data[[#This Row],[OrderDate]],2)</f>
        <v>3</v>
      </c>
      <c r="V668" s="3">
        <f>INT(Clean_Data[[#This Row],[OrderHour]]/6)+1</f>
        <v>2</v>
      </c>
      <c r="W668" s="3">
        <f>IF(Clean_Data[[#This Row],[Status]]="Delivered",1,0)</f>
        <v>1</v>
      </c>
      <c r="X668" s="3">
        <f>IF(Clean_Data[[#This Row],[Status]]="Delivered",IF(Clean_Data[[#This Row],[DeliveryMinutes]]&lt;=Dashboard!$X$5,1,0),0)</f>
        <v>0</v>
      </c>
      <c r="Y6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8" s="3">
        <f>IF(AND(Clean_Data[[#This Row],[Include]]=1,Clean_Data[[#This Row],[DeliveredFlag]]=1),1,0)</f>
        <v>1</v>
      </c>
      <c r="AA668" s="1">
        <f>IF(COUNTIF($D$2:D668,D668)=1,ROW()-1,ROWS(Clean_Data[OrderID])+1)</f>
        <v>901</v>
      </c>
      <c r="AB668" s="1">
        <f>IF(COUNTIF($F$2:F668,F668)=1,ROW()-1,ROWS(Clean_Data[OrderID])+1)</f>
        <v>901</v>
      </c>
      <c r="AC668" s="1">
        <f>IF(COUNTIF($G$2:G668,G668)=1,ROW()-1,ROWS(Clean_Data[OrderID])+1)</f>
        <v>901</v>
      </c>
      <c r="AD668" s="1">
        <f>IF(COUNTIF($H$2:H668,H668)=1,ROW()-1,ROWS(Clean_Data[OrderID])+1)</f>
        <v>901</v>
      </c>
      <c r="AE668" s="1">
        <f>IF(COUNTIF($V$2:V668,V668)=1,V668,ROWS(Clean_Data[OrderID])+1)</f>
        <v>901</v>
      </c>
      <c r="AF668" s="1">
        <f>IF(COUNTIF($U$2:U668,U668)=1,U668,ROWS(Clean_Data[OrderID])+1)</f>
        <v>901</v>
      </c>
      <c r="AG668" s="1">
        <f>IF(COUNTIF($E$2:E668,E668)=1,ROW()-1,ROWS(Clean_Data[OrderID])+1)</f>
        <v>901</v>
      </c>
    </row>
    <row r="669" spans="1:33" ht="20" customHeight="1">
      <c r="A669" s="3" t="s">
        <v>1063</v>
      </c>
      <c r="B669" s="2">
        <v>46288</v>
      </c>
      <c r="C669" s="3">
        <v>19</v>
      </c>
      <c r="D669" s="3" t="s">
        <v>1064</v>
      </c>
      <c r="E669" s="3" t="s">
        <v>91</v>
      </c>
      <c r="F669" s="3" t="s">
        <v>121</v>
      </c>
      <c r="G669" s="3" t="s">
        <v>99</v>
      </c>
      <c r="H669" s="3" t="s">
        <v>104</v>
      </c>
      <c r="I669" s="3">
        <v>6</v>
      </c>
      <c r="J669" s="11">
        <v>240</v>
      </c>
      <c r="K669" s="4">
        <v>0.15</v>
      </c>
      <c r="L669" s="3" t="s">
        <v>95</v>
      </c>
      <c r="M669" s="3">
        <v>31</v>
      </c>
      <c r="N669" s="3">
        <v>6</v>
      </c>
      <c r="O669" s="3">
        <v>5</v>
      </c>
      <c r="P669" s="11">
        <f>Clean_Data[[#This Row],[Quantity]]*Clean_Data[[#This Row],[UnitPrice]]</f>
        <v>1440</v>
      </c>
      <c r="Q669" s="11">
        <f>ROUND(Clean_Data[[#This Row],[GrossSales]]*Clean_Data[[#This Row],[DiscountPct]],2)</f>
        <v>216</v>
      </c>
      <c r="R669" s="11">
        <f>IF(Clean_Data[[#This Row],[Status]]="Delivered",ROUND(Clean_Data[[#This Row],[GrossSales]]-Clean_Data[[#This Row],[DiscountAmount]],2),0)</f>
        <v>1224</v>
      </c>
      <c r="S669" s="3" t="str">
        <f>IF(Clean_Data[[#This Row],[OrderHour]]&lt;6,"Night",IF(Clean_Data[[#This Row],[OrderHour]]&lt;12,"Morning",IF(Clean_Data[[#This Row],[OrderHour]]&lt;18,"Afternoon","Evening")))</f>
        <v>Evening</v>
      </c>
      <c r="T669" s="3" t="str">
        <f>TEXT(Clean_Data[[#This Row],[OrderDate]],"[$-409]ddd")</f>
        <v>Wed</v>
      </c>
      <c r="U669" s="3">
        <f>WEEKDAY(Clean_Data[[#This Row],[OrderDate]],2)</f>
        <v>3</v>
      </c>
      <c r="V669" s="3">
        <f>INT(Clean_Data[[#This Row],[OrderHour]]/6)+1</f>
        <v>4</v>
      </c>
      <c r="W669" s="3">
        <f>IF(Clean_Data[[#This Row],[Status]]="Delivered",1,0)</f>
        <v>1</v>
      </c>
      <c r="X669" s="3">
        <f>IF(Clean_Data[[#This Row],[Status]]="Delivered",IF(Clean_Data[[#This Row],[DeliveryMinutes]]&lt;=Dashboard!$X$5,1,0),0)</f>
        <v>0</v>
      </c>
      <c r="Y6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69" s="3">
        <f>IF(AND(Clean_Data[[#This Row],[Include]]=1,Clean_Data[[#This Row],[DeliveredFlag]]=1),1,0)</f>
        <v>1</v>
      </c>
      <c r="AA669" s="1">
        <f>IF(COUNTIF($D$2:D669,D669)=1,ROW()-1,ROWS(Clean_Data[OrderID])+1)</f>
        <v>668</v>
      </c>
      <c r="AB669" s="1">
        <f>IF(COUNTIF($F$2:F669,F669)=1,ROW()-1,ROWS(Clean_Data[OrderID])+1)</f>
        <v>901</v>
      </c>
      <c r="AC669" s="1">
        <f>IF(COUNTIF($G$2:G669,G669)=1,ROW()-1,ROWS(Clean_Data[OrderID])+1)</f>
        <v>901</v>
      </c>
      <c r="AD669" s="1">
        <f>IF(COUNTIF($H$2:H669,H669)=1,ROW()-1,ROWS(Clean_Data[OrderID])+1)</f>
        <v>901</v>
      </c>
      <c r="AE669" s="1">
        <f>IF(COUNTIF($V$2:V669,V669)=1,V669,ROWS(Clean_Data[OrderID])+1)</f>
        <v>901</v>
      </c>
      <c r="AF669" s="1">
        <f>IF(COUNTIF($U$2:U669,U669)=1,U669,ROWS(Clean_Data[OrderID])+1)</f>
        <v>901</v>
      </c>
      <c r="AG669" s="1">
        <f>IF(COUNTIF($E$2:E669,E669)=1,ROW()-1,ROWS(Clean_Data[OrderID])+1)</f>
        <v>901</v>
      </c>
    </row>
    <row r="670" spans="1:33" ht="20" customHeight="1">
      <c r="A670" s="3" t="s">
        <v>1065</v>
      </c>
      <c r="B670" s="2">
        <v>46288</v>
      </c>
      <c r="C670" s="3">
        <v>15</v>
      </c>
      <c r="D670" s="3" t="s">
        <v>799</v>
      </c>
      <c r="E670" s="3" t="s">
        <v>91</v>
      </c>
      <c r="F670" s="3" t="s">
        <v>98</v>
      </c>
      <c r="G670" s="3" t="s">
        <v>174</v>
      </c>
      <c r="H670" s="3" t="s">
        <v>184</v>
      </c>
      <c r="I670" s="3">
        <v>5</v>
      </c>
      <c r="J670" s="11">
        <v>62</v>
      </c>
      <c r="K670" s="4">
        <v>0</v>
      </c>
      <c r="L670" s="3" t="s">
        <v>95</v>
      </c>
      <c r="M670" s="3">
        <v>21</v>
      </c>
      <c r="N670" s="3">
        <v>9</v>
      </c>
      <c r="O670" s="3">
        <v>5</v>
      </c>
      <c r="P670" s="11">
        <f>Clean_Data[[#This Row],[Quantity]]*Clean_Data[[#This Row],[UnitPrice]]</f>
        <v>310</v>
      </c>
      <c r="Q670" s="11">
        <f>ROUND(Clean_Data[[#This Row],[GrossSales]]*Clean_Data[[#This Row],[DiscountPct]],2)</f>
        <v>0</v>
      </c>
      <c r="R670" s="11">
        <f>IF(Clean_Data[[#This Row],[Status]]="Delivered",ROUND(Clean_Data[[#This Row],[GrossSales]]-Clean_Data[[#This Row],[DiscountAmount]],2),0)</f>
        <v>310</v>
      </c>
      <c r="S670" s="3" t="str">
        <f>IF(Clean_Data[[#This Row],[OrderHour]]&lt;6,"Night",IF(Clean_Data[[#This Row],[OrderHour]]&lt;12,"Morning",IF(Clean_Data[[#This Row],[OrderHour]]&lt;18,"Afternoon","Evening")))</f>
        <v>Afternoon</v>
      </c>
      <c r="T670" s="3" t="str">
        <f>TEXT(Clean_Data[[#This Row],[OrderDate]],"[$-409]ddd")</f>
        <v>Wed</v>
      </c>
      <c r="U670" s="3">
        <f>WEEKDAY(Clean_Data[[#This Row],[OrderDate]],2)</f>
        <v>3</v>
      </c>
      <c r="V670" s="3">
        <f>INT(Clean_Data[[#This Row],[OrderHour]]/6)+1</f>
        <v>3</v>
      </c>
      <c r="W670" s="3">
        <f>IF(Clean_Data[[#This Row],[Status]]="Delivered",1,0)</f>
        <v>1</v>
      </c>
      <c r="X670" s="3">
        <f>IF(Clean_Data[[#This Row],[Status]]="Delivered",IF(Clean_Data[[#This Row],[DeliveryMinutes]]&lt;=Dashboard!$X$5,1,0),0)</f>
        <v>1</v>
      </c>
      <c r="Y6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0" s="3">
        <f>IF(AND(Clean_Data[[#This Row],[Include]]=1,Clean_Data[[#This Row],[DeliveredFlag]]=1),1,0)</f>
        <v>1</v>
      </c>
      <c r="AA670" s="1">
        <f>IF(COUNTIF($D$2:D670,D670)=1,ROW()-1,ROWS(Clean_Data[OrderID])+1)</f>
        <v>901</v>
      </c>
      <c r="AB670" s="1">
        <f>IF(COUNTIF($F$2:F670,F670)=1,ROW()-1,ROWS(Clean_Data[OrderID])+1)</f>
        <v>901</v>
      </c>
      <c r="AC670" s="1">
        <f>IF(COUNTIF($G$2:G670,G670)=1,ROW()-1,ROWS(Clean_Data[OrderID])+1)</f>
        <v>901</v>
      </c>
      <c r="AD670" s="1">
        <f>IF(COUNTIF($H$2:H670,H670)=1,ROW()-1,ROWS(Clean_Data[OrderID])+1)</f>
        <v>901</v>
      </c>
      <c r="AE670" s="1">
        <f>IF(COUNTIF($V$2:V670,V670)=1,V670,ROWS(Clean_Data[OrderID])+1)</f>
        <v>901</v>
      </c>
      <c r="AF670" s="1">
        <f>IF(COUNTIF($U$2:U670,U670)=1,U670,ROWS(Clean_Data[OrderID])+1)</f>
        <v>901</v>
      </c>
      <c r="AG670" s="1">
        <f>IF(COUNTIF($E$2:E670,E670)=1,ROW()-1,ROWS(Clean_Data[OrderID])+1)</f>
        <v>901</v>
      </c>
    </row>
    <row r="671" spans="1:33" ht="20" customHeight="1">
      <c r="A671" s="3" t="s">
        <v>1066</v>
      </c>
      <c r="B671" s="2">
        <v>46288</v>
      </c>
      <c r="C671" s="3">
        <v>7</v>
      </c>
      <c r="D671" s="3" t="s">
        <v>367</v>
      </c>
      <c r="E671" s="3" t="s">
        <v>117</v>
      </c>
      <c r="F671" s="3" t="s">
        <v>109</v>
      </c>
      <c r="G671" s="3" t="s">
        <v>174</v>
      </c>
      <c r="H671" s="3" t="s">
        <v>175</v>
      </c>
      <c r="I671" s="3">
        <v>2</v>
      </c>
      <c r="J671" s="11">
        <v>155</v>
      </c>
      <c r="K671" s="4">
        <v>0</v>
      </c>
      <c r="L671" s="3" t="s">
        <v>95</v>
      </c>
      <c r="M671" s="3">
        <v>25</v>
      </c>
      <c r="N671" s="3">
        <v>6</v>
      </c>
      <c r="O671" s="3">
        <v>4</v>
      </c>
      <c r="P671" s="11">
        <f>Clean_Data[[#This Row],[Quantity]]*Clean_Data[[#This Row],[UnitPrice]]</f>
        <v>310</v>
      </c>
      <c r="Q671" s="11">
        <f>ROUND(Clean_Data[[#This Row],[GrossSales]]*Clean_Data[[#This Row],[DiscountPct]],2)</f>
        <v>0</v>
      </c>
      <c r="R671" s="11">
        <f>IF(Clean_Data[[#This Row],[Status]]="Delivered",ROUND(Clean_Data[[#This Row],[GrossSales]]-Clean_Data[[#This Row],[DiscountAmount]],2),0)</f>
        <v>310</v>
      </c>
      <c r="S671" s="3" t="str">
        <f>IF(Clean_Data[[#This Row],[OrderHour]]&lt;6,"Night",IF(Clean_Data[[#This Row],[OrderHour]]&lt;12,"Morning",IF(Clean_Data[[#This Row],[OrderHour]]&lt;18,"Afternoon","Evening")))</f>
        <v>Morning</v>
      </c>
      <c r="T671" s="3" t="str">
        <f>TEXT(Clean_Data[[#This Row],[OrderDate]],"[$-409]ddd")</f>
        <v>Wed</v>
      </c>
      <c r="U671" s="3">
        <f>WEEKDAY(Clean_Data[[#This Row],[OrderDate]],2)</f>
        <v>3</v>
      </c>
      <c r="V671" s="3">
        <f>INT(Clean_Data[[#This Row],[OrderHour]]/6)+1</f>
        <v>2</v>
      </c>
      <c r="W671" s="3">
        <f>IF(Clean_Data[[#This Row],[Status]]="Delivered",1,0)</f>
        <v>1</v>
      </c>
      <c r="X671" s="3">
        <f>IF(Clean_Data[[#This Row],[Status]]="Delivered",IF(Clean_Data[[#This Row],[DeliveryMinutes]]&lt;=Dashboard!$X$5,1,0),0)</f>
        <v>1</v>
      </c>
      <c r="Y6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1" s="3">
        <f>IF(AND(Clean_Data[[#This Row],[Include]]=1,Clean_Data[[#This Row],[DeliveredFlag]]=1),1,0)</f>
        <v>1</v>
      </c>
      <c r="AA671" s="1">
        <f>IF(COUNTIF($D$2:D671,D671)=1,ROW()-1,ROWS(Clean_Data[OrderID])+1)</f>
        <v>901</v>
      </c>
      <c r="AB671" s="1">
        <f>IF(COUNTIF($F$2:F671,F671)=1,ROW()-1,ROWS(Clean_Data[OrderID])+1)</f>
        <v>901</v>
      </c>
      <c r="AC671" s="1">
        <f>IF(COUNTIF($G$2:G671,G671)=1,ROW()-1,ROWS(Clean_Data[OrderID])+1)</f>
        <v>901</v>
      </c>
      <c r="AD671" s="1">
        <f>IF(COUNTIF($H$2:H671,H671)=1,ROW()-1,ROWS(Clean_Data[OrderID])+1)</f>
        <v>901</v>
      </c>
      <c r="AE671" s="1">
        <f>IF(COUNTIF($V$2:V671,V671)=1,V671,ROWS(Clean_Data[OrderID])+1)</f>
        <v>901</v>
      </c>
      <c r="AF671" s="1">
        <f>IF(COUNTIF($U$2:U671,U671)=1,U671,ROWS(Clean_Data[OrderID])+1)</f>
        <v>901</v>
      </c>
      <c r="AG671" s="1">
        <f>IF(COUNTIF($E$2:E671,E671)=1,ROW()-1,ROWS(Clean_Data[OrderID])+1)</f>
        <v>901</v>
      </c>
    </row>
    <row r="672" spans="1:33" ht="20" customHeight="1">
      <c r="A672" s="3" t="s">
        <v>1067</v>
      </c>
      <c r="B672" s="2">
        <v>46288</v>
      </c>
      <c r="C672" s="3">
        <v>19</v>
      </c>
      <c r="D672" s="3" t="s">
        <v>438</v>
      </c>
      <c r="E672" s="3" t="s">
        <v>91</v>
      </c>
      <c r="F672" s="3" t="s">
        <v>92</v>
      </c>
      <c r="G672" s="3" t="s">
        <v>110</v>
      </c>
      <c r="H672" s="3" t="s">
        <v>111</v>
      </c>
      <c r="I672" s="3">
        <v>2</v>
      </c>
      <c r="J672" s="11">
        <v>115</v>
      </c>
      <c r="K672" s="4">
        <v>0</v>
      </c>
      <c r="L672" s="3" t="s">
        <v>95</v>
      </c>
      <c r="M672" s="3">
        <v>24</v>
      </c>
      <c r="N672" s="3">
        <v>8</v>
      </c>
      <c r="O672" s="3">
        <v>4</v>
      </c>
      <c r="P672" s="11">
        <f>Clean_Data[[#This Row],[Quantity]]*Clean_Data[[#This Row],[UnitPrice]]</f>
        <v>230</v>
      </c>
      <c r="Q672" s="11">
        <f>ROUND(Clean_Data[[#This Row],[GrossSales]]*Clean_Data[[#This Row],[DiscountPct]],2)</f>
        <v>0</v>
      </c>
      <c r="R672" s="11">
        <f>IF(Clean_Data[[#This Row],[Status]]="Delivered",ROUND(Clean_Data[[#This Row],[GrossSales]]-Clean_Data[[#This Row],[DiscountAmount]],2),0)</f>
        <v>230</v>
      </c>
      <c r="S672" s="3" t="str">
        <f>IF(Clean_Data[[#This Row],[OrderHour]]&lt;6,"Night",IF(Clean_Data[[#This Row],[OrderHour]]&lt;12,"Morning",IF(Clean_Data[[#This Row],[OrderHour]]&lt;18,"Afternoon","Evening")))</f>
        <v>Evening</v>
      </c>
      <c r="T672" s="3" t="str">
        <f>TEXT(Clean_Data[[#This Row],[OrderDate]],"[$-409]ddd")</f>
        <v>Wed</v>
      </c>
      <c r="U672" s="3">
        <f>WEEKDAY(Clean_Data[[#This Row],[OrderDate]],2)</f>
        <v>3</v>
      </c>
      <c r="V672" s="3">
        <f>INT(Clean_Data[[#This Row],[OrderHour]]/6)+1</f>
        <v>4</v>
      </c>
      <c r="W672" s="3">
        <f>IF(Clean_Data[[#This Row],[Status]]="Delivered",1,0)</f>
        <v>1</v>
      </c>
      <c r="X672" s="3">
        <f>IF(Clean_Data[[#This Row],[Status]]="Delivered",IF(Clean_Data[[#This Row],[DeliveryMinutes]]&lt;=Dashboard!$X$5,1,0),0)</f>
        <v>1</v>
      </c>
      <c r="Y6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2" s="3">
        <f>IF(AND(Clean_Data[[#This Row],[Include]]=1,Clean_Data[[#This Row],[DeliveredFlag]]=1),1,0)</f>
        <v>1</v>
      </c>
      <c r="AA672" s="1">
        <f>IF(COUNTIF($D$2:D672,D672)=1,ROW()-1,ROWS(Clean_Data[OrderID])+1)</f>
        <v>901</v>
      </c>
      <c r="AB672" s="1">
        <f>IF(COUNTIF($F$2:F672,F672)=1,ROW()-1,ROWS(Clean_Data[OrderID])+1)</f>
        <v>901</v>
      </c>
      <c r="AC672" s="1">
        <f>IF(COUNTIF($G$2:G672,G672)=1,ROW()-1,ROWS(Clean_Data[OrderID])+1)</f>
        <v>901</v>
      </c>
      <c r="AD672" s="1">
        <f>IF(COUNTIF($H$2:H672,H672)=1,ROW()-1,ROWS(Clean_Data[OrderID])+1)</f>
        <v>901</v>
      </c>
      <c r="AE672" s="1">
        <f>IF(COUNTIF($V$2:V672,V672)=1,V672,ROWS(Clean_Data[OrderID])+1)</f>
        <v>901</v>
      </c>
      <c r="AF672" s="1">
        <f>IF(COUNTIF($U$2:U672,U672)=1,U672,ROWS(Clean_Data[OrderID])+1)</f>
        <v>901</v>
      </c>
      <c r="AG672" s="1">
        <f>IF(COUNTIF($E$2:E672,E672)=1,ROW()-1,ROWS(Clean_Data[OrderID])+1)</f>
        <v>901</v>
      </c>
    </row>
    <row r="673" spans="1:33" ht="20" customHeight="1">
      <c r="A673" s="3" t="s">
        <v>1068</v>
      </c>
      <c r="B673" s="2">
        <v>46288</v>
      </c>
      <c r="C673" s="3">
        <v>18</v>
      </c>
      <c r="D673" s="3" t="s">
        <v>1039</v>
      </c>
      <c r="E673" s="3" t="s">
        <v>91</v>
      </c>
      <c r="F673" s="3" t="s">
        <v>109</v>
      </c>
      <c r="G673" s="3" t="s">
        <v>93</v>
      </c>
      <c r="H673" s="3" t="s">
        <v>94</v>
      </c>
      <c r="I673" s="3">
        <v>2</v>
      </c>
      <c r="J673" s="11">
        <v>95</v>
      </c>
      <c r="K673" s="4">
        <v>0</v>
      </c>
      <c r="L673" s="3" t="s">
        <v>95</v>
      </c>
      <c r="M673" s="3">
        <v>23</v>
      </c>
      <c r="N673" s="3">
        <v>5</v>
      </c>
      <c r="O673" s="3">
        <v>4</v>
      </c>
      <c r="P673" s="11">
        <f>Clean_Data[[#This Row],[Quantity]]*Clean_Data[[#This Row],[UnitPrice]]</f>
        <v>190</v>
      </c>
      <c r="Q673" s="11">
        <f>ROUND(Clean_Data[[#This Row],[GrossSales]]*Clean_Data[[#This Row],[DiscountPct]],2)</f>
        <v>0</v>
      </c>
      <c r="R673" s="11">
        <f>IF(Clean_Data[[#This Row],[Status]]="Delivered",ROUND(Clean_Data[[#This Row],[GrossSales]]-Clean_Data[[#This Row],[DiscountAmount]],2),0)</f>
        <v>190</v>
      </c>
      <c r="S673" s="3" t="str">
        <f>IF(Clean_Data[[#This Row],[OrderHour]]&lt;6,"Night",IF(Clean_Data[[#This Row],[OrderHour]]&lt;12,"Morning",IF(Clean_Data[[#This Row],[OrderHour]]&lt;18,"Afternoon","Evening")))</f>
        <v>Evening</v>
      </c>
      <c r="T673" s="3" t="str">
        <f>TEXT(Clean_Data[[#This Row],[OrderDate]],"[$-409]ddd")</f>
        <v>Wed</v>
      </c>
      <c r="U673" s="3">
        <f>WEEKDAY(Clean_Data[[#This Row],[OrderDate]],2)</f>
        <v>3</v>
      </c>
      <c r="V673" s="3">
        <f>INT(Clean_Data[[#This Row],[OrderHour]]/6)+1</f>
        <v>4</v>
      </c>
      <c r="W673" s="3">
        <f>IF(Clean_Data[[#This Row],[Status]]="Delivered",1,0)</f>
        <v>1</v>
      </c>
      <c r="X673" s="3">
        <f>IF(Clean_Data[[#This Row],[Status]]="Delivered",IF(Clean_Data[[#This Row],[DeliveryMinutes]]&lt;=Dashboard!$X$5,1,0),0)</f>
        <v>1</v>
      </c>
      <c r="Y6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3" s="3">
        <f>IF(AND(Clean_Data[[#This Row],[Include]]=1,Clean_Data[[#This Row],[DeliveredFlag]]=1),1,0)</f>
        <v>1</v>
      </c>
      <c r="AA673" s="1">
        <f>IF(COUNTIF($D$2:D673,D673)=1,ROW()-1,ROWS(Clean_Data[OrderID])+1)</f>
        <v>901</v>
      </c>
      <c r="AB673" s="1">
        <f>IF(COUNTIF($F$2:F673,F673)=1,ROW()-1,ROWS(Clean_Data[OrderID])+1)</f>
        <v>901</v>
      </c>
      <c r="AC673" s="1">
        <f>IF(COUNTIF($G$2:G673,G673)=1,ROW()-1,ROWS(Clean_Data[OrderID])+1)</f>
        <v>901</v>
      </c>
      <c r="AD673" s="1">
        <f>IF(COUNTIF($H$2:H673,H673)=1,ROW()-1,ROWS(Clean_Data[OrderID])+1)</f>
        <v>901</v>
      </c>
      <c r="AE673" s="1">
        <f>IF(COUNTIF($V$2:V673,V673)=1,V673,ROWS(Clean_Data[OrderID])+1)</f>
        <v>901</v>
      </c>
      <c r="AF673" s="1">
        <f>IF(COUNTIF($U$2:U673,U673)=1,U673,ROWS(Clean_Data[OrderID])+1)</f>
        <v>901</v>
      </c>
      <c r="AG673" s="1">
        <f>IF(COUNTIF($E$2:E673,E673)=1,ROW()-1,ROWS(Clean_Data[OrderID])+1)</f>
        <v>901</v>
      </c>
    </row>
    <row r="674" spans="1:33" ht="20" customHeight="1">
      <c r="A674" s="3" t="s">
        <v>1069</v>
      </c>
      <c r="B674" s="2">
        <v>46288</v>
      </c>
      <c r="C674" s="3">
        <v>18</v>
      </c>
      <c r="D674" s="3" t="s">
        <v>886</v>
      </c>
      <c r="E674" s="3" t="s">
        <v>91</v>
      </c>
      <c r="F674" s="3" t="s">
        <v>92</v>
      </c>
      <c r="G674" s="3" t="s">
        <v>174</v>
      </c>
      <c r="H674" s="3" t="s">
        <v>274</v>
      </c>
      <c r="I674" s="3">
        <v>2</v>
      </c>
      <c r="J674" s="11">
        <v>90</v>
      </c>
      <c r="K674" s="4">
        <v>0.15</v>
      </c>
      <c r="L674" s="3" t="s">
        <v>95</v>
      </c>
      <c r="M674" s="3">
        <v>24</v>
      </c>
      <c r="N674" s="3">
        <v>8</v>
      </c>
      <c r="O674" s="3">
        <v>4</v>
      </c>
      <c r="P674" s="11">
        <f>Clean_Data[[#This Row],[Quantity]]*Clean_Data[[#This Row],[UnitPrice]]</f>
        <v>180</v>
      </c>
      <c r="Q674" s="11">
        <f>ROUND(Clean_Data[[#This Row],[GrossSales]]*Clean_Data[[#This Row],[DiscountPct]],2)</f>
        <v>27</v>
      </c>
      <c r="R674" s="11">
        <f>IF(Clean_Data[[#This Row],[Status]]="Delivered",ROUND(Clean_Data[[#This Row],[GrossSales]]-Clean_Data[[#This Row],[DiscountAmount]],2),0)</f>
        <v>153</v>
      </c>
      <c r="S674" s="3" t="str">
        <f>IF(Clean_Data[[#This Row],[OrderHour]]&lt;6,"Night",IF(Clean_Data[[#This Row],[OrderHour]]&lt;12,"Morning",IF(Clean_Data[[#This Row],[OrderHour]]&lt;18,"Afternoon","Evening")))</f>
        <v>Evening</v>
      </c>
      <c r="T674" s="3" t="str">
        <f>TEXT(Clean_Data[[#This Row],[OrderDate]],"[$-409]ddd")</f>
        <v>Wed</v>
      </c>
      <c r="U674" s="3">
        <f>WEEKDAY(Clean_Data[[#This Row],[OrderDate]],2)</f>
        <v>3</v>
      </c>
      <c r="V674" s="3">
        <f>INT(Clean_Data[[#This Row],[OrderHour]]/6)+1</f>
        <v>4</v>
      </c>
      <c r="W674" s="3">
        <f>IF(Clean_Data[[#This Row],[Status]]="Delivered",1,0)</f>
        <v>1</v>
      </c>
      <c r="X674" s="3">
        <f>IF(Clean_Data[[#This Row],[Status]]="Delivered",IF(Clean_Data[[#This Row],[DeliveryMinutes]]&lt;=Dashboard!$X$5,1,0),0)</f>
        <v>1</v>
      </c>
      <c r="Y6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4" s="3">
        <f>IF(AND(Clean_Data[[#This Row],[Include]]=1,Clean_Data[[#This Row],[DeliveredFlag]]=1),1,0)</f>
        <v>1</v>
      </c>
      <c r="AA674" s="1">
        <f>IF(COUNTIF($D$2:D674,D674)=1,ROW()-1,ROWS(Clean_Data[OrderID])+1)</f>
        <v>901</v>
      </c>
      <c r="AB674" s="1">
        <f>IF(COUNTIF($F$2:F674,F674)=1,ROW()-1,ROWS(Clean_Data[OrderID])+1)</f>
        <v>901</v>
      </c>
      <c r="AC674" s="1">
        <f>IF(COUNTIF($G$2:G674,G674)=1,ROW()-1,ROWS(Clean_Data[OrderID])+1)</f>
        <v>901</v>
      </c>
      <c r="AD674" s="1">
        <f>IF(COUNTIF($H$2:H674,H674)=1,ROW()-1,ROWS(Clean_Data[OrderID])+1)</f>
        <v>901</v>
      </c>
      <c r="AE674" s="1">
        <f>IF(COUNTIF($V$2:V674,V674)=1,V674,ROWS(Clean_Data[OrderID])+1)</f>
        <v>901</v>
      </c>
      <c r="AF674" s="1">
        <f>IF(COUNTIF($U$2:U674,U674)=1,U674,ROWS(Clean_Data[OrderID])+1)</f>
        <v>901</v>
      </c>
      <c r="AG674" s="1">
        <f>IF(COUNTIF($E$2:E674,E674)=1,ROW()-1,ROWS(Clean_Data[OrderID])+1)</f>
        <v>901</v>
      </c>
    </row>
    <row r="675" spans="1:33" ht="20" customHeight="1">
      <c r="A675" s="3" t="s">
        <v>1070</v>
      </c>
      <c r="B675" s="2">
        <v>46288</v>
      </c>
      <c r="C675" s="3">
        <v>6</v>
      </c>
      <c r="D675" s="3" t="s">
        <v>1026</v>
      </c>
      <c r="E675" s="3" t="s">
        <v>91</v>
      </c>
      <c r="F675" s="3" t="s">
        <v>139</v>
      </c>
      <c r="G675" s="3" t="s">
        <v>99</v>
      </c>
      <c r="H675" s="3" t="s">
        <v>130</v>
      </c>
      <c r="I675" s="3">
        <v>4</v>
      </c>
      <c r="J675" s="11">
        <v>85</v>
      </c>
      <c r="K675" s="4">
        <v>0</v>
      </c>
      <c r="L675" s="3" t="s">
        <v>101</v>
      </c>
      <c r="M675" s="3"/>
      <c r="N675" s="3"/>
      <c r="O675" s="3"/>
      <c r="P675" s="11">
        <f>Clean_Data[[#This Row],[Quantity]]*Clean_Data[[#This Row],[UnitPrice]]</f>
        <v>340</v>
      </c>
      <c r="Q675" s="11">
        <f>ROUND(Clean_Data[[#This Row],[GrossSales]]*Clean_Data[[#This Row],[DiscountPct]],2)</f>
        <v>0</v>
      </c>
      <c r="R675" s="11">
        <f>IF(Clean_Data[[#This Row],[Status]]="Delivered",ROUND(Clean_Data[[#This Row],[GrossSales]]-Clean_Data[[#This Row],[DiscountAmount]],2),0)</f>
        <v>0</v>
      </c>
      <c r="S675" s="3" t="str">
        <f>IF(Clean_Data[[#This Row],[OrderHour]]&lt;6,"Night",IF(Clean_Data[[#This Row],[OrderHour]]&lt;12,"Morning",IF(Clean_Data[[#This Row],[OrderHour]]&lt;18,"Afternoon","Evening")))</f>
        <v>Morning</v>
      </c>
      <c r="T675" s="3" t="str">
        <f>TEXT(Clean_Data[[#This Row],[OrderDate]],"[$-409]ddd")</f>
        <v>Wed</v>
      </c>
      <c r="U675" s="3">
        <f>WEEKDAY(Clean_Data[[#This Row],[OrderDate]],2)</f>
        <v>3</v>
      </c>
      <c r="V675" s="3">
        <f>INT(Clean_Data[[#This Row],[OrderHour]]/6)+1</f>
        <v>2</v>
      </c>
      <c r="W675" s="3">
        <f>IF(Clean_Data[[#This Row],[Status]]="Delivered",1,0)</f>
        <v>0</v>
      </c>
      <c r="X675" s="3">
        <f>IF(Clean_Data[[#This Row],[Status]]="Delivered",IF(Clean_Data[[#This Row],[DeliveryMinutes]]&lt;=Dashboard!$X$5,1,0),0)</f>
        <v>0</v>
      </c>
      <c r="Y6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5" s="3">
        <f>IF(AND(Clean_Data[[#This Row],[Include]]=1,Clean_Data[[#This Row],[DeliveredFlag]]=1),1,0)</f>
        <v>0</v>
      </c>
      <c r="AA675" s="1">
        <f>IF(COUNTIF($D$2:D675,D675)=1,ROW()-1,ROWS(Clean_Data[OrderID])+1)</f>
        <v>901</v>
      </c>
      <c r="AB675" s="1">
        <f>IF(COUNTIF($F$2:F675,F675)=1,ROW()-1,ROWS(Clean_Data[OrderID])+1)</f>
        <v>901</v>
      </c>
      <c r="AC675" s="1">
        <f>IF(COUNTIF($G$2:G675,G675)=1,ROW()-1,ROWS(Clean_Data[OrderID])+1)</f>
        <v>901</v>
      </c>
      <c r="AD675" s="1">
        <f>IF(COUNTIF($H$2:H675,H675)=1,ROW()-1,ROWS(Clean_Data[OrderID])+1)</f>
        <v>901</v>
      </c>
      <c r="AE675" s="1">
        <f>IF(COUNTIF($V$2:V675,V675)=1,V675,ROWS(Clean_Data[OrderID])+1)</f>
        <v>901</v>
      </c>
      <c r="AF675" s="1">
        <f>IF(COUNTIF($U$2:U675,U675)=1,U675,ROWS(Clean_Data[OrderID])+1)</f>
        <v>901</v>
      </c>
      <c r="AG675" s="1">
        <f>IF(COUNTIF($E$2:E675,E675)=1,ROW()-1,ROWS(Clean_Data[OrderID])+1)</f>
        <v>901</v>
      </c>
    </row>
    <row r="676" spans="1:33" ht="20" customHeight="1">
      <c r="A676" s="3" t="s">
        <v>1071</v>
      </c>
      <c r="B676" s="2">
        <v>46288</v>
      </c>
      <c r="C676" s="3">
        <v>19</v>
      </c>
      <c r="D676" s="3" t="s">
        <v>303</v>
      </c>
      <c r="E676" s="3" t="s">
        <v>91</v>
      </c>
      <c r="F676" s="3" t="s">
        <v>92</v>
      </c>
      <c r="G676" s="3" t="s">
        <v>110</v>
      </c>
      <c r="H676" s="3" t="s">
        <v>206</v>
      </c>
      <c r="I676" s="3">
        <v>3</v>
      </c>
      <c r="J676" s="11">
        <v>220</v>
      </c>
      <c r="K676" s="4">
        <v>0.05</v>
      </c>
      <c r="L676" s="3" t="s">
        <v>95</v>
      </c>
      <c r="M676" s="3">
        <v>30</v>
      </c>
      <c r="N676" s="3">
        <v>14</v>
      </c>
      <c r="O676" s="3">
        <v>5</v>
      </c>
      <c r="P676" s="11">
        <f>Clean_Data[[#This Row],[Quantity]]*Clean_Data[[#This Row],[UnitPrice]]</f>
        <v>660</v>
      </c>
      <c r="Q676" s="11">
        <f>ROUND(Clean_Data[[#This Row],[GrossSales]]*Clean_Data[[#This Row],[DiscountPct]],2)</f>
        <v>33</v>
      </c>
      <c r="R676" s="11">
        <f>IF(Clean_Data[[#This Row],[Status]]="Delivered",ROUND(Clean_Data[[#This Row],[GrossSales]]-Clean_Data[[#This Row],[DiscountAmount]],2),0)</f>
        <v>627</v>
      </c>
      <c r="S676" s="3" t="str">
        <f>IF(Clean_Data[[#This Row],[OrderHour]]&lt;6,"Night",IF(Clean_Data[[#This Row],[OrderHour]]&lt;12,"Morning",IF(Clean_Data[[#This Row],[OrderHour]]&lt;18,"Afternoon","Evening")))</f>
        <v>Evening</v>
      </c>
      <c r="T676" s="3" t="str">
        <f>TEXT(Clean_Data[[#This Row],[OrderDate]],"[$-409]ddd")</f>
        <v>Wed</v>
      </c>
      <c r="U676" s="3">
        <f>WEEKDAY(Clean_Data[[#This Row],[OrderDate]],2)</f>
        <v>3</v>
      </c>
      <c r="V676" s="3">
        <f>INT(Clean_Data[[#This Row],[OrderHour]]/6)+1</f>
        <v>4</v>
      </c>
      <c r="W676" s="3">
        <f>IF(Clean_Data[[#This Row],[Status]]="Delivered",1,0)</f>
        <v>1</v>
      </c>
      <c r="X676" s="3">
        <f>IF(Clean_Data[[#This Row],[Status]]="Delivered",IF(Clean_Data[[#This Row],[DeliveryMinutes]]&lt;=Dashboard!$X$5,1,0),0)</f>
        <v>1</v>
      </c>
      <c r="Y6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6" s="3">
        <f>IF(AND(Clean_Data[[#This Row],[Include]]=1,Clean_Data[[#This Row],[DeliveredFlag]]=1),1,0)</f>
        <v>1</v>
      </c>
      <c r="AA676" s="1">
        <f>IF(COUNTIF($D$2:D676,D676)=1,ROW()-1,ROWS(Clean_Data[OrderID])+1)</f>
        <v>901</v>
      </c>
      <c r="AB676" s="1">
        <f>IF(COUNTIF($F$2:F676,F676)=1,ROW()-1,ROWS(Clean_Data[OrderID])+1)</f>
        <v>901</v>
      </c>
      <c r="AC676" s="1">
        <f>IF(COUNTIF($G$2:G676,G676)=1,ROW()-1,ROWS(Clean_Data[OrderID])+1)</f>
        <v>901</v>
      </c>
      <c r="AD676" s="1">
        <f>IF(COUNTIF($H$2:H676,H676)=1,ROW()-1,ROWS(Clean_Data[OrderID])+1)</f>
        <v>901</v>
      </c>
      <c r="AE676" s="1">
        <f>IF(COUNTIF($V$2:V676,V676)=1,V676,ROWS(Clean_Data[OrderID])+1)</f>
        <v>901</v>
      </c>
      <c r="AF676" s="1">
        <f>IF(COUNTIF($U$2:U676,U676)=1,U676,ROWS(Clean_Data[OrderID])+1)</f>
        <v>901</v>
      </c>
      <c r="AG676" s="1">
        <f>IF(COUNTIF($E$2:E676,E676)=1,ROW()-1,ROWS(Clean_Data[OrderID])+1)</f>
        <v>901</v>
      </c>
    </row>
    <row r="677" spans="1:33" ht="20" customHeight="1">
      <c r="A677" s="3" t="s">
        <v>1072</v>
      </c>
      <c r="B677" s="2">
        <v>46288</v>
      </c>
      <c r="C677" s="3">
        <v>7</v>
      </c>
      <c r="D677" s="3" t="s">
        <v>242</v>
      </c>
      <c r="E677" s="3" t="s">
        <v>91</v>
      </c>
      <c r="F677" s="3" t="s">
        <v>121</v>
      </c>
      <c r="G677" s="3" t="s">
        <v>122</v>
      </c>
      <c r="H677" s="3" t="s">
        <v>153</v>
      </c>
      <c r="I677" s="3">
        <v>6</v>
      </c>
      <c r="J677" s="11">
        <v>130</v>
      </c>
      <c r="K677" s="4">
        <v>0</v>
      </c>
      <c r="L677" s="3" t="s">
        <v>95</v>
      </c>
      <c r="M677" s="3">
        <v>29</v>
      </c>
      <c r="N677" s="3">
        <v>10</v>
      </c>
      <c r="O677" s="3">
        <v>5</v>
      </c>
      <c r="P677" s="11">
        <f>Clean_Data[[#This Row],[Quantity]]*Clean_Data[[#This Row],[UnitPrice]]</f>
        <v>780</v>
      </c>
      <c r="Q677" s="11">
        <f>ROUND(Clean_Data[[#This Row],[GrossSales]]*Clean_Data[[#This Row],[DiscountPct]],2)</f>
        <v>0</v>
      </c>
      <c r="R677" s="11">
        <f>IF(Clean_Data[[#This Row],[Status]]="Delivered",ROUND(Clean_Data[[#This Row],[GrossSales]]-Clean_Data[[#This Row],[DiscountAmount]],2),0)</f>
        <v>780</v>
      </c>
      <c r="S677" s="3" t="str">
        <f>IF(Clean_Data[[#This Row],[OrderHour]]&lt;6,"Night",IF(Clean_Data[[#This Row],[OrderHour]]&lt;12,"Morning",IF(Clean_Data[[#This Row],[OrderHour]]&lt;18,"Afternoon","Evening")))</f>
        <v>Morning</v>
      </c>
      <c r="T677" s="3" t="str">
        <f>TEXT(Clean_Data[[#This Row],[OrderDate]],"[$-409]ddd")</f>
        <v>Wed</v>
      </c>
      <c r="U677" s="3">
        <f>WEEKDAY(Clean_Data[[#This Row],[OrderDate]],2)</f>
        <v>3</v>
      </c>
      <c r="V677" s="3">
        <f>INT(Clean_Data[[#This Row],[OrderHour]]/6)+1</f>
        <v>2</v>
      </c>
      <c r="W677" s="3">
        <f>IF(Clean_Data[[#This Row],[Status]]="Delivered",1,0)</f>
        <v>1</v>
      </c>
      <c r="X677" s="3">
        <f>IF(Clean_Data[[#This Row],[Status]]="Delivered",IF(Clean_Data[[#This Row],[DeliveryMinutes]]&lt;=Dashboard!$X$5,1,0),0)</f>
        <v>1</v>
      </c>
      <c r="Y6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7" s="3">
        <f>IF(AND(Clean_Data[[#This Row],[Include]]=1,Clean_Data[[#This Row],[DeliveredFlag]]=1),1,0)</f>
        <v>1</v>
      </c>
      <c r="AA677" s="1">
        <f>IF(COUNTIF($D$2:D677,D677)=1,ROW()-1,ROWS(Clean_Data[OrderID])+1)</f>
        <v>901</v>
      </c>
      <c r="AB677" s="1">
        <f>IF(COUNTIF($F$2:F677,F677)=1,ROW()-1,ROWS(Clean_Data[OrderID])+1)</f>
        <v>901</v>
      </c>
      <c r="AC677" s="1">
        <f>IF(COUNTIF($G$2:G677,G677)=1,ROW()-1,ROWS(Clean_Data[OrderID])+1)</f>
        <v>901</v>
      </c>
      <c r="AD677" s="1">
        <f>IF(COUNTIF($H$2:H677,H677)=1,ROW()-1,ROWS(Clean_Data[OrderID])+1)</f>
        <v>901</v>
      </c>
      <c r="AE677" s="1">
        <f>IF(COUNTIF($V$2:V677,V677)=1,V677,ROWS(Clean_Data[OrderID])+1)</f>
        <v>901</v>
      </c>
      <c r="AF677" s="1">
        <f>IF(COUNTIF($U$2:U677,U677)=1,U677,ROWS(Clean_Data[OrderID])+1)</f>
        <v>901</v>
      </c>
      <c r="AG677" s="1">
        <f>IF(COUNTIF($E$2:E677,E677)=1,ROW()-1,ROWS(Clean_Data[OrderID])+1)</f>
        <v>901</v>
      </c>
    </row>
    <row r="678" spans="1:33" ht="20" customHeight="1">
      <c r="A678" s="3" t="s">
        <v>1073</v>
      </c>
      <c r="B678" s="2">
        <v>46288</v>
      </c>
      <c r="C678" s="3">
        <v>23</v>
      </c>
      <c r="D678" s="3" t="s">
        <v>242</v>
      </c>
      <c r="E678" s="3" t="s">
        <v>91</v>
      </c>
      <c r="F678" s="3" t="s">
        <v>139</v>
      </c>
      <c r="G678" s="3" t="s">
        <v>93</v>
      </c>
      <c r="H678" s="3" t="s">
        <v>94</v>
      </c>
      <c r="I678" s="3">
        <v>6</v>
      </c>
      <c r="J678" s="11">
        <v>95</v>
      </c>
      <c r="K678" s="4">
        <v>0</v>
      </c>
      <c r="L678" s="3" t="s">
        <v>95</v>
      </c>
      <c r="M678" s="3">
        <v>24</v>
      </c>
      <c r="N678" s="3">
        <v>11</v>
      </c>
      <c r="O678" s="3">
        <v>3</v>
      </c>
      <c r="P678" s="11">
        <f>Clean_Data[[#This Row],[Quantity]]*Clean_Data[[#This Row],[UnitPrice]]</f>
        <v>570</v>
      </c>
      <c r="Q678" s="11">
        <f>ROUND(Clean_Data[[#This Row],[GrossSales]]*Clean_Data[[#This Row],[DiscountPct]],2)</f>
        <v>0</v>
      </c>
      <c r="R678" s="11">
        <f>IF(Clean_Data[[#This Row],[Status]]="Delivered",ROUND(Clean_Data[[#This Row],[GrossSales]]-Clean_Data[[#This Row],[DiscountAmount]],2),0)</f>
        <v>570</v>
      </c>
      <c r="S678" s="3" t="str">
        <f>IF(Clean_Data[[#This Row],[OrderHour]]&lt;6,"Night",IF(Clean_Data[[#This Row],[OrderHour]]&lt;12,"Morning",IF(Clean_Data[[#This Row],[OrderHour]]&lt;18,"Afternoon","Evening")))</f>
        <v>Evening</v>
      </c>
      <c r="T678" s="3" t="str">
        <f>TEXT(Clean_Data[[#This Row],[OrderDate]],"[$-409]ddd")</f>
        <v>Wed</v>
      </c>
      <c r="U678" s="3">
        <f>WEEKDAY(Clean_Data[[#This Row],[OrderDate]],2)</f>
        <v>3</v>
      </c>
      <c r="V678" s="3">
        <f>INT(Clean_Data[[#This Row],[OrderHour]]/6)+1</f>
        <v>4</v>
      </c>
      <c r="W678" s="3">
        <f>IF(Clean_Data[[#This Row],[Status]]="Delivered",1,0)</f>
        <v>1</v>
      </c>
      <c r="X678" s="3">
        <f>IF(Clean_Data[[#This Row],[Status]]="Delivered",IF(Clean_Data[[#This Row],[DeliveryMinutes]]&lt;=Dashboard!$X$5,1,0),0)</f>
        <v>1</v>
      </c>
      <c r="Y6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8" s="3">
        <f>IF(AND(Clean_Data[[#This Row],[Include]]=1,Clean_Data[[#This Row],[DeliveredFlag]]=1),1,0)</f>
        <v>1</v>
      </c>
      <c r="AA678" s="1">
        <f>IF(COUNTIF($D$2:D678,D678)=1,ROW()-1,ROWS(Clean_Data[OrderID])+1)</f>
        <v>901</v>
      </c>
      <c r="AB678" s="1">
        <f>IF(COUNTIF($F$2:F678,F678)=1,ROW()-1,ROWS(Clean_Data[OrderID])+1)</f>
        <v>901</v>
      </c>
      <c r="AC678" s="1">
        <f>IF(COUNTIF($G$2:G678,G678)=1,ROW()-1,ROWS(Clean_Data[OrderID])+1)</f>
        <v>901</v>
      </c>
      <c r="AD678" s="1">
        <f>IF(COUNTIF($H$2:H678,H678)=1,ROW()-1,ROWS(Clean_Data[OrderID])+1)</f>
        <v>901</v>
      </c>
      <c r="AE678" s="1">
        <f>IF(COUNTIF($V$2:V678,V678)=1,V678,ROWS(Clean_Data[OrderID])+1)</f>
        <v>901</v>
      </c>
      <c r="AF678" s="1">
        <f>IF(COUNTIF($U$2:U678,U678)=1,U678,ROWS(Clean_Data[OrderID])+1)</f>
        <v>901</v>
      </c>
      <c r="AG678" s="1">
        <f>IF(COUNTIF($E$2:E678,E678)=1,ROW()-1,ROWS(Clean_Data[OrderID])+1)</f>
        <v>901</v>
      </c>
    </row>
    <row r="679" spans="1:33" ht="20" customHeight="1">
      <c r="A679" s="3" t="s">
        <v>1074</v>
      </c>
      <c r="B679" s="2">
        <v>46288</v>
      </c>
      <c r="C679" s="3">
        <v>21</v>
      </c>
      <c r="D679" s="3" t="s">
        <v>613</v>
      </c>
      <c r="E679" s="3" t="s">
        <v>91</v>
      </c>
      <c r="F679" s="3" t="s">
        <v>121</v>
      </c>
      <c r="G679" s="3" t="s">
        <v>122</v>
      </c>
      <c r="H679" s="3" t="s">
        <v>214</v>
      </c>
      <c r="I679" s="3">
        <v>5</v>
      </c>
      <c r="J679" s="11">
        <v>55</v>
      </c>
      <c r="K679" s="4">
        <v>0.1</v>
      </c>
      <c r="L679" s="3" t="s">
        <v>101</v>
      </c>
      <c r="M679" s="3"/>
      <c r="N679" s="3"/>
      <c r="O679" s="3"/>
      <c r="P679" s="11">
        <f>Clean_Data[[#This Row],[Quantity]]*Clean_Data[[#This Row],[UnitPrice]]</f>
        <v>275</v>
      </c>
      <c r="Q679" s="11">
        <f>ROUND(Clean_Data[[#This Row],[GrossSales]]*Clean_Data[[#This Row],[DiscountPct]],2)</f>
        <v>27.5</v>
      </c>
      <c r="R679" s="11">
        <f>IF(Clean_Data[[#This Row],[Status]]="Delivered",ROUND(Clean_Data[[#This Row],[GrossSales]]-Clean_Data[[#This Row],[DiscountAmount]],2),0)</f>
        <v>0</v>
      </c>
      <c r="S679" s="3" t="str">
        <f>IF(Clean_Data[[#This Row],[OrderHour]]&lt;6,"Night",IF(Clean_Data[[#This Row],[OrderHour]]&lt;12,"Morning",IF(Clean_Data[[#This Row],[OrderHour]]&lt;18,"Afternoon","Evening")))</f>
        <v>Evening</v>
      </c>
      <c r="T679" s="3" t="str">
        <f>TEXT(Clean_Data[[#This Row],[OrderDate]],"[$-409]ddd")</f>
        <v>Wed</v>
      </c>
      <c r="U679" s="3">
        <f>WEEKDAY(Clean_Data[[#This Row],[OrderDate]],2)</f>
        <v>3</v>
      </c>
      <c r="V679" s="3">
        <f>INT(Clean_Data[[#This Row],[OrderHour]]/6)+1</f>
        <v>4</v>
      </c>
      <c r="W679" s="3">
        <f>IF(Clean_Data[[#This Row],[Status]]="Delivered",1,0)</f>
        <v>0</v>
      </c>
      <c r="X679" s="3">
        <f>IF(Clean_Data[[#This Row],[Status]]="Delivered",IF(Clean_Data[[#This Row],[DeliveryMinutes]]&lt;=Dashboard!$X$5,1,0),0)</f>
        <v>0</v>
      </c>
      <c r="Y6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79" s="3">
        <f>IF(AND(Clean_Data[[#This Row],[Include]]=1,Clean_Data[[#This Row],[DeliveredFlag]]=1),1,0)</f>
        <v>0</v>
      </c>
      <c r="AA679" s="1">
        <f>IF(COUNTIF($D$2:D679,D679)=1,ROW()-1,ROWS(Clean_Data[OrderID])+1)</f>
        <v>901</v>
      </c>
      <c r="AB679" s="1">
        <f>IF(COUNTIF($F$2:F679,F679)=1,ROW()-1,ROWS(Clean_Data[OrderID])+1)</f>
        <v>901</v>
      </c>
      <c r="AC679" s="1">
        <f>IF(COUNTIF($G$2:G679,G679)=1,ROW()-1,ROWS(Clean_Data[OrderID])+1)</f>
        <v>901</v>
      </c>
      <c r="AD679" s="1">
        <f>IF(COUNTIF($H$2:H679,H679)=1,ROW()-1,ROWS(Clean_Data[OrderID])+1)</f>
        <v>901</v>
      </c>
      <c r="AE679" s="1">
        <f>IF(COUNTIF($V$2:V679,V679)=1,V679,ROWS(Clean_Data[OrderID])+1)</f>
        <v>901</v>
      </c>
      <c r="AF679" s="1">
        <f>IF(COUNTIF($U$2:U679,U679)=1,U679,ROWS(Clean_Data[OrderID])+1)</f>
        <v>901</v>
      </c>
      <c r="AG679" s="1">
        <f>IF(COUNTIF($E$2:E679,E679)=1,ROW()-1,ROWS(Clean_Data[OrderID])+1)</f>
        <v>901</v>
      </c>
    </row>
    <row r="680" spans="1:33" ht="20" customHeight="1">
      <c r="A680" s="3" t="s">
        <v>1075</v>
      </c>
      <c r="B680" s="2">
        <v>46288</v>
      </c>
      <c r="C680" s="3">
        <v>23</v>
      </c>
      <c r="D680" s="3" t="s">
        <v>365</v>
      </c>
      <c r="E680" s="3" t="s">
        <v>91</v>
      </c>
      <c r="F680" s="3" t="s">
        <v>121</v>
      </c>
      <c r="G680" s="3" t="s">
        <v>99</v>
      </c>
      <c r="H680" s="3" t="s">
        <v>104</v>
      </c>
      <c r="I680" s="3">
        <v>2</v>
      </c>
      <c r="J680" s="11">
        <v>240</v>
      </c>
      <c r="K680" s="4">
        <v>0</v>
      </c>
      <c r="L680" s="3" t="s">
        <v>95</v>
      </c>
      <c r="M680" s="3">
        <v>22</v>
      </c>
      <c r="N680" s="3">
        <v>14</v>
      </c>
      <c r="O680" s="3">
        <v>4</v>
      </c>
      <c r="P680" s="11">
        <f>Clean_Data[[#This Row],[Quantity]]*Clean_Data[[#This Row],[UnitPrice]]</f>
        <v>480</v>
      </c>
      <c r="Q680" s="11">
        <f>ROUND(Clean_Data[[#This Row],[GrossSales]]*Clean_Data[[#This Row],[DiscountPct]],2)</f>
        <v>0</v>
      </c>
      <c r="R680" s="11">
        <f>IF(Clean_Data[[#This Row],[Status]]="Delivered",ROUND(Clean_Data[[#This Row],[GrossSales]]-Clean_Data[[#This Row],[DiscountAmount]],2),0)</f>
        <v>480</v>
      </c>
      <c r="S680" s="3" t="str">
        <f>IF(Clean_Data[[#This Row],[OrderHour]]&lt;6,"Night",IF(Clean_Data[[#This Row],[OrderHour]]&lt;12,"Morning",IF(Clean_Data[[#This Row],[OrderHour]]&lt;18,"Afternoon","Evening")))</f>
        <v>Evening</v>
      </c>
      <c r="T680" s="3" t="str">
        <f>TEXT(Clean_Data[[#This Row],[OrderDate]],"[$-409]ddd")</f>
        <v>Wed</v>
      </c>
      <c r="U680" s="3">
        <f>WEEKDAY(Clean_Data[[#This Row],[OrderDate]],2)</f>
        <v>3</v>
      </c>
      <c r="V680" s="3">
        <f>INT(Clean_Data[[#This Row],[OrderHour]]/6)+1</f>
        <v>4</v>
      </c>
      <c r="W680" s="3">
        <f>IF(Clean_Data[[#This Row],[Status]]="Delivered",1,0)</f>
        <v>1</v>
      </c>
      <c r="X680" s="3">
        <f>IF(Clean_Data[[#This Row],[Status]]="Delivered",IF(Clean_Data[[#This Row],[DeliveryMinutes]]&lt;=Dashboard!$X$5,1,0),0)</f>
        <v>1</v>
      </c>
      <c r="Y6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0" s="3">
        <f>IF(AND(Clean_Data[[#This Row],[Include]]=1,Clean_Data[[#This Row],[DeliveredFlag]]=1),1,0)</f>
        <v>1</v>
      </c>
      <c r="AA680" s="1">
        <f>IF(COUNTIF($D$2:D680,D680)=1,ROW()-1,ROWS(Clean_Data[OrderID])+1)</f>
        <v>901</v>
      </c>
      <c r="AB680" s="1">
        <f>IF(COUNTIF($F$2:F680,F680)=1,ROW()-1,ROWS(Clean_Data[OrderID])+1)</f>
        <v>901</v>
      </c>
      <c r="AC680" s="1">
        <f>IF(COUNTIF($G$2:G680,G680)=1,ROW()-1,ROWS(Clean_Data[OrderID])+1)</f>
        <v>901</v>
      </c>
      <c r="AD680" s="1">
        <f>IF(COUNTIF($H$2:H680,H680)=1,ROW()-1,ROWS(Clean_Data[OrderID])+1)</f>
        <v>901</v>
      </c>
      <c r="AE680" s="1">
        <f>IF(COUNTIF($V$2:V680,V680)=1,V680,ROWS(Clean_Data[OrderID])+1)</f>
        <v>901</v>
      </c>
      <c r="AF680" s="1">
        <f>IF(COUNTIF($U$2:U680,U680)=1,U680,ROWS(Clean_Data[OrderID])+1)</f>
        <v>901</v>
      </c>
      <c r="AG680" s="1">
        <f>IF(COUNTIF($E$2:E680,E680)=1,ROW()-1,ROWS(Clean_Data[OrderID])+1)</f>
        <v>901</v>
      </c>
    </row>
    <row r="681" spans="1:33" ht="20" customHeight="1">
      <c r="A681" s="3" t="s">
        <v>1076</v>
      </c>
      <c r="B681" s="2">
        <v>46288</v>
      </c>
      <c r="C681" s="3">
        <v>8</v>
      </c>
      <c r="D681" s="3" t="s">
        <v>597</v>
      </c>
      <c r="E681" s="3" t="s">
        <v>117</v>
      </c>
      <c r="F681" s="3" t="s">
        <v>139</v>
      </c>
      <c r="G681" s="3" t="s">
        <v>135</v>
      </c>
      <c r="H681" s="3" t="s">
        <v>162</v>
      </c>
      <c r="I681" s="3">
        <v>3</v>
      </c>
      <c r="J681" s="11">
        <v>180</v>
      </c>
      <c r="K681" s="4">
        <v>0.1</v>
      </c>
      <c r="L681" s="3" t="s">
        <v>95</v>
      </c>
      <c r="M681" s="3">
        <v>14</v>
      </c>
      <c r="N681" s="3">
        <v>9</v>
      </c>
      <c r="O681" s="3">
        <v>3</v>
      </c>
      <c r="P681" s="11">
        <f>Clean_Data[[#This Row],[Quantity]]*Clean_Data[[#This Row],[UnitPrice]]</f>
        <v>540</v>
      </c>
      <c r="Q681" s="11">
        <f>ROUND(Clean_Data[[#This Row],[GrossSales]]*Clean_Data[[#This Row],[DiscountPct]],2)</f>
        <v>54</v>
      </c>
      <c r="R681" s="11">
        <f>IF(Clean_Data[[#This Row],[Status]]="Delivered",ROUND(Clean_Data[[#This Row],[GrossSales]]-Clean_Data[[#This Row],[DiscountAmount]],2),0)</f>
        <v>486</v>
      </c>
      <c r="S681" s="3" t="str">
        <f>IF(Clean_Data[[#This Row],[OrderHour]]&lt;6,"Night",IF(Clean_Data[[#This Row],[OrderHour]]&lt;12,"Morning",IF(Clean_Data[[#This Row],[OrderHour]]&lt;18,"Afternoon","Evening")))</f>
        <v>Morning</v>
      </c>
      <c r="T681" s="3" t="str">
        <f>TEXT(Clean_Data[[#This Row],[OrderDate]],"[$-409]ddd")</f>
        <v>Wed</v>
      </c>
      <c r="U681" s="3">
        <f>WEEKDAY(Clean_Data[[#This Row],[OrderDate]],2)</f>
        <v>3</v>
      </c>
      <c r="V681" s="3">
        <f>INT(Clean_Data[[#This Row],[OrderHour]]/6)+1</f>
        <v>2</v>
      </c>
      <c r="W681" s="3">
        <f>IF(Clean_Data[[#This Row],[Status]]="Delivered",1,0)</f>
        <v>1</v>
      </c>
      <c r="X681" s="3">
        <f>IF(Clean_Data[[#This Row],[Status]]="Delivered",IF(Clean_Data[[#This Row],[DeliveryMinutes]]&lt;=Dashboard!$X$5,1,0),0)</f>
        <v>1</v>
      </c>
      <c r="Y6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1" s="3">
        <f>IF(AND(Clean_Data[[#This Row],[Include]]=1,Clean_Data[[#This Row],[DeliveredFlag]]=1),1,0)</f>
        <v>1</v>
      </c>
      <c r="AA681" s="1">
        <f>IF(COUNTIF($D$2:D681,D681)=1,ROW()-1,ROWS(Clean_Data[OrderID])+1)</f>
        <v>901</v>
      </c>
      <c r="AB681" s="1">
        <f>IF(COUNTIF($F$2:F681,F681)=1,ROW()-1,ROWS(Clean_Data[OrderID])+1)</f>
        <v>901</v>
      </c>
      <c r="AC681" s="1">
        <f>IF(COUNTIF($G$2:G681,G681)=1,ROW()-1,ROWS(Clean_Data[OrderID])+1)</f>
        <v>901</v>
      </c>
      <c r="AD681" s="1">
        <f>IF(COUNTIF($H$2:H681,H681)=1,ROW()-1,ROWS(Clean_Data[OrderID])+1)</f>
        <v>901</v>
      </c>
      <c r="AE681" s="1">
        <f>IF(COUNTIF($V$2:V681,V681)=1,V681,ROWS(Clean_Data[OrderID])+1)</f>
        <v>901</v>
      </c>
      <c r="AF681" s="1">
        <f>IF(COUNTIF($U$2:U681,U681)=1,U681,ROWS(Clean_Data[OrderID])+1)</f>
        <v>901</v>
      </c>
      <c r="AG681" s="1">
        <f>IF(COUNTIF($E$2:E681,E681)=1,ROW()-1,ROWS(Clean_Data[OrderID])+1)</f>
        <v>901</v>
      </c>
    </row>
    <row r="682" spans="1:33" ht="20" customHeight="1">
      <c r="A682" s="3" t="s">
        <v>1077</v>
      </c>
      <c r="B682" s="2">
        <v>46288</v>
      </c>
      <c r="C682" s="3">
        <v>19</v>
      </c>
      <c r="D682" s="3" t="s">
        <v>226</v>
      </c>
      <c r="E682" s="3" t="s">
        <v>91</v>
      </c>
      <c r="F682" s="3" t="s">
        <v>121</v>
      </c>
      <c r="G682" s="3" t="s">
        <v>174</v>
      </c>
      <c r="H682" s="3" t="s">
        <v>274</v>
      </c>
      <c r="I682" s="3">
        <v>2</v>
      </c>
      <c r="J682" s="11">
        <v>90</v>
      </c>
      <c r="K682" s="4">
        <v>0</v>
      </c>
      <c r="L682" s="3" t="s">
        <v>95</v>
      </c>
      <c r="M682" s="3">
        <v>25</v>
      </c>
      <c r="N682" s="3">
        <v>7</v>
      </c>
      <c r="O682" s="3">
        <v>5</v>
      </c>
      <c r="P682" s="11">
        <f>Clean_Data[[#This Row],[Quantity]]*Clean_Data[[#This Row],[UnitPrice]]</f>
        <v>180</v>
      </c>
      <c r="Q682" s="11">
        <f>ROUND(Clean_Data[[#This Row],[GrossSales]]*Clean_Data[[#This Row],[DiscountPct]],2)</f>
        <v>0</v>
      </c>
      <c r="R682" s="11">
        <f>IF(Clean_Data[[#This Row],[Status]]="Delivered",ROUND(Clean_Data[[#This Row],[GrossSales]]-Clean_Data[[#This Row],[DiscountAmount]],2),0)</f>
        <v>180</v>
      </c>
      <c r="S682" s="3" t="str">
        <f>IF(Clean_Data[[#This Row],[OrderHour]]&lt;6,"Night",IF(Clean_Data[[#This Row],[OrderHour]]&lt;12,"Morning",IF(Clean_Data[[#This Row],[OrderHour]]&lt;18,"Afternoon","Evening")))</f>
        <v>Evening</v>
      </c>
      <c r="T682" s="3" t="str">
        <f>TEXT(Clean_Data[[#This Row],[OrderDate]],"[$-409]ddd")</f>
        <v>Wed</v>
      </c>
      <c r="U682" s="3">
        <f>WEEKDAY(Clean_Data[[#This Row],[OrderDate]],2)</f>
        <v>3</v>
      </c>
      <c r="V682" s="3">
        <f>INT(Clean_Data[[#This Row],[OrderHour]]/6)+1</f>
        <v>4</v>
      </c>
      <c r="W682" s="3">
        <f>IF(Clean_Data[[#This Row],[Status]]="Delivered",1,0)</f>
        <v>1</v>
      </c>
      <c r="X682" s="3">
        <f>IF(Clean_Data[[#This Row],[Status]]="Delivered",IF(Clean_Data[[#This Row],[DeliveryMinutes]]&lt;=Dashboard!$X$5,1,0),0)</f>
        <v>1</v>
      </c>
      <c r="Y6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2" s="3">
        <f>IF(AND(Clean_Data[[#This Row],[Include]]=1,Clean_Data[[#This Row],[DeliveredFlag]]=1),1,0)</f>
        <v>1</v>
      </c>
      <c r="AA682" s="1">
        <f>IF(COUNTIF($D$2:D682,D682)=1,ROW()-1,ROWS(Clean_Data[OrderID])+1)</f>
        <v>901</v>
      </c>
      <c r="AB682" s="1">
        <f>IF(COUNTIF($F$2:F682,F682)=1,ROW()-1,ROWS(Clean_Data[OrderID])+1)</f>
        <v>901</v>
      </c>
      <c r="AC682" s="1">
        <f>IF(COUNTIF($G$2:G682,G682)=1,ROW()-1,ROWS(Clean_Data[OrderID])+1)</f>
        <v>901</v>
      </c>
      <c r="AD682" s="1">
        <f>IF(COUNTIF($H$2:H682,H682)=1,ROW()-1,ROWS(Clean_Data[OrderID])+1)</f>
        <v>901</v>
      </c>
      <c r="AE682" s="1">
        <f>IF(COUNTIF($V$2:V682,V682)=1,V682,ROWS(Clean_Data[OrderID])+1)</f>
        <v>901</v>
      </c>
      <c r="AF682" s="1">
        <f>IF(COUNTIF($U$2:U682,U682)=1,U682,ROWS(Clean_Data[OrderID])+1)</f>
        <v>901</v>
      </c>
      <c r="AG682" s="1">
        <f>IF(COUNTIF($E$2:E682,E682)=1,ROW()-1,ROWS(Clean_Data[OrderID])+1)</f>
        <v>901</v>
      </c>
    </row>
    <row r="683" spans="1:33" ht="20" customHeight="1">
      <c r="A683" s="3" t="s">
        <v>1078</v>
      </c>
      <c r="B683" s="2">
        <v>46288</v>
      </c>
      <c r="C683" s="3">
        <v>12</v>
      </c>
      <c r="D683" s="3" t="s">
        <v>777</v>
      </c>
      <c r="E683" s="3" t="s">
        <v>91</v>
      </c>
      <c r="F683" s="3" t="s">
        <v>121</v>
      </c>
      <c r="G683" s="3" t="s">
        <v>93</v>
      </c>
      <c r="H683" s="3" t="s">
        <v>146</v>
      </c>
      <c r="I683" s="3">
        <v>1</v>
      </c>
      <c r="J683" s="11">
        <v>110</v>
      </c>
      <c r="K683" s="4">
        <v>0</v>
      </c>
      <c r="L683" s="3" t="s">
        <v>95</v>
      </c>
      <c r="M683" s="3">
        <v>35</v>
      </c>
      <c r="N683" s="3">
        <v>14</v>
      </c>
      <c r="O683" s="3">
        <v>5</v>
      </c>
      <c r="P683" s="11">
        <f>Clean_Data[[#This Row],[Quantity]]*Clean_Data[[#This Row],[UnitPrice]]</f>
        <v>110</v>
      </c>
      <c r="Q683" s="11">
        <f>ROUND(Clean_Data[[#This Row],[GrossSales]]*Clean_Data[[#This Row],[DiscountPct]],2)</f>
        <v>0</v>
      </c>
      <c r="R683" s="11">
        <f>IF(Clean_Data[[#This Row],[Status]]="Delivered",ROUND(Clean_Data[[#This Row],[GrossSales]]-Clean_Data[[#This Row],[DiscountAmount]],2),0)</f>
        <v>110</v>
      </c>
      <c r="S683" s="3" t="str">
        <f>IF(Clean_Data[[#This Row],[OrderHour]]&lt;6,"Night",IF(Clean_Data[[#This Row],[OrderHour]]&lt;12,"Morning",IF(Clean_Data[[#This Row],[OrderHour]]&lt;18,"Afternoon","Evening")))</f>
        <v>Afternoon</v>
      </c>
      <c r="T683" s="3" t="str">
        <f>TEXT(Clean_Data[[#This Row],[OrderDate]],"[$-409]ddd")</f>
        <v>Wed</v>
      </c>
      <c r="U683" s="3">
        <f>WEEKDAY(Clean_Data[[#This Row],[OrderDate]],2)</f>
        <v>3</v>
      </c>
      <c r="V683" s="3">
        <f>INT(Clean_Data[[#This Row],[OrderHour]]/6)+1</f>
        <v>3</v>
      </c>
      <c r="W683" s="3">
        <f>IF(Clean_Data[[#This Row],[Status]]="Delivered",1,0)</f>
        <v>1</v>
      </c>
      <c r="X683" s="3">
        <f>IF(Clean_Data[[#This Row],[Status]]="Delivered",IF(Clean_Data[[#This Row],[DeliveryMinutes]]&lt;=Dashboard!$X$5,1,0),0)</f>
        <v>0</v>
      </c>
      <c r="Y6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3" s="3">
        <f>IF(AND(Clean_Data[[#This Row],[Include]]=1,Clean_Data[[#This Row],[DeliveredFlag]]=1),1,0)</f>
        <v>1</v>
      </c>
      <c r="AA683" s="1">
        <f>IF(COUNTIF($D$2:D683,D683)=1,ROW()-1,ROWS(Clean_Data[OrderID])+1)</f>
        <v>901</v>
      </c>
      <c r="AB683" s="1">
        <f>IF(COUNTIF($F$2:F683,F683)=1,ROW()-1,ROWS(Clean_Data[OrderID])+1)</f>
        <v>901</v>
      </c>
      <c r="AC683" s="1">
        <f>IF(COUNTIF($G$2:G683,G683)=1,ROW()-1,ROWS(Clean_Data[OrderID])+1)</f>
        <v>901</v>
      </c>
      <c r="AD683" s="1">
        <f>IF(COUNTIF($H$2:H683,H683)=1,ROW()-1,ROWS(Clean_Data[OrderID])+1)</f>
        <v>901</v>
      </c>
      <c r="AE683" s="1">
        <f>IF(COUNTIF($V$2:V683,V683)=1,V683,ROWS(Clean_Data[OrderID])+1)</f>
        <v>901</v>
      </c>
      <c r="AF683" s="1">
        <f>IF(COUNTIF($U$2:U683,U683)=1,U683,ROWS(Clean_Data[OrderID])+1)</f>
        <v>901</v>
      </c>
      <c r="AG683" s="1">
        <f>IF(COUNTIF($E$2:E683,E683)=1,ROW()-1,ROWS(Clean_Data[OrderID])+1)</f>
        <v>901</v>
      </c>
    </row>
    <row r="684" spans="1:33" ht="20" customHeight="1">
      <c r="A684" s="3" t="s">
        <v>1079</v>
      </c>
      <c r="B684" s="2">
        <v>46288</v>
      </c>
      <c r="C684" s="3">
        <v>20</v>
      </c>
      <c r="D684" s="3" t="s">
        <v>347</v>
      </c>
      <c r="E684" s="3" t="s">
        <v>91</v>
      </c>
      <c r="F684" s="3" t="s">
        <v>139</v>
      </c>
      <c r="G684" s="3" t="s">
        <v>174</v>
      </c>
      <c r="H684" s="3" t="s">
        <v>175</v>
      </c>
      <c r="I684" s="3">
        <v>6</v>
      </c>
      <c r="J684" s="11">
        <v>155</v>
      </c>
      <c r="K684" s="4">
        <v>0.15</v>
      </c>
      <c r="L684" s="3" t="s">
        <v>95</v>
      </c>
      <c r="M684" s="3">
        <v>22</v>
      </c>
      <c r="N684" s="3">
        <v>7</v>
      </c>
      <c r="O684" s="3">
        <v>5</v>
      </c>
      <c r="P684" s="11">
        <f>Clean_Data[[#This Row],[Quantity]]*Clean_Data[[#This Row],[UnitPrice]]</f>
        <v>930</v>
      </c>
      <c r="Q684" s="11">
        <f>ROUND(Clean_Data[[#This Row],[GrossSales]]*Clean_Data[[#This Row],[DiscountPct]],2)</f>
        <v>139.5</v>
      </c>
      <c r="R684" s="11">
        <f>IF(Clean_Data[[#This Row],[Status]]="Delivered",ROUND(Clean_Data[[#This Row],[GrossSales]]-Clean_Data[[#This Row],[DiscountAmount]],2),0)</f>
        <v>790.5</v>
      </c>
      <c r="S684" s="3" t="str">
        <f>IF(Clean_Data[[#This Row],[OrderHour]]&lt;6,"Night",IF(Clean_Data[[#This Row],[OrderHour]]&lt;12,"Morning",IF(Clean_Data[[#This Row],[OrderHour]]&lt;18,"Afternoon","Evening")))</f>
        <v>Evening</v>
      </c>
      <c r="T684" s="3" t="str">
        <f>TEXT(Clean_Data[[#This Row],[OrderDate]],"[$-409]ddd")</f>
        <v>Wed</v>
      </c>
      <c r="U684" s="3">
        <f>WEEKDAY(Clean_Data[[#This Row],[OrderDate]],2)</f>
        <v>3</v>
      </c>
      <c r="V684" s="3">
        <f>INT(Clean_Data[[#This Row],[OrderHour]]/6)+1</f>
        <v>4</v>
      </c>
      <c r="W684" s="3">
        <f>IF(Clean_Data[[#This Row],[Status]]="Delivered",1,0)</f>
        <v>1</v>
      </c>
      <c r="X684" s="3">
        <f>IF(Clean_Data[[#This Row],[Status]]="Delivered",IF(Clean_Data[[#This Row],[DeliveryMinutes]]&lt;=Dashboard!$X$5,1,0),0)</f>
        <v>1</v>
      </c>
      <c r="Y6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4" s="3">
        <f>IF(AND(Clean_Data[[#This Row],[Include]]=1,Clean_Data[[#This Row],[DeliveredFlag]]=1),1,0)</f>
        <v>1</v>
      </c>
      <c r="AA684" s="1">
        <f>IF(COUNTIF($D$2:D684,D684)=1,ROW()-1,ROWS(Clean_Data[OrderID])+1)</f>
        <v>901</v>
      </c>
      <c r="AB684" s="1">
        <f>IF(COUNTIF($F$2:F684,F684)=1,ROW()-1,ROWS(Clean_Data[OrderID])+1)</f>
        <v>901</v>
      </c>
      <c r="AC684" s="1">
        <f>IF(COUNTIF($G$2:G684,G684)=1,ROW()-1,ROWS(Clean_Data[OrderID])+1)</f>
        <v>901</v>
      </c>
      <c r="AD684" s="1">
        <f>IF(COUNTIF($H$2:H684,H684)=1,ROW()-1,ROWS(Clean_Data[OrderID])+1)</f>
        <v>901</v>
      </c>
      <c r="AE684" s="1">
        <f>IF(COUNTIF($V$2:V684,V684)=1,V684,ROWS(Clean_Data[OrderID])+1)</f>
        <v>901</v>
      </c>
      <c r="AF684" s="1">
        <f>IF(COUNTIF($U$2:U684,U684)=1,U684,ROWS(Clean_Data[OrderID])+1)</f>
        <v>901</v>
      </c>
      <c r="AG684" s="1">
        <f>IF(COUNTIF($E$2:E684,E684)=1,ROW()-1,ROWS(Clean_Data[OrderID])+1)</f>
        <v>901</v>
      </c>
    </row>
    <row r="685" spans="1:33" ht="20" customHeight="1">
      <c r="A685" s="3" t="s">
        <v>1080</v>
      </c>
      <c r="B685" s="2">
        <v>46288</v>
      </c>
      <c r="C685" s="3">
        <v>8</v>
      </c>
      <c r="D685" s="3" t="s">
        <v>794</v>
      </c>
      <c r="E685" s="3" t="s">
        <v>117</v>
      </c>
      <c r="F685" s="3" t="s">
        <v>98</v>
      </c>
      <c r="G685" s="3" t="s">
        <v>135</v>
      </c>
      <c r="H685" s="3" t="s">
        <v>136</v>
      </c>
      <c r="I685" s="3">
        <v>4</v>
      </c>
      <c r="J685" s="11">
        <v>40</v>
      </c>
      <c r="K685" s="4">
        <v>0.15</v>
      </c>
      <c r="L685" s="3" t="s">
        <v>95</v>
      </c>
      <c r="M685" s="3">
        <v>32</v>
      </c>
      <c r="N685" s="3">
        <v>10</v>
      </c>
      <c r="O685" s="3">
        <v>4</v>
      </c>
      <c r="P685" s="11">
        <f>Clean_Data[[#This Row],[Quantity]]*Clean_Data[[#This Row],[UnitPrice]]</f>
        <v>160</v>
      </c>
      <c r="Q685" s="11">
        <f>ROUND(Clean_Data[[#This Row],[GrossSales]]*Clean_Data[[#This Row],[DiscountPct]],2)</f>
        <v>24</v>
      </c>
      <c r="R685" s="11">
        <f>IF(Clean_Data[[#This Row],[Status]]="Delivered",ROUND(Clean_Data[[#This Row],[GrossSales]]-Clean_Data[[#This Row],[DiscountAmount]],2),0)</f>
        <v>136</v>
      </c>
      <c r="S685" s="3" t="str">
        <f>IF(Clean_Data[[#This Row],[OrderHour]]&lt;6,"Night",IF(Clean_Data[[#This Row],[OrderHour]]&lt;12,"Morning",IF(Clean_Data[[#This Row],[OrderHour]]&lt;18,"Afternoon","Evening")))</f>
        <v>Morning</v>
      </c>
      <c r="T685" s="3" t="str">
        <f>TEXT(Clean_Data[[#This Row],[OrderDate]],"[$-409]ddd")</f>
        <v>Wed</v>
      </c>
      <c r="U685" s="3">
        <f>WEEKDAY(Clean_Data[[#This Row],[OrderDate]],2)</f>
        <v>3</v>
      </c>
      <c r="V685" s="3">
        <f>INT(Clean_Data[[#This Row],[OrderHour]]/6)+1</f>
        <v>2</v>
      </c>
      <c r="W685" s="3">
        <f>IF(Clean_Data[[#This Row],[Status]]="Delivered",1,0)</f>
        <v>1</v>
      </c>
      <c r="X685" s="3">
        <f>IF(Clean_Data[[#This Row],[Status]]="Delivered",IF(Clean_Data[[#This Row],[DeliveryMinutes]]&lt;=Dashboard!$X$5,1,0),0)</f>
        <v>0</v>
      </c>
      <c r="Y6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5" s="3">
        <f>IF(AND(Clean_Data[[#This Row],[Include]]=1,Clean_Data[[#This Row],[DeliveredFlag]]=1),1,0)</f>
        <v>1</v>
      </c>
      <c r="AA685" s="1">
        <f>IF(COUNTIF($D$2:D685,D685)=1,ROW()-1,ROWS(Clean_Data[OrderID])+1)</f>
        <v>901</v>
      </c>
      <c r="AB685" s="1">
        <f>IF(COUNTIF($F$2:F685,F685)=1,ROW()-1,ROWS(Clean_Data[OrderID])+1)</f>
        <v>901</v>
      </c>
      <c r="AC685" s="1">
        <f>IF(COUNTIF($G$2:G685,G685)=1,ROW()-1,ROWS(Clean_Data[OrderID])+1)</f>
        <v>901</v>
      </c>
      <c r="AD685" s="1">
        <f>IF(COUNTIF($H$2:H685,H685)=1,ROW()-1,ROWS(Clean_Data[OrderID])+1)</f>
        <v>901</v>
      </c>
      <c r="AE685" s="1">
        <f>IF(COUNTIF($V$2:V685,V685)=1,V685,ROWS(Clean_Data[OrderID])+1)</f>
        <v>901</v>
      </c>
      <c r="AF685" s="1">
        <f>IF(COUNTIF($U$2:U685,U685)=1,U685,ROWS(Clean_Data[OrderID])+1)</f>
        <v>901</v>
      </c>
      <c r="AG685" s="1">
        <f>IF(COUNTIF($E$2:E685,E685)=1,ROW()-1,ROWS(Clean_Data[OrderID])+1)</f>
        <v>901</v>
      </c>
    </row>
    <row r="686" spans="1:33" ht="20" customHeight="1">
      <c r="A686" s="3" t="s">
        <v>1081</v>
      </c>
      <c r="B686" s="2">
        <v>46288</v>
      </c>
      <c r="C686" s="3">
        <v>12</v>
      </c>
      <c r="D686" s="3" t="s">
        <v>558</v>
      </c>
      <c r="E686" s="3" t="s">
        <v>91</v>
      </c>
      <c r="F686" s="3" t="s">
        <v>121</v>
      </c>
      <c r="G686" s="3" t="s">
        <v>110</v>
      </c>
      <c r="H686" s="3" t="s">
        <v>114</v>
      </c>
      <c r="I686" s="3">
        <v>2</v>
      </c>
      <c r="J686" s="11">
        <v>145</v>
      </c>
      <c r="K686" s="4">
        <v>0.1</v>
      </c>
      <c r="L686" s="3" t="s">
        <v>95</v>
      </c>
      <c r="M686" s="3">
        <v>14</v>
      </c>
      <c r="N686" s="3">
        <v>12</v>
      </c>
      <c r="O686" s="3">
        <v>5</v>
      </c>
      <c r="P686" s="11">
        <f>Clean_Data[[#This Row],[Quantity]]*Clean_Data[[#This Row],[UnitPrice]]</f>
        <v>290</v>
      </c>
      <c r="Q686" s="11">
        <f>ROUND(Clean_Data[[#This Row],[GrossSales]]*Clean_Data[[#This Row],[DiscountPct]],2)</f>
        <v>29</v>
      </c>
      <c r="R686" s="11">
        <f>IF(Clean_Data[[#This Row],[Status]]="Delivered",ROUND(Clean_Data[[#This Row],[GrossSales]]-Clean_Data[[#This Row],[DiscountAmount]],2),0)</f>
        <v>261</v>
      </c>
      <c r="S686" s="3" t="str">
        <f>IF(Clean_Data[[#This Row],[OrderHour]]&lt;6,"Night",IF(Clean_Data[[#This Row],[OrderHour]]&lt;12,"Morning",IF(Clean_Data[[#This Row],[OrderHour]]&lt;18,"Afternoon","Evening")))</f>
        <v>Afternoon</v>
      </c>
      <c r="T686" s="3" t="str">
        <f>TEXT(Clean_Data[[#This Row],[OrderDate]],"[$-409]ddd")</f>
        <v>Wed</v>
      </c>
      <c r="U686" s="3">
        <f>WEEKDAY(Clean_Data[[#This Row],[OrderDate]],2)</f>
        <v>3</v>
      </c>
      <c r="V686" s="3">
        <f>INT(Clean_Data[[#This Row],[OrderHour]]/6)+1</f>
        <v>3</v>
      </c>
      <c r="W686" s="3">
        <f>IF(Clean_Data[[#This Row],[Status]]="Delivered",1,0)</f>
        <v>1</v>
      </c>
      <c r="X686" s="3">
        <f>IF(Clean_Data[[#This Row],[Status]]="Delivered",IF(Clean_Data[[#This Row],[DeliveryMinutes]]&lt;=Dashboard!$X$5,1,0),0)</f>
        <v>1</v>
      </c>
      <c r="Y6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6" s="3">
        <f>IF(AND(Clean_Data[[#This Row],[Include]]=1,Clean_Data[[#This Row],[DeliveredFlag]]=1),1,0)</f>
        <v>1</v>
      </c>
      <c r="AA686" s="1">
        <f>IF(COUNTIF($D$2:D686,D686)=1,ROW()-1,ROWS(Clean_Data[OrderID])+1)</f>
        <v>901</v>
      </c>
      <c r="AB686" s="1">
        <f>IF(COUNTIF($F$2:F686,F686)=1,ROW()-1,ROWS(Clean_Data[OrderID])+1)</f>
        <v>901</v>
      </c>
      <c r="AC686" s="1">
        <f>IF(COUNTIF($G$2:G686,G686)=1,ROW()-1,ROWS(Clean_Data[OrderID])+1)</f>
        <v>901</v>
      </c>
      <c r="AD686" s="1">
        <f>IF(COUNTIF($H$2:H686,H686)=1,ROW()-1,ROWS(Clean_Data[OrderID])+1)</f>
        <v>901</v>
      </c>
      <c r="AE686" s="1">
        <f>IF(COUNTIF($V$2:V686,V686)=1,V686,ROWS(Clean_Data[OrderID])+1)</f>
        <v>901</v>
      </c>
      <c r="AF686" s="1">
        <f>IF(COUNTIF($U$2:U686,U686)=1,U686,ROWS(Clean_Data[OrderID])+1)</f>
        <v>901</v>
      </c>
      <c r="AG686" s="1">
        <f>IF(COUNTIF($E$2:E686,E686)=1,ROW()-1,ROWS(Clean_Data[OrderID])+1)</f>
        <v>901</v>
      </c>
    </row>
    <row r="687" spans="1:33" ht="20" customHeight="1">
      <c r="A687" s="3" t="s">
        <v>1082</v>
      </c>
      <c r="B687" s="2">
        <v>46288</v>
      </c>
      <c r="C687" s="3">
        <v>20</v>
      </c>
      <c r="D687" s="3" t="s">
        <v>592</v>
      </c>
      <c r="E687" s="3" t="s">
        <v>91</v>
      </c>
      <c r="F687" s="3" t="s">
        <v>109</v>
      </c>
      <c r="G687" s="3" t="s">
        <v>110</v>
      </c>
      <c r="H687" s="3" t="s">
        <v>114</v>
      </c>
      <c r="I687" s="3">
        <v>5</v>
      </c>
      <c r="J687" s="11">
        <v>145</v>
      </c>
      <c r="K687" s="4">
        <v>0.05</v>
      </c>
      <c r="L687" s="3" t="s">
        <v>95</v>
      </c>
      <c r="M687" s="3">
        <v>35</v>
      </c>
      <c r="N687" s="3">
        <v>9</v>
      </c>
      <c r="O687" s="3">
        <v>5</v>
      </c>
      <c r="P687" s="11">
        <f>Clean_Data[[#This Row],[Quantity]]*Clean_Data[[#This Row],[UnitPrice]]</f>
        <v>725</v>
      </c>
      <c r="Q687" s="11">
        <f>ROUND(Clean_Data[[#This Row],[GrossSales]]*Clean_Data[[#This Row],[DiscountPct]],2)</f>
        <v>36.25</v>
      </c>
      <c r="R687" s="11">
        <f>IF(Clean_Data[[#This Row],[Status]]="Delivered",ROUND(Clean_Data[[#This Row],[GrossSales]]-Clean_Data[[#This Row],[DiscountAmount]],2),0)</f>
        <v>688.75</v>
      </c>
      <c r="S687" s="3" t="str">
        <f>IF(Clean_Data[[#This Row],[OrderHour]]&lt;6,"Night",IF(Clean_Data[[#This Row],[OrderHour]]&lt;12,"Morning",IF(Clean_Data[[#This Row],[OrderHour]]&lt;18,"Afternoon","Evening")))</f>
        <v>Evening</v>
      </c>
      <c r="T687" s="3" t="str">
        <f>TEXT(Clean_Data[[#This Row],[OrderDate]],"[$-409]ddd")</f>
        <v>Wed</v>
      </c>
      <c r="U687" s="3">
        <f>WEEKDAY(Clean_Data[[#This Row],[OrderDate]],2)</f>
        <v>3</v>
      </c>
      <c r="V687" s="3">
        <f>INT(Clean_Data[[#This Row],[OrderHour]]/6)+1</f>
        <v>4</v>
      </c>
      <c r="W687" s="3">
        <f>IF(Clean_Data[[#This Row],[Status]]="Delivered",1,0)</f>
        <v>1</v>
      </c>
      <c r="X687" s="3">
        <f>IF(Clean_Data[[#This Row],[Status]]="Delivered",IF(Clean_Data[[#This Row],[DeliveryMinutes]]&lt;=Dashboard!$X$5,1,0),0)</f>
        <v>0</v>
      </c>
      <c r="Y6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7" s="3">
        <f>IF(AND(Clean_Data[[#This Row],[Include]]=1,Clean_Data[[#This Row],[DeliveredFlag]]=1),1,0)</f>
        <v>1</v>
      </c>
      <c r="AA687" s="1">
        <f>IF(COUNTIF($D$2:D687,D687)=1,ROW()-1,ROWS(Clean_Data[OrderID])+1)</f>
        <v>901</v>
      </c>
      <c r="AB687" s="1">
        <f>IF(COUNTIF($F$2:F687,F687)=1,ROW()-1,ROWS(Clean_Data[OrderID])+1)</f>
        <v>901</v>
      </c>
      <c r="AC687" s="1">
        <f>IF(COUNTIF($G$2:G687,G687)=1,ROW()-1,ROWS(Clean_Data[OrderID])+1)</f>
        <v>901</v>
      </c>
      <c r="AD687" s="1">
        <f>IF(COUNTIF($H$2:H687,H687)=1,ROW()-1,ROWS(Clean_Data[OrderID])+1)</f>
        <v>901</v>
      </c>
      <c r="AE687" s="1">
        <f>IF(COUNTIF($V$2:V687,V687)=1,V687,ROWS(Clean_Data[OrderID])+1)</f>
        <v>901</v>
      </c>
      <c r="AF687" s="1">
        <f>IF(COUNTIF($U$2:U687,U687)=1,U687,ROWS(Clean_Data[OrderID])+1)</f>
        <v>901</v>
      </c>
      <c r="AG687" s="1">
        <f>IF(COUNTIF($E$2:E687,E687)=1,ROW()-1,ROWS(Clean_Data[OrderID])+1)</f>
        <v>901</v>
      </c>
    </row>
    <row r="688" spans="1:33" ht="20" customHeight="1">
      <c r="A688" s="3" t="s">
        <v>1083</v>
      </c>
      <c r="B688" s="2">
        <v>46288</v>
      </c>
      <c r="C688" s="3">
        <v>14</v>
      </c>
      <c r="D688" s="3" t="s">
        <v>624</v>
      </c>
      <c r="E688" s="3" t="s">
        <v>91</v>
      </c>
      <c r="F688" s="3" t="s">
        <v>98</v>
      </c>
      <c r="G688" s="3" t="s">
        <v>122</v>
      </c>
      <c r="H688" s="3" t="s">
        <v>214</v>
      </c>
      <c r="I688" s="3">
        <v>4</v>
      </c>
      <c r="J688" s="11">
        <v>55</v>
      </c>
      <c r="K688" s="4">
        <v>0</v>
      </c>
      <c r="L688" s="3" t="s">
        <v>95</v>
      </c>
      <c r="M688" s="3">
        <v>13</v>
      </c>
      <c r="N688" s="3">
        <v>9</v>
      </c>
      <c r="O688" s="3">
        <v>5</v>
      </c>
      <c r="P688" s="11">
        <f>Clean_Data[[#This Row],[Quantity]]*Clean_Data[[#This Row],[UnitPrice]]</f>
        <v>220</v>
      </c>
      <c r="Q688" s="11">
        <f>ROUND(Clean_Data[[#This Row],[GrossSales]]*Clean_Data[[#This Row],[DiscountPct]],2)</f>
        <v>0</v>
      </c>
      <c r="R688" s="11">
        <f>IF(Clean_Data[[#This Row],[Status]]="Delivered",ROUND(Clean_Data[[#This Row],[GrossSales]]-Clean_Data[[#This Row],[DiscountAmount]],2),0)</f>
        <v>220</v>
      </c>
      <c r="S688" s="3" t="str">
        <f>IF(Clean_Data[[#This Row],[OrderHour]]&lt;6,"Night",IF(Clean_Data[[#This Row],[OrderHour]]&lt;12,"Morning",IF(Clean_Data[[#This Row],[OrderHour]]&lt;18,"Afternoon","Evening")))</f>
        <v>Afternoon</v>
      </c>
      <c r="T688" s="3" t="str">
        <f>TEXT(Clean_Data[[#This Row],[OrderDate]],"[$-409]ddd")</f>
        <v>Wed</v>
      </c>
      <c r="U688" s="3">
        <f>WEEKDAY(Clean_Data[[#This Row],[OrderDate]],2)</f>
        <v>3</v>
      </c>
      <c r="V688" s="3">
        <f>INT(Clean_Data[[#This Row],[OrderHour]]/6)+1</f>
        <v>3</v>
      </c>
      <c r="W688" s="3">
        <f>IF(Clean_Data[[#This Row],[Status]]="Delivered",1,0)</f>
        <v>1</v>
      </c>
      <c r="X688" s="3">
        <f>IF(Clean_Data[[#This Row],[Status]]="Delivered",IF(Clean_Data[[#This Row],[DeliveryMinutes]]&lt;=Dashboard!$X$5,1,0),0)</f>
        <v>1</v>
      </c>
      <c r="Y6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8" s="3">
        <f>IF(AND(Clean_Data[[#This Row],[Include]]=1,Clean_Data[[#This Row],[DeliveredFlag]]=1),1,0)</f>
        <v>1</v>
      </c>
      <c r="AA688" s="1">
        <f>IF(COUNTIF($D$2:D688,D688)=1,ROW()-1,ROWS(Clean_Data[OrderID])+1)</f>
        <v>901</v>
      </c>
      <c r="AB688" s="1">
        <f>IF(COUNTIF($F$2:F688,F688)=1,ROW()-1,ROWS(Clean_Data[OrderID])+1)</f>
        <v>901</v>
      </c>
      <c r="AC688" s="1">
        <f>IF(COUNTIF($G$2:G688,G688)=1,ROW()-1,ROWS(Clean_Data[OrderID])+1)</f>
        <v>901</v>
      </c>
      <c r="AD688" s="1">
        <f>IF(COUNTIF($H$2:H688,H688)=1,ROW()-1,ROWS(Clean_Data[OrderID])+1)</f>
        <v>901</v>
      </c>
      <c r="AE688" s="1">
        <f>IF(COUNTIF($V$2:V688,V688)=1,V688,ROWS(Clean_Data[OrderID])+1)</f>
        <v>901</v>
      </c>
      <c r="AF688" s="1">
        <f>IF(COUNTIF($U$2:U688,U688)=1,U688,ROWS(Clean_Data[OrderID])+1)</f>
        <v>901</v>
      </c>
      <c r="AG688" s="1">
        <f>IF(COUNTIF($E$2:E688,E688)=1,ROW()-1,ROWS(Clean_Data[OrderID])+1)</f>
        <v>901</v>
      </c>
    </row>
    <row r="689" spans="1:33" ht="20" customHeight="1">
      <c r="A689" s="3" t="s">
        <v>1084</v>
      </c>
      <c r="B689" s="2">
        <v>46288</v>
      </c>
      <c r="C689" s="3">
        <v>18</v>
      </c>
      <c r="D689" s="3" t="s">
        <v>369</v>
      </c>
      <c r="E689" s="3" t="s">
        <v>91</v>
      </c>
      <c r="F689" s="3" t="s">
        <v>139</v>
      </c>
      <c r="G689" s="3" t="s">
        <v>110</v>
      </c>
      <c r="H689" s="3" t="s">
        <v>206</v>
      </c>
      <c r="I689" s="3">
        <v>2</v>
      </c>
      <c r="J689" s="11">
        <v>220</v>
      </c>
      <c r="K689" s="4">
        <v>0</v>
      </c>
      <c r="L689" s="3" t="s">
        <v>95</v>
      </c>
      <c r="M689" s="3">
        <v>22</v>
      </c>
      <c r="N689" s="3">
        <v>4</v>
      </c>
      <c r="O689" s="3">
        <v>4</v>
      </c>
      <c r="P689" s="11">
        <f>Clean_Data[[#This Row],[Quantity]]*Clean_Data[[#This Row],[UnitPrice]]</f>
        <v>440</v>
      </c>
      <c r="Q689" s="11">
        <f>ROUND(Clean_Data[[#This Row],[GrossSales]]*Clean_Data[[#This Row],[DiscountPct]],2)</f>
        <v>0</v>
      </c>
      <c r="R689" s="11">
        <f>IF(Clean_Data[[#This Row],[Status]]="Delivered",ROUND(Clean_Data[[#This Row],[GrossSales]]-Clean_Data[[#This Row],[DiscountAmount]],2),0)</f>
        <v>440</v>
      </c>
      <c r="S689" s="3" t="str">
        <f>IF(Clean_Data[[#This Row],[OrderHour]]&lt;6,"Night",IF(Clean_Data[[#This Row],[OrderHour]]&lt;12,"Morning",IF(Clean_Data[[#This Row],[OrderHour]]&lt;18,"Afternoon","Evening")))</f>
        <v>Evening</v>
      </c>
      <c r="T689" s="3" t="str">
        <f>TEXT(Clean_Data[[#This Row],[OrderDate]],"[$-409]ddd")</f>
        <v>Wed</v>
      </c>
      <c r="U689" s="3">
        <f>WEEKDAY(Clean_Data[[#This Row],[OrderDate]],2)</f>
        <v>3</v>
      </c>
      <c r="V689" s="3">
        <f>INT(Clean_Data[[#This Row],[OrderHour]]/6)+1</f>
        <v>4</v>
      </c>
      <c r="W689" s="3">
        <f>IF(Clean_Data[[#This Row],[Status]]="Delivered",1,0)</f>
        <v>1</v>
      </c>
      <c r="X689" s="3">
        <f>IF(Clean_Data[[#This Row],[Status]]="Delivered",IF(Clean_Data[[#This Row],[DeliveryMinutes]]&lt;=Dashboard!$X$5,1,0),0)</f>
        <v>1</v>
      </c>
      <c r="Y6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89" s="3">
        <f>IF(AND(Clean_Data[[#This Row],[Include]]=1,Clean_Data[[#This Row],[DeliveredFlag]]=1),1,0)</f>
        <v>1</v>
      </c>
      <c r="AA689" s="1">
        <f>IF(COUNTIF($D$2:D689,D689)=1,ROW()-1,ROWS(Clean_Data[OrderID])+1)</f>
        <v>901</v>
      </c>
      <c r="AB689" s="1">
        <f>IF(COUNTIF($F$2:F689,F689)=1,ROW()-1,ROWS(Clean_Data[OrderID])+1)</f>
        <v>901</v>
      </c>
      <c r="AC689" s="1">
        <f>IF(COUNTIF($G$2:G689,G689)=1,ROW()-1,ROWS(Clean_Data[OrderID])+1)</f>
        <v>901</v>
      </c>
      <c r="AD689" s="1">
        <f>IF(COUNTIF($H$2:H689,H689)=1,ROW()-1,ROWS(Clean_Data[OrderID])+1)</f>
        <v>901</v>
      </c>
      <c r="AE689" s="1">
        <f>IF(COUNTIF($V$2:V689,V689)=1,V689,ROWS(Clean_Data[OrderID])+1)</f>
        <v>901</v>
      </c>
      <c r="AF689" s="1">
        <f>IF(COUNTIF($U$2:U689,U689)=1,U689,ROWS(Clean_Data[OrderID])+1)</f>
        <v>901</v>
      </c>
      <c r="AG689" s="1">
        <f>IF(COUNTIF($E$2:E689,E689)=1,ROW()-1,ROWS(Clean_Data[OrderID])+1)</f>
        <v>901</v>
      </c>
    </row>
    <row r="690" spans="1:33" ht="20" customHeight="1">
      <c r="A690" s="3" t="s">
        <v>1085</v>
      </c>
      <c r="B690" s="2">
        <v>46288</v>
      </c>
      <c r="C690" s="3">
        <v>18</v>
      </c>
      <c r="D690" s="3" t="s">
        <v>768</v>
      </c>
      <c r="E690" s="3" t="s">
        <v>91</v>
      </c>
      <c r="F690" s="3" t="s">
        <v>92</v>
      </c>
      <c r="G690" s="3" t="s">
        <v>135</v>
      </c>
      <c r="H690" s="3" t="s">
        <v>162</v>
      </c>
      <c r="I690" s="3">
        <v>3</v>
      </c>
      <c r="J690" s="11">
        <v>180</v>
      </c>
      <c r="K690" s="4">
        <v>0</v>
      </c>
      <c r="L690" s="3" t="s">
        <v>95</v>
      </c>
      <c r="M690" s="3">
        <v>33</v>
      </c>
      <c r="N690" s="3">
        <v>12</v>
      </c>
      <c r="O690" s="3">
        <v>5</v>
      </c>
      <c r="P690" s="11">
        <f>Clean_Data[[#This Row],[Quantity]]*Clean_Data[[#This Row],[UnitPrice]]</f>
        <v>540</v>
      </c>
      <c r="Q690" s="11">
        <f>ROUND(Clean_Data[[#This Row],[GrossSales]]*Clean_Data[[#This Row],[DiscountPct]],2)</f>
        <v>0</v>
      </c>
      <c r="R690" s="11">
        <f>IF(Clean_Data[[#This Row],[Status]]="Delivered",ROUND(Clean_Data[[#This Row],[GrossSales]]-Clean_Data[[#This Row],[DiscountAmount]],2),0)</f>
        <v>540</v>
      </c>
      <c r="S690" s="3" t="str">
        <f>IF(Clean_Data[[#This Row],[OrderHour]]&lt;6,"Night",IF(Clean_Data[[#This Row],[OrderHour]]&lt;12,"Morning",IF(Clean_Data[[#This Row],[OrderHour]]&lt;18,"Afternoon","Evening")))</f>
        <v>Evening</v>
      </c>
      <c r="T690" s="3" t="str">
        <f>TEXT(Clean_Data[[#This Row],[OrderDate]],"[$-409]ddd")</f>
        <v>Wed</v>
      </c>
      <c r="U690" s="3">
        <f>WEEKDAY(Clean_Data[[#This Row],[OrderDate]],2)</f>
        <v>3</v>
      </c>
      <c r="V690" s="3">
        <f>INT(Clean_Data[[#This Row],[OrderHour]]/6)+1</f>
        <v>4</v>
      </c>
      <c r="W690" s="3">
        <f>IF(Clean_Data[[#This Row],[Status]]="Delivered",1,0)</f>
        <v>1</v>
      </c>
      <c r="X690" s="3">
        <f>IF(Clean_Data[[#This Row],[Status]]="Delivered",IF(Clean_Data[[#This Row],[DeliveryMinutes]]&lt;=Dashboard!$X$5,1,0),0)</f>
        <v>0</v>
      </c>
      <c r="Y6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0" s="3">
        <f>IF(AND(Clean_Data[[#This Row],[Include]]=1,Clean_Data[[#This Row],[DeliveredFlag]]=1),1,0)</f>
        <v>1</v>
      </c>
      <c r="AA690" s="1">
        <f>IF(COUNTIF($D$2:D690,D690)=1,ROW()-1,ROWS(Clean_Data[OrderID])+1)</f>
        <v>901</v>
      </c>
      <c r="AB690" s="1">
        <f>IF(COUNTIF($F$2:F690,F690)=1,ROW()-1,ROWS(Clean_Data[OrderID])+1)</f>
        <v>901</v>
      </c>
      <c r="AC690" s="1">
        <f>IF(COUNTIF($G$2:G690,G690)=1,ROW()-1,ROWS(Clean_Data[OrderID])+1)</f>
        <v>901</v>
      </c>
      <c r="AD690" s="1">
        <f>IF(COUNTIF($H$2:H690,H690)=1,ROW()-1,ROWS(Clean_Data[OrderID])+1)</f>
        <v>901</v>
      </c>
      <c r="AE690" s="1">
        <f>IF(COUNTIF($V$2:V690,V690)=1,V690,ROWS(Clean_Data[OrderID])+1)</f>
        <v>901</v>
      </c>
      <c r="AF690" s="1">
        <f>IF(COUNTIF($U$2:U690,U690)=1,U690,ROWS(Clean_Data[OrderID])+1)</f>
        <v>901</v>
      </c>
      <c r="AG690" s="1">
        <f>IF(COUNTIF($E$2:E690,E690)=1,ROW()-1,ROWS(Clean_Data[OrderID])+1)</f>
        <v>901</v>
      </c>
    </row>
    <row r="691" spans="1:33" ht="20" customHeight="1">
      <c r="A691" s="3" t="s">
        <v>1086</v>
      </c>
      <c r="B691" s="2">
        <v>46288</v>
      </c>
      <c r="C691" s="3">
        <v>15</v>
      </c>
      <c r="D691" s="3" t="s">
        <v>195</v>
      </c>
      <c r="E691" s="3" t="s">
        <v>91</v>
      </c>
      <c r="F691" s="3" t="s">
        <v>98</v>
      </c>
      <c r="G691" s="3" t="s">
        <v>174</v>
      </c>
      <c r="H691" s="3" t="s">
        <v>184</v>
      </c>
      <c r="I691" s="3">
        <v>4</v>
      </c>
      <c r="J691" s="11">
        <v>62</v>
      </c>
      <c r="K691" s="4">
        <v>0.05</v>
      </c>
      <c r="L691" s="3" t="s">
        <v>95</v>
      </c>
      <c r="M691" s="3">
        <v>16</v>
      </c>
      <c r="N691" s="3">
        <v>8</v>
      </c>
      <c r="O691" s="3">
        <v>3</v>
      </c>
      <c r="P691" s="11">
        <f>Clean_Data[[#This Row],[Quantity]]*Clean_Data[[#This Row],[UnitPrice]]</f>
        <v>248</v>
      </c>
      <c r="Q691" s="11">
        <f>ROUND(Clean_Data[[#This Row],[GrossSales]]*Clean_Data[[#This Row],[DiscountPct]],2)</f>
        <v>12.4</v>
      </c>
      <c r="R691" s="11">
        <f>IF(Clean_Data[[#This Row],[Status]]="Delivered",ROUND(Clean_Data[[#This Row],[GrossSales]]-Clean_Data[[#This Row],[DiscountAmount]],2),0)</f>
        <v>235.6</v>
      </c>
      <c r="S691" s="3" t="str">
        <f>IF(Clean_Data[[#This Row],[OrderHour]]&lt;6,"Night",IF(Clean_Data[[#This Row],[OrderHour]]&lt;12,"Morning",IF(Clean_Data[[#This Row],[OrderHour]]&lt;18,"Afternoon","Evening")))</f>
        <v>Afternoon</v>
      </c>
      <c r="T691" s="3" t="str">
        <f>TEXT(Clean_Data[[#This Row],[OrderDate]],"[$-409]ddd")</f>
        <v>Wed</v>
      </c>
      <c r="U691" s="3">
        <f>WEEKDAY(Clean_Data[[#This Row],[OrderDate]],2)</f>
        <v>3</v>
      </c>
      <c r="V691" s="3">
        <f>INT(Clean_Data[[#This Row],[OrderHour]]/6)+1</f>
        <v>3</v>
      </c>
      <c r="W691" s="3">
        <f>IF(Clean_Data[[#This Row],[Status]]="Delivered",1,0)</f>
        <v>1</v>
      </c>
      <c r="X691" s="3">
        <f>IF(Clean_Data[[#This Row],[Status]]="Delivered",IF(Clean_Data[[#This Row],[DeliveryMinutes]]&lt;=Dashboard!$X$5,1,0),0)</f>
        <v>1</v>
      </c>
      <c r="Y6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1" s="3">
        <f>IF(AND(Clean_Data[[#This Row],[Include]]=1,Clean_Data[[#This Row],[DeliveredFlag]]=1),1,0)</f>
        <v>1</v>
      </c>
      <c r="AA691" s="1">
        <f>IF(COUNTIF($D$2:D691,D691)=1,ROW()-1,ROWS(Clean_Data[OrderID])+1)</f>
        <v>901</v>
      </c>
      <c r="AB691" s="1">
        <f>IF(COUNTIF($F$2:F691,F691)=1,ROW()-1,ROWS(Clean_Data[OrderID])+1)</f>
        <v>901</v>
      </c>
      <c r="AC691" s="1">
        <f>IF(COUNTIF($G$2:G691,G691)=1,ROW()-1,ROWS(Clean_Data[OrderID])+1)</f>
        <v>901</v>
      </c>
      <c r="AD691" s="1">
        <f>IF(COUNTIF($H$2:H691,H691)=1,ROW()-1,ROWS(Clean_Data[OrderID])+1)</f>
        <v>901</v>
      </c>
      <c r="AE691" s="1">
        <f>IF(COUNTIF($V$2:V691,V691)=1,V691,ROWS(Clean_Data[OrderID])+1)</f>
        <v>901</v>
      </c>
      <c r="AF691" s="1">
        <f>IF(COUNTIF($U$2:U691,U691)=1,U691,ROWS(Clean_Data[OrderID])+1)</f>
        <v>901</v>
      </c>
      <c r="AG691" s="1">
        <f>IF(COUNTIF($E$2:E691,E691)=1,ROW()-1,ROWS(Clean_Data[OrderID])+1)</f>
        <v>901</v>
      </c>
    </row>
    <row r="692" spans="1:33" ht="20" customHeight="1">
      <c r="A692" s="3" t="s">
        <v>1087</v>
      </c>
      <c r="B692" s="2">
        <v>46289</v>
      </c>
      <c r="C692" s="3">
        <v>16</v>
      </c>
      <c r="D692" s="3" t="s">
        <v>777</v>
      </c>
      <c r="E692" s="3" t="s">
        <v>91</v>
      </c>
      <c r="F692" s="3" t="s">
        <v>121</v>
      </c>
      <c r="G692" s="3" t="s">
        <v>122</v>
      </c>
      <c r="H692" s="3" t="s">
        <v>153</v>
      </c>
      <c r="I692" s="3">
        <v>2</v>
      </c>
      <c r="J692" s="11">
        <v>130</v>
      </c>
      <c r="K692" s="4">
        <v>0</v>
      </c>
      <c r="L692" s="3" t="s">
        <v>95</v>
      </c>
      <c r="M692" s="3">
        <v>35</v>
      </c>
      <c r="N692" s="3">
        <v>7</v>
      </c>
      <c r="O692" s="3">
        <v>5</v>
      </c>
      <c r="P692" s="11">
        <f>Clean_Data[[#This Row],[Quantity]]*Clean_Data[[#This Row],[UnitPrice]]</f>
        <v>260</v>
      </c>
      <c r="Q692" s="11">
        <f>ROUND(Clean_Data[[#This Row],[GrossSales]]*Clean_Data[[#This Row],[DiscountPct]],2)</f>
        <v>0</v>
      </c>
      <c r="R692" s="11">
        <f>IF(Clean_Data[[#This Row],[Status]]="Delivered",ROUND(Clean_Data[[#This Row],[GrossSales]]-Clean_Data[[#This Row],[DiscountAmount]],2),0)</f>
        <v>260</v>
      </c>
      <c r="S692" s="3" t="str">
        <f>IF(Clean_Data[[#This Row],[OrderHour]]&lt;6,"Night",IF(Clean_Data[[#This Row],[OrderHour]]&lt;12,"Morning",IF(Clean_Data[[#This Row],[OrderHour]]&lt;18,"Afternoon","Evening")))</f>
        <v>Afternoon</v>
      </c>
      <c r="T692" s="3" t="str">
        <f>TEXT(Clean_Data[[#This Row],[OrderDate]],"[$-409]ddd")</f>
        <v>Thu</v>
      </c>
      <c r="U692" s="3">
        <f>WEEKDAY(Clean_Data[[#This Row],[OrderDate]],2)</f>
        <v>4</v>
      </c>
      <c r="V692" s="3">
        <f>INT(Clean_Data[[#This Row],[OrderHour]]/6)+1</f>
        <v>3</v>
      </c>
      <c r="W692" s="3">
        <f>IF(Clean_Data[[#This Row],[Status]]="Delivered",1,0)</f>
        <v>1</v>
      </c>
      <c r="X692" s="3">
        <f>IF(Clean_Data[[#This Row],[Status]]="Delivered",IF(Clean_Data[[#This Row],[DeliveryMinutes]]&lt;=Dashboard!$X$5,1,0),0)</f>
        <v>0</v>
      </c>
      <c r="Y6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2" s="3">
        <f>IF(AND(Clean_Data[[#This Row],[Include]]=1,Clean_Data[[#This Row],[DeliveredFlag]]=1),1,0)</f>
        <v>1</v>
      </c>
      <c r="AA692" s="1">
        <f>IF(COUNTIF($D$2:D692,D692)=1,ROW()-1,ROWS(Clean_Data[OrderID])+1)</f>
        <v>901</v>
      </c>
      <c r="AB692" s="1">
        <f>IF(COUNTIF($F$2:F692,F692)=1,ROW()-1,ROWS(Clean_Data[OrderID])+1)</f>
        <v>901</v>
      </c>
      <c r="AC692" s="1">
        <f>IF(COUNTIF($G$2:G692,G692)=1,ROW()-1,ROWS(Clean_Data[OrderID])+1)</f>
        <v>901</v>
      </c>
      <c r="AD692" s="1">
        <f>IF(COUNTIF($H$2:H692,H692)=1,ROW()-1,ROWS(Clean_Data[OrderID])+1)</f>
        <v>901</v>
      </c>
      <c r="AE692" s="1">
        <f>IF(COUNTIF($V$2:V692,V692)=1,V692,ROWS(Clean_Data[OrderID])+1)</f>
        <v>901</v>
      </c>
      <c r="AF692" s="1">
        <f>IF(COUNTIF($U$2:U692,U692)=1,U692,ROWS(Clean_Data[OrderID])+1)</f>
        <v>901</v>
      </c>
      <c r="AG692" s="1">
        <f>IF(COUNTIF($E$2:E692,E692)=1,ROW()-1,ROWS(Clean_Data[OrderID])+1)</f>
        <v>901</v>
      </c>
    </row>
    <row r="693" spans="1:33" ht="20" customHeight="1">
      <c r="A693" s="3" t="s">
        <v>1088</v>
      </c>
      <c r="B693" s="2">
        <v>46289</v>
      </c>
      <c r="C693" s="3">
        <v>21</v>
      </c>
      <c r="D693" s="3" t="s">
        <v>301</v>
      </c>
      <c r="E693" s="3" t="s">
        <v>91</v>
      </c>
      <c r="F693" s="3" t="s">
        <v>92</v>
      </c>
      <c r="G693" s="3" t="s">
        <v>99</v>
      </c>
      <c r="H693" s="3" t="s">
        <v>100</v>
      </c>
      <c r="I693" s="3">
        <v>1</v>
      </c>
      <c r="J693" s="11">
        <v>120</v>
      </c>
      <c r="K693" s="4">
        <v>0</v>
      </c>
      <c r="L693" s="3" t="s">
        <v>95</v>
      </c>
      <c r="M693" s="3">
        <v>23</v>
      </c>
      <c r="N693" s="3">
        <v>7</v>
      </c>
      <c r="O693" s="3">
        <v>4</v>
      </c>
      <c r="P693" s="11">
        <f>Clean_Data[[#This Row],[Quantity]]*Clean_Data[[#This Row],[UnitPrice]]</f>
        <v>120</v>
      </c>
      <c r="Q693" s="11">
        <f>ROUND(Clean_Data[[#This Row],[GrossSales]]*Clean_Data[[#This Row],[DiscountPct]],2)</f>
        <v>0</v>
      </c>
      <c r="R693" s="11">
        <f>IF(Clean_Data[[#This Row],[Status]]="Delivered",ROUND(Clean_Data[[#This Row],[GrossSales]]-Clean_Data[[#This Row],[DiscountAmount]],2),0)</f>
        <v>120</v>
      </c>
      <c r="S693" s="3" t="str">
        <f>IF(Clean_Data[[#This Row],[OrderHour]]&lt;6,"Night",IF(Clean_Data[[#This Row],[OrderHour]]&lt;12,"Morning",IF(Clean_Data[[#This Row],[OrderHour]]&lt;18,"Afternoon","Evening")))</f>
        <v>Evening</v>
      </c>
      <c r="T693" s="3" t="str">
        <f>TEXT(Clean_Data[[#This Row],[OrderDate]],"[$-409]ddd")</f>
        <v>Thu</v>
      </c>
      <c r="U693" s="3">
        <f>WEEKDAY(Clean_Data[[#This Row],[OrderDate]],2)</f>
        <v>4</v>
      </c>
      <c r="V693" s="3">
        <f>INT(Clean_Data[[#This Row],[OrderHour]]/6)+1</f>
        <v>4</v>
      </c>
      <c r="W693" s="3">
        <f>IF(Clean_Data[[#This Row],[Status]]="Delivered",1,0)</f>
        <v>1</v>
      </c>
      <c r="X693" s="3">
        <f>IF(Clean_Data[[#This Row],[Status]]="Delivered",IF(Clean_Data[[#This Row],[DeliveryMinutes]]&lt;=Dashboard!$X$5,1,0),0)</f>
        <v>1</v>
      </c>
      <c r="Y6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3" s="3">
        <f>IF(AND(Clean_Data[[#This Row],[Include]]=1,Clean_Data[[#This Row],[DeliveredFlag]]=1),1,0)</f>
        <v>1</v>
      </c>
      <c r="AA693" s="1">
        <f>IF(COUNTIF($D$2:D693,D693)=1,ROW()-1,ROWS(Clean_Data[OrderID])+1)</f>
        <v>901</v>
      </c>
      <c r="AB693" s="1">
        <f>IF(COUNTIF($F$2:F693,F693)=1,ROW()-1,ROWS(Clean_Data[OrderID])+1)</f>
        <v>901</v>
      </c>
      <c r="AC693" s="1">
        <f>IF(COUNTIF($G$2:G693,G693)=1,ROW()-1,ROWS(Clean_Data[OrderID])+1)</f>
        <v>901</v>
      </c>
      <c r="AD693" s="1">
        <f>IF(COUNTIF($H$2:H693,H693)=1,ROW()-1,ROWS(Clean_Data[OrderID])+1)</f>
        <v>901</v>
      </c>
      <c r="AE693" s="1">
        <f>IF(COUNTIF($V$2:V693,V693)=1,V693,ROWS(Clean_Data[OrderID])+1)</f>
        <v>901</v>
      </c>
      <c r="AF693" s="1">
        <f>IF(COUNTIF($U$2:U693,U693)=1,U693,ROWS(Clean_Data[OrderID])+1)</f>
        <v>901</v>
      </c>
      <c r="AG693" s="1">
        <f>IF(COUNTIF($E$2:E693,E693)=1,ROW()-1,ROWS(Clean_Data[OrderID])+1)</f>
        <v>901</v>
      </c>
    </row>
    <row r="694" spans="1:33" ht="20" customHeight="1">
      <c r="A694" s="3" t="s">
        <v>1089</v>
      </c>
      <c r="B694" s="2">
        <v>46289</v>
      </c>
      <c r="C694" s="3">
        <v>19</v>
      </c>
      <c r="D694" s="3" t="s">
        <v>1090</v>
      </c>
      <c r="E694" s="3" t="s">
        <v>117</v>
      </c>
      <c r="F694" s="3" t="s">
        <v>121</v>
      </c>
      <c r="G694" s="3" t="s">
        <v>122</v>
      </c>
      <c r="H694" s="3" t="s">
        <v>214</v>
      </c>
      <c r="I694" s="3">
        <v>4</v>
      </c>
      <c r="J694" s="11">
        <v>55</v>
      </c>
      <c r="K694" s="4">
        <v>0</v>
      </c>
      <c r="L694" s="3" t="s">
        <v>95</v>
      </c>
      <c r="M694" s="3">
        <v>26</v>
      </c>
      <c r="N694" s="3">
        <v>5</v>
      </c>
      <c r="O694" s="3">
        <v>5</v>
      </c>
      <c r="P694" s="11">
        <f>Clean_Data[[#This Row],[Quantity]]*Clean_Data[[#This Row],[UnitPrice]]</f>
        <v>220</v>
      </c>
      <c r="Q694" s="11">
        <f>ROUND(Clean_Data[[#This Row],[GrossSales]]*Clean_Data[[#This Row],[DiscountPct]],2)</f>
        <v>0</v>
      </c>
      <c r="R694" s="11">
        <f>IF(Clean_Data[[#This Row],[Status]]="Delivered",ROUND(Clean_Data[[#This Row],[GrossSales]]-Clean_Data[[#This Row],[DiscountAmount]],2),0)</f>
        <v>220</v>
      </c>
      <c r="S694" s="3" t="str">
        <f>IF(Clean_Data[[#This Row],[OrderHour]]&lt;6,"Night",IF(Clean_Data[[#This Row],[OrderHour]]&lt;12,"Morning",IF(Clean_Data[[#This Row],[OrderHour]]&lt;18,"Afternoon","Evening")))</f>
        <v>Evening</v>
      </c>
      <c r="T694" s="3" t="str">
        <f>TEXT(Clean_Data[[#This Row],[OrderDate]],"[$-409]ddd")</f>
        <v>Thu</v>
      </c>
      <c r="U694" s="3">
        <f>WEEKDAY(Clean_Data[[#This Row],[OrderDate]],2)</f>
        <v>4</v>
      </c>
      <c r="V694" s="3">
        <f>INT(Clean_Data[[#This Row],[OrderHour]]/6)+1</f>
        <v>4</v>
      </c>
      <c r="W694" s="3">
        <f>IF(Clean_Data[[#This Row],[Status]]="Delivered",1,0)</f>
        <v>1</v>
      </c>
      <c r="X694" s="3">
        <f>IF(Clean_Data[[#This Row],[Status]]="Delivered",IF(Clean_Data[[#This Row],[DeliveryMinutes]]&lt;=Dashboard!$X$5,1,0),0)</f>
        <v>1</v>
      </c>
      <c r="Y6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4" s="3">
        <f>IF(AND(Clean_Data[[#This Row],[Include]]=1,Clean_Data[[#This Row],[DeliveredFlag]]=1),1,0)</f>
        <v>1</v>
      </c>
      <c r="AA694" s="1">
        <f>IF(COUNTIF($D$2:D694,D694)=1,ROW()-1,ROWS(Clean_Data[OrderID])+1)</f>
        <v>693</v>
      </c>
      <c r="AB694" s="1">
        <f>IF(COUNTIF($F$2:F694,F694)=1,ROW()-1,ROWS(Clean_Data[OrderID])+1)</f>
        <v>901</v>
      </c>
      <c r="AC694" s="1">
        <f>IF(COUNTIF($G$2:G694,G694)=1,ROW()-1,ROWS(Clean_Data[OrderID])+1)</f>
        <v>901</v>
      </c>
      <c r="AD694" s="1">
        <f>IF(COUNTIF($H$2:H694,H694)=1,ROW()-1,ROWS(Clean_Data[OrderID])+1)</f>
        <v>901</v>
      </c>
      <c r="AE694" s="1">
        <f>IF(COUNTIF($V$2:V694,V694)=1,V694,ROWS(Clean_Data[OrderID])+1)</f>
        <v>901</v>
      </c>
      <c r="AF694" s="1">
        <f>IF(COUNTIF($U$2:U694,U694)=1,U694,ROWS(Clean_Data[OrderID])+1)</f>
        <v>901</v>
      </c>
      <c r="AG694" s="1">
        <f>IF(COUNTIF($E$2:E694,E694)=1,ROW()-1,ROWS(Clean_Data[OrderID])+1)</f>
        <v>901</v>
      </c>
    </row>
    <row r="695" spans="1:33" ht="20" customHeight="1">
      <c r="A695" s="3" t="s">
        <v>1091</v>
      </c>
      <c r="B695" s="2">
        <v>46289</v>
      </c>
      <c r="C695" s="3">
        <v>11</v>
      </c>
      <c r="D695" s="3" t="s">
        <v>555</v>
      </c>
      <c r="E695" s="3" t="s">
        <v>117</v>
      </c>
      <c r="F695" s="3" t="s">
        <v>121</v>
      </c>
      <c r="G695" s="3" t="s">
        <v>110</v>
      </c>
      <c r="H695" s="3" t="s">
        <v>206</v>
      </c>
      <c r="I695" s="3">
        <v>5</v>
      </c>
      <c r="J695" s="11">
        <v>220</v>
      </c>
      <c r="K695" s="4">
        <v>0</v>
      </c>
      <c r="L695" s="3" t="s">
        <v>95</v>
      </c>
      <c r="M695" s="3">
        <v>22</v>
      </c>
      <c r="N695" s="3">
        <v>10</v>
      </c>
      <c r="O695" s="3">
        <v>4</v>
      </c>
      <c r="P695" s="11">
        <f>Clean_Data[[#This Row],[Quantity]]*Clean_Data[[#This Row],[UnitPrice]]</f>
        <v>1100</v>
      </c>
      <c r="Q695" s="11">
        <f>ROUND(Clean_Data[[#This Row],[GrossSales]]*Clean_Data[[#This Row],[DiscountPct]],2)</f>
        <v>0</v>
      </c>
      <c r="R695" s="11">
        <f>IF(Clean_Data[[#This Row],[Status]]="Delivered",ROUND(Clean_Data[[#This Row],[GrossSales]]-Clean_Data[[#This Row],[DiscountAmount]],2),0)</f>
        <v>1100</v>
      </c>
      <c r="S695" s="3" t="str">
        <f>IF(Clean_Data[[#This Row],[OrderHour]]&lt;6,"Night",IF(Clean_Data[[#This Row],[OrderHour]]&lt;12,"Morning",IF(Clean_Data[[#This Row],[OrderHour]]&lt;18,"Afternoon","Evening")))</f>
        <v>Morning</v>
      </c>
      <c r="T695" s="3" t="str">
        <f>TEXT(Clean_Data[[#This Row],[OrderDate]],"[$-409]ddd")</f>
        <v>Thu</v>
      </c>
      <c r="U695" s="3">
        <f>WEEKDAY(Clean_Data[[#This Row],[OrderDate]],2)</f>
        <v>4</v>
      </c>
      <c r="V695" s="3">
        <f>INT(Clean_Data[[#This Row],[OrderHour]]/6)+1</f>
        <v>2</v>
      </c>
      <c r="W695" s="3">
        <f>IF(Clean_Data[[#This Row],[Status]]="Delivered",1,0)</f>
        <v>1</v>
      </c>
      <c r="X695" s="3">
        <f>IF(Clean_Data[[#This Row],[Status]]="Delivered",IF(Clean_Data[[#This Row],[DeliveryMinutes]]&lt;=Dashboard!$X$5,1,0),0)</f>
        <v>1</v>
      </c>
      <c r="Y6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5" s="3">
        <f>IF(AND(Clean_Data[[#This Row],[Include]]=1,Clean_Data[[#This Row],[DeliveredFlag]]=1),1,0)</f>
        <v>1</v>
      </c>
      <c r="AA695" s="1">
        <f>IF(COUNTIF($D$2:D695,D695)=1,ROW()-1,ROWS(Clean_Data[OrderID])+1)</f>
        <v>901</v>
      </c>
      <c r="AB695" s="1">
        <f>IF(COUNTIF($F$2:F695,F695)=1,ROW()-1,ROWS(Clean_Data[OrderID])+1)</f>
        <v>901</v>
      </c>
      <c r="AC695" s="1">
        <f>IF(COUNTIF($G$2:G695,G695)=1,ROW()-1,ROWS(Clean_Data[OrderID])+1)</f>
        <v>901</v>
      </c>
      <c r="AD695" s="1">
        <f>IF(COUNTIF($H$2:H695,H695)=1,ROW()-1,ROWS(Clean_Data[OrderID])+1)</f>
        <v>901</v>
      </c>
      <c r="AE695" s="1">
        <f>IF(COUNTIF($V$2:V695,V695)=1,V695,ROWS(Clean_Data[OrderID])+1)</f>
        <v>901</v>
      </c>
      <c r="AF695" s="1">
        <f>IF(COUNTIF($U$2:U695,U695)=1,U695,ROWS(Clean_Data[OrderID])+1)</f>
        <v>901</v>
      </c>
      <c r="AG695" s="1">
        <f>IF(COUNTIF($E$2:E695,E695)=1,ROW()-1,ROWS(Clean_Data[OrderID])+1)</f>
        <v>901</v>
      </c>
    </row>
    <row r="696" spans="1:33" ht="20" customHeight="1">
      <c r="A696" s="3" t="s">
        <v>1092</v>
      </c>
      <c r="B696" s="2">
        <v>46289</v>
      </c>
      <c r="C696" s="3">
        <v>22</v>
      </c>
      <c r="D696" s="3" t="s">
        <v>613</v>
      </c>
      <c r="E696" s="3" t="s">
        <v>91</v>
      </c>
      <c r="F696" s="3" t="s">
        <v>139</v>
      </c>
      <c r="G696" s="3" t="s">
        <v>93</v>
      </c>
      <c r="H696" s="3" t="s">
        <v>94</v>
      </c>
      <c r="I696" s="3">
        <v>2</v>
      </c>
      <c r="J696" s="11">
        <v>95</v>
      </c>
      <c r="K696" s="4">
        <v>0.15</v>
      </c>
      <c r="L696" s="3" t="s">
        <v>95</v>
      </c>
      <c r="M696" s="3">
        <v>29</v>
      </c>
      <c r="N696" s="3">
        <v>11</v>
      </c>
      <c r="O696" s="3">
        <v>4</v>
      </c>
      <c r="P696" s="11">
        <f>Clean_Data[[#This Row],[Quantity]]*Clean_Data[[#This Row],[UnitPrice]]</f>
        <v>190</v>
      </c>
      <c r="Q696" s="11">
        <f>ROUND(Clean_Data[[#This Row],[GrossSales]]*Clean_Data[[#This Row],[DiscountPct]],2)</f>
        <v>28.5</v>
      </c>
      <c r="R696" s="11">
        <f>IF(Clean_Data[[#This Row],[Status]]="Delivered",ROUND(Clean_Data[[#This Row],[GrossSales]]-Clean_Data[[#This Row],[DiscountAmount]],2),0)</f>
        <v>161.5</v>
      </c>
      <c r="S696" s="3" t="str">
        <f>IF(Clean_Data[[#This Row],[OrderHour]]&lt;6,"Night",IF(Clean_Data[[#This Row],[OrderHour]]&lt;12,"Morning",IF(Clean_Data[[#This Row],[OrderHour]]&lt;18,"Afternoon","Evening")))</f>
        <v>Evening</v>
      </c>
      <c r="T696" s="3" t="str">
        <f>TEXT(Clean_Data[[#This Row],[OrderDate]],"[$-409]ddd")</f>
        <v>Thu</v>
      </c>
      <c r="U696" s="3">
        <f>WEEKDAY(Clean_Data[[#This Row],[OrderDate]],2)</f>
        <v>4</v>
      </c>
      <c r="V696" s="3">
        <f>INT(Clean_Data[[#This Row],[OrderHour]]/6)+1</f>
        <v>4</v>
      </c>
      <c r="W696" s="3">
        <f>IF(Clean_Data[[#This Row],[Status]]="Delivered",1,0)</f>
        <v>1</v>
      </c>
      <c r="X696" s="3">
        <f>IF(Clean_Data[[#This Row],[Status]]="Delivered",IF(Clean_Data[[#This Row],[DeliveryMinutes]]&lt;=Dashboard!$X$5,1,0),0)</f>
        <v>1</v>
      </c>
      <c r="Y6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6" s="3">
        <f>IF(AND(Clean_Data[[#This Row],[Include]]=1,Clean_Data[[#This Row],[DeliveredFlag]]=1),1,0)</f>
        <v>1</v>
      </c>
      <c r="AA696" s="1">
        <f>IF(COUNTIF($D$2:D696,D696)=1,ROW()-1,ROWS(Clean_Data[OrderID])+1)</f>
        <v>901</v>
      </c>
      <c r="AB696" s="1">
        <f>IF(COUNTIF($F$2:F696,F696)=1,ROW()-1,ROWS(Clean_Data[OrderID])+1)</f>
        <v>901</v>
      </c>
      <c r="AC696" s="1">
        <f>IF(COUNTIF($G$2:G696,G696)=1,ROW()-1,ROWS(Clean_Data[OrderID])+1)</f>
        <v>901</v>
      </c>
      <c r="AD696" s="1">
        <f>IF(COUNTIF($H$2:H696,H696)=1,ROW()-1,ROWS(Clean_Data[OrderID])+1)</f>
        <v>901</v>
      </c>
      <c r="AE696" s="1">
        <f>IF(COUNTIF($V$2:V696,V696)=1,V696,ROWS(Clean_Data[OrderID])+1)</f>
        <v>901</v>
      </c>
      <c r="AF696" s="1">
        <f>IF(COUNTIF($U$2:U696,U696)=1,U696,ROWS(Clean_Data[OrderID])+1)</f>
        <v>901</v>
      </c>
      <c r="AG696" s="1">
        <f>IF(COUNTIF($E$2:E696,E696)=1,ROW()-1,ROWS(Clean_Data[OrderID])+1)</f>
        <v>901</v>
      </c>
    </row>
    <row r="697" spans="1:33" ht="20" customHeight="1">
      <c r="A697" s="3" t="s">
        <v>1093</v>
      </c>
      <c r="B697" s="2">
        <v>46289</v>
      </c>
      <c r="C697" s="3">
        <v>19</v>
      </c>
      <c r="D697" s="3" t="s">
        <v>383</v>
      </c>
      <c r="E697" s="3" t="s">
        <v>91</v>
      </c>
      <c r="F697" s="3" t="s">
        <v>139</v>
      </c>
      <c r="G697" s="3" t="s">
        <v>110</v>
      </c>
      <c r="H697" s="3" t="s">
        <v>111</v>
      </c>
      <c r="I697" s="3">
        <v>1</v>
      </c>
      <c r="J697" s="11">
        <v>115</v>
      </c>
      <c r="K697" s="4">
        <v>0</v>
      </c>
      <c r="L697" s="3" t="s">
        <v>95</v>
      </c>
      <c r="M697" s="3">
        <v>35</v>
      </c>
      <c r="N697" s="3">
        <v>12</v>
      </c>
      <c r="O697" s="3">
        <v>5</v>
      </c>
      <c r="P697" s="11">
        <f>Clean_Data[[#This Row],[Quantity]]*Clean_Data[[#This Row],[UnitPrice]]</f>
        <v>115</v>
      </c>
      <c r="Q697" s="11">
        <f>ROUND(Clean_Data[[#This Row],[GrossSales]]*Clean_Data[[#This Row],[DiscountPct]],2)</f>
        <v>0</v>
      </c>
      <c r="R697" s="11">
        <f>IF(Clean_Data[[#This Row],[Status]]="Delivered",ROUND(Clean_Data[[#This Row],[GrossSales]]-Clean_Data[[#This Row],[DiscountAmount]],2),0)</f>
        <v>115</v>
      </c>
      <c r="S697" s="3" t="str">
        <f>IF(Clean_Data[[#This Row],[OrderHour]]&lt;6,"Night",IF(Clean_Data[[#This Row],[OrderHour]]&lt;12,"Morning",IF(Clean_Data[[#This Row],[OrderHour]]&lt;18,"Afternoon","Evening")))</f>
        <v>Evening</v>
      </c>
      <c r="T697" s="3" t="str">
        <f>TEXT(Clean_Data[[#This Row],[OrderDate]],"[$-409]ddd")</f>
        <v>Thu</v>
      </c>
      <c r="U697" s="3">
        <f>WEEKDAY(Clean_Data[[#This Row],[OrderDate]],2)</f>
        <v>4</v>
      </c>
      <c r="V697" s="3">
        <f>INT(Clean_Data[[#This Row],[OrderHour]]/6)+1</f>
        <v>4</v>
      </c>
      <c r="W697" s="3">
        <f>IF(Clean_Data[[#This Row],[Status]]="Delivered",1,0)</f>
        <v>1</v>
      </c>
      <c r="X697" s="3">
        <f>IF(Clean_Data[[#This Row],[Status]]="Delivered",IF(Clean_Data[[#This Row],[DeliveryMinutes]]&lt;=Dashboard!$X$5,1,0),0)</f>
        <v>0</v>
      </c>
      <c r="Y6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7" s="3">
        <f>IF(AND(Clean_Data[[#This Row],[Include]]=1,Clean_Data[[#This Row],[DeliveredFlag]]=1),1,0)</f>
        <v>1</v>
      </c>
      <c r="AA697" s="1">
        <f>IF(COUNTIF($D$2:D697,D697)=1,ROW()-1,ROWS(Clean_Data[OrderID])+1)</f>
        <v>901</v>
      </c>
      <c r="AB697" s="1">
        <f>IF(COUNTIF($F$2:F697,F697)=1,ROW()-1,ROWS(Clean_Data[OrderID])+1)</f>
        <v>901</v>
      </c>
      <c r="AC697" s="1">
        <f>IF(COUNTIF($G$2:G697,G697)=1,ROW()-1,ROWS(Clean_Data[OrderID])+1)</f>
        <v>901</v>
      </c>
      <c r="AD697" s="1">
        <f>IF(COUNTIF($H$2:H697,H697)=1,ROW()-1,ROWS(Clean_Data[OrderID])+1)</f>
        <v>901</v>
      </c>
      <c r="AE697" s="1">
        <f>IF(COUNTIF($V$2:V697,V697)=1,V697,ROWS(Clean_Data[OrderID])+1)</f>
        <v>901</v>
      </c>
      <c r="AF697" s="1">
        <f>IF(COUNTIF($U$2:U697,U697)=1,U697,ROWS(Clean_Data[OrderID])+1)</f>
        <v>901</v>
      </c>
      <c r="AG697" s="1">
        <f>IF(COUNTIF($E$2:E697,E697)=1,ROW()-1,ROWS(Clean_Data[OrderID])+1)</f>
        <v>901</v>
      </c>
    </row>
    <row r="698" spans="1:33" ht="20" customHeight="1">
      <c r="A698" s="3" t="s">
        <v>1094</v>
      </c>
      <c r="B698" s="2">
        <v>46289</v>
      </c>
      <c r="C698" s="3">
        <v>6</v>
      </c>
      <c r="D698" s="3" t="s">
        <v>295</v>
      </c>
      <c r="E698" s="3" t="s">
        <v>117</v>
      </c>
      <c r="F698" s="3" t="s">
        <v>121</v>
      </c>
      <c r="G698" s="3" t="s">
        <v>99</v>
      </c>
      <c r="H698" s="3" t="s">
        <v>100</v>
      </c>
      <c r="I698" s="3">
        <v>2</v>
      </c>
      <c r="J698" s="11">
        <v>120</v>
      </c>
      <c r="K698" s="4">
        <v>0</v>
      </c>
      <c r="L698" s="3" t="s">
        <v>95</v>
      </c>
      <c r="M698" s="3">
        <v>35</v>
      </c>
      <c r="N698" s="3">
        <v>12</v>
      </c>
      <c r="O698" s="3">
        <v>5</v>
      </c>
      <c r="P698" s="11">
        <f>Clean_Data[[#This Row],[Quantity]]*Clean_Data[[#This Row],[UnitPrice]]</f>
        <v>240</v>
      </c>
      <c r="Q698" s="11">
        <f>ROUND(Clean_Data[[#This Row],[GrossSales]]*Clean_Data[[#This Row],[DiscountPct]],2)</f>
        <v>0</v>
      </c>
      <c r="R698" s="11">
        <f>IF(Clean_Data[[#This Row],[Status]]="Delivered",ROUND(Clean_Data[[#This Row],[GrossSales]]-Clean_Data[[#This Row],[DiscountAmount]],2),0)</f>
        <v>240</v>
      </c>
      <c r="S698" s="3" t="str">
        <f>IF(Clean_Data[[#This Row],[OrderHour]]&lt;6,"Night",IF(Clean_Data[[#This Row],[OrderHour]]&lt;12,"Morning",IF(Clean_Data[[#This Row],[OrderHour]]&lt;18,"Afternoon","Evening")))</f>
        <v>Morning</v>
      </c>
      <c r="T698" s="3" t="str">
        <f>TEXT(Clean_Data[[#This Row],[OrderDate]],"[$-409]ddd")</f>
        <v>Thu</v>
      </c>
      <c r="U698" s="3">
        <f>WEEKDAY(Clean_Data[[#This Row],[OrderDate]],2)</f>
        <v>4</v>
      </c>
      <c r="V698" s="3">
        <f>INT(Clean_Data[[#This Row],[OrderHour]]/6)+1</f>
        <v>2</v>
      </c>
      <c r="W698" s="3">
        <f>IF(Clean_Data[[#This Row],[Status]]="Delivered",1,0)</f>
        <v>1</v>
      </c>
      <c r="X698" s="3">
        <f>IF(Clean_Data[[#This Row],[Status]]="Delivered",IF(Clean_Data[[#This Row],[DeliveryMinutes]]&lt;=Dashboard!$X$5,1,0),0)</f>
        <v>0</v>
      </c>
      <c r="Y6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8" s="3">
        <f>IF(AND(Clean_Data[[#This Row],[Include]]=1,Clean_Data[[#This Row],[DeliveredFlag]]=1),1,0)</f>
        <v>1</v>
      </c>
      <c r="AA698" s="1">
        <f>IF(COUNTIF($D$2:D698,D698)=1,ROW()-1,ROWS(Clean_Data[OrderID])+1)</f>
        <v>901</v>
      </c>
      <c r="AB698" s="1">
        <f>IF(COUNTIF($F$2:F698,F698)=1,ROW()-1,ROWS(Clean_Data[OrderID])+1)</f>
        <v>901</v>
      </c>
      <c r="AC698" s="1">
        <f>IF(COUNTIF($G$2:G698,G698)=1,ROW()-1,ROWS(Clean_Data[OrderID])+1)</f>
        <v>901</v>
      </c>
      <c r="AD698" s="1">
        <f>IF(COUNTIF($H$2:H698,H698)=1,ROW()-1,ROWS(Clean_Data[OrderID])+1)</f>
        <v>901</v>
      </c>
      <c r="AE698" s="1">
        <f>IF(COUNTIF($V$2:V698,V698)=1,V698,ROWS(Clean_Data[OrderID])+1)</f>
        <v>901</v>
      </c>
      <c r="AF698" s="1">
        <f>IF(COUNTIF($U$2:U698,U698)=1,U698,ROWS(Clean_Data[OrderID])+1)</f>
        <v>901</v>
      </c>
      <c r="AG698" s="1">
        <f>IF(COUNTIF($E$2:E698,E698)=1,ROW()-1,ROWS(Clean_Data[OrderID])+1)</f>
        <v>901</v>
      </c>
    </row>
    <row r="699" spans="1:33" ht="20" customHeight="1">
      <c r="A699" s="3" t="s">
        <v>1095</v>
      </c>
      <c r="B699" s="2">
        <v>46289</v>
      </c>
      <c r="C699" s="3">
        <v>11</v>
      </c>
      <c r="D699" s="3" t="s">
        <v>361</v>
      </c>
      <c r="E699" s="3" t="s">
        <v>91</v>
      </c>
      <c r="F699" s="3" t="s">
        <v>92</v>
      </c>
      <c r="G699" s="3" t="s">
        <v>122</v>
      </c>
      <c r="H699" s="3" t="s">
        <v>153</v>
      </c>
      <c r="I699" s="3">
        <v>1</v>
      </c>
      <c r="J699" s="11">
        <v>130</v>
      </c>
      <c r="K699" s="4">
        <v>0</v>
      </c>
      <c r="L699" s="3" t="s">
        <v>95</v>
      </c>
      <c r="M699" s="3">
        <v>34</v>
      </c>
      <c r="N699" s="3">
        <v>12</v>
      </c>
      <c r="O699" s="3">
        <v>4</v>
      </c>
      <c r="P699" s="11">
        <f>Clean_Data[[#This Row],[Quantity]]*Clean_Data[[#This Row],[UnitPrice]]</f>
        <v>130</v>
      </c>
      <c r="Q699" s="11">
        <f>ROUND(Clean_Data[[#This Row],[GrossSales]]*Clean_Data[[#This Row],[DiscountPct]],2)</f>
        <v>0</v>
      </c>
      <c r="R699" s="11">
        <f>IF(Clean_Data[[#This Row],[Status]]="Delivered",ROUND(Clean_Data[[#This Row],[GrossSales]]-Clean_Data[[#This Row],[DiscountAmount]],2),0)</f>
        <v>130</v>
      </c>
      <c r="S699" s="3" t="str">
        <f>IF(Clean_Data[[#This Row],[OrderHour]]&lt;6,"Night",IF(Clean_Data[[#This Row],[OrderHour]]&lt;12,"Morning",IF(Clean_Data[[#This Row],[OrderHour]]&lt;18,"Afternoon","Evening")))</f>
        <v>Morning</v>
      </c>
      <c r="T699" s="3" t="str">
        <f>TEXT(Clean_Data[[#This Row],[OrderDate]],"[$-409]ddd")</f>
        <v>Thu</v>
      </c>
      <c r="U699" s="3">
        <f>WEEKDAY(Clean_Data[[#This Row],[OrderDate]],2)</f>
        <v>4</v>
      </c>
      <c r="V699" s="3">
        <f>INT(Clean_Data[[#This Row],[OrderHour]]/6)+1</f>
        <v>2</v>
      </c>
      <c r="W699" s="3">
        <f>IF(Clean_Data[[#This Row],[Status]]="Delivered",1,0)</f>
        <v>1</v>
      </c>
      <c r="X699" s="3">
        <f>IF(Clean_Data[[#This Row],[Status]]="Delivered",IF(Clean_Data[[#This Row],[DeliveryMinutes]]&lt;=Dashboard!$X$5,1,0),0)</f>
        <v>0</v>
      </c>
      <c r="Y6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699" s="3">
        <f>IF(AND(Clean_Data[[#This Row],[Include]]=1,Clean_Data[[#This Row],[DeliveredFlag]]=1),1,0)</f>
        <v>1</v>
      </c>
      <c r="AA699" s="1">
        <f>IF(COUNTIF($D$2:D699,D699)=1,ROW()-1,ROWS(Clean_Data[OrderID])+1)</f>
        <v>901</v>
      </c>
      <c r="AB699" s="1">
        <f>IF(COUNTIF($F$2:F699,F699)=1,ROW()-1,ROWS(Clean_Data[OrderID])+1)</f>
        <v>901</v>
      </c>
      <c r="AC699" s="1">
        <f>IF(COUNTIF($G$2:G699,G699)=1,ROW()-1,ROWS(Clean_Data[OrderID])+1)</f>
        <v>901</v>
      </c>
      <c r="AD699" s="1">
        <f>IF(COUNTIF($H$2:H699,H699)=1,ROW()-1,ROWS(Clean_Data[OrderID])+1)</f>
        <v>901</v>
      </c>
      <c r="AE699" s="1">
        <f>IF(COUNTIF($V$2:V699,V699)=1,V699,ROWS(Clean_Data[OrderID])+1)</f>
        <v>901</v>
      </c>
      <c r="AF699" s="1">
        <f>IF(COUNTIF($U$2:U699,U699)=1,U699,ROWS(Clean_Data[OrderID])+1)</f>
        <v>901</v>
      </c>
      <c r="AG699" s="1">
        <f>IF(COUNTIF($E$2:E699,E699)=1,ROW()-1,ROWS(Clean_Data[OrderID])+1)</f>
        <v>901</v>
      </c>
    </row>
    <row r="700" spans="1:33" ht="20" customHeight="1">
      <c r="A700" s="3" t="s">
        <v>1096</v>
      </c>
      <c r="B700" s="2">
        <v>46289</v>
      </c>
      <c r="C700" s="3">
        <v>21</v>
      </c>
      <c r="D700" s="3" t="s">
        <v>143</v>
      </c>
      <c r="E700" s="3" t="s">
        <v>91</v>
      </c>
      <c r="F700" s="3" t="s">
        <v>139</v>
      </c>
      <c r="G700" s="3" t="s">
        <v>122</v>
      </c>
      <c r="H700" s="3" t="s">
        <v>153</v>
      </c>
      <c r="I700" s="3">
        <v>4</v>
      </c>
      <c r="J700" s="11">
        <v>130</v>
      </c>
      <c r="K700" s="4">
        <v>0.05</v>
      </c>
      <c r="L700" s="3" t="s">
        <v>95</v>
      </c>
      <c r="M700" s="3">
        <v>23</v>
      </c>
      <c r="N700" s="3">
        <v>5</v>
      </c>
      <c r="O700" s="3">
        <v>4</v>
      </c>
      <c r="P700" s="11">
        <f>Clean_Data[[#This Row],[Quantity]]*Clean_Data[[#This Row],[UnitPrice]]</f>
        <v>520</v>
      </c>
      <c r="Q700" s="11">
        <f>ROUND(Clean_Data[[#This Row],[GrossSales]]*Clean_Data[[#This Row],[DiscountPct]],2)</f>
        <v>26</v>
      </c>
      <c r="R700" s="11">
        <f>IF(Clean_Data[[#This Row],[Status]]="Delivered",ROUND(Clean_Data[[#This Row],[GrossSales]]-Clean_Data[[#This Row],[DiscountAmount]],2),0)</f>
        <v>494</v>
      </c>
      <c r="S700" s="3" t="str">
        <f>IF(Clean_Data[[#This Row],[OrderHour]]&lt;6,"Night",IF(Clean_Data[[#This Row],[OrderHour]]&lt;12,"Morning",IF(Clean_Data[[#This Row],[OrderHour]]&lt;18,"Afternoon","Evening")))</f>
        <v>Evening</v>
      </c>
      <c r="T700" s="3" t="str">
        <f>TEXT(Clean_Data[[#This Row],[OrderDate]],"[$-409]ddd")</f>
        <v>Thu</v>
      </c>
      <c r="U700" s="3">
        <f>WEEKDAY(Clean_Data[[#This Row],[OrderDate]],2)</f>
        <v>4</v>
      </c>
      <c r="V700" s="3">
        <f>INT(Clean_Data[[#This Row],[OrderHour]]/6)+1</f>
        <v>4</v>
      </c>
      <c r="W700" s="3">
        <f>IF(Clean_Data[[#This Row],[Status]]="Delivered",1,0)</f>
        <v>1</v>
      </c>
      <c r="X700" s="3">
        <f>IF(Clean_Data[[#This Row],[Status]]="Delivered",IF(Clean_Data[[#This Row],[DeliveryMinutes]]&lt;=Dashboard!$X$5,1,0),0)</f>
        <v>1</v>
      </c>
      <c r="Y7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0" s="3">
        <f>IF(AND(Clean_Data[[#This Row],[Include]]=1,Clean_Data[[#This Row],[DeliveredFlag]]=1),1,0)</f>
        <v>1</v>
      </c>
      <c r="AA700" s="1">
        <f>IF(COUNTIF($D$2:D700,D700)=1,ROW()-1,ROWS(Clean_Data[OrderID])+1)</f>
        <v>901</v>
      </c>
      <c r="AB700" s="1">
        <f>IF(COUNTIF($F$2:F700,F700)=1,ROW()-1,ROWS(Clean_Data[OrderID])+1)</f>
        <v>901</v>
      </c>
      <c r="AC700" s="1">
        <f>IF(COUNTIF($G$2:G700,G700)=1,ROW()-1,ROWS(Clean_Data[OrderID])+1)</f>
        <v>901</v>
      </c>
      <c r="AD700" s="1">
        <f>IF(COUNTIF($H$2:H700,H700)=1,ROW()-1,ROWS(Clean_Data[OrderID])+1)</f>
        <v>901</v>
      </c>
      <c r="AE700" s="1">
        <f>IF(COUNTIF($V$2:V700,V700)=1,V700,ROWS(Clean_Data[OrderID])+1)</f>
        <v>901</v>
      </c>
      <c r="AF700" s="1">
        <f>IF(COUNTIF($U$2:U700,U700)=1,U700,ROWS(Clean_Data[OrderID])+1)</f>
        <v>901</v>
      </c>
      <c r="AG700" s="1">
        <f>IF(COUNTIF($E$2:E700,E700)=1,ROW()-1,ROWS(Clean_Data[OrderID])+1)</f>
        <v>901</v>
      </c>
    </row>
    <row r="701" spans="1:33" ht="20" customHeight="1">
      <c r="A701" s="3" t="s">
        <v>1097</v>
      </c>
      <c r="B701" s="2">
        <v>46289</v>
      </c>
      <c r="C701" s="3">
        <v>21</v>
      </c>
      <c r="D701" s="3" t="s">
        <v>293</v>
      </c>
      <c r="E701" s="3" t="s">
        <v>91</v>
      </c>
      <c r="F701" s="3" t="s">
        <v>98</v>
      </c>
      <c r="G701" s="3" t="s">
        <v>110</v>
      </c>
      <c r="H701" s="3" t="s">
        <v>206</v>
      </c>
      <c r="I701" s="3">
        <v>6</v>
      </c>
      <c r="J701" s="11">
        <v>220</v>
      </c>
      <c r="K701" s="4">
        <v>0</v>
      </c>
      <c r="L701" s="3" t="s">
        <v>95</v>
      </c>
      <c r="M701" s="3">
        <v>20</v>
      </c>
      <c r="N701" s="3">
        <v>11</v>
      </c>
      <c r="O701" s="3">
        <v>5</v>
      </c>
      <c r="P701" s="11">
        <f>Clean_Data[[#This Row],[Quantity]]*Clean_Data[[#This Row],[UnitPrice]]</f>
        <v>1320</v>
      </c>
      <c r="Q701" s="11">
        <f>ROUND(Clean_Data[[#This Row],[GrossSales]]*Clean_Data[[#This Row],[DiscountPct]],2)</f>
        <v>0</v>
      </c>
      <c r="R701" s="11">
        <f>IF(Clean_Data[[#This Row],[Status]]="Delivered",ROUND(Clean_Data[[#This Row],[GrossSales]]-Clean_Data[[#This Row],[DiscountAmount]],2),0)</f>
        <v>1320</v>
      </c>
      <c r="S701" s="3" t="str">
        <f>IF(Clean_Data[[#This Row],[OrderHour]]&lt;6,"Night",IF(Clean_Data[[#This Row],[OrderHour]]&lt;12,"Morning",IF(Clean_Data[[#This Row],[OrderHour]]&lt;18,"Afternoon","Evening")))</f>
        <v>Evening</v>
      </c>
      <c r="T701" s="3" t="str">
        <f>TEXT(Clean_Data[[#This Row],[OrderDate]],"[$-409]ddd")</f>
        <v>Thu</v>
      </c>
      <c r="U701" s="3">
        <f>WEEKDAY(Clean_Data[[#This Row],[OrderDate]],2)</f>
        <v>4</v>
      </c>
      <c r="V701" s="3">
        <f>INT(Clean_Data[[#This Row],[OrderHour]]/6)+1</f>
        <v>4</v>
      </c>
      <c r="W701" s="3">
        <f>IF(Clean_Data[[#This Row],[Status]]="Delivered",1,0)</f>
        <v>1</v>
      </c>
      <c r="X701" s="3">
        <f>IF(Clean_Data[[#This Row],[Status]]="Delivered",IF(Clean_Data[[#This Row],[DeliveryMinutes]]&lt;=Dashboard!$X$5,1,0),0)</f>
        <v>1</v>
      </c>
      <c r="Y7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1" s="3">
        <f>IF(AND(Clean_Data[[#This Row],[Include]]=1,Clean_Data[[#This Row],[DeliveredFlag]]=1),1,0)</f>
        <v>1</v>
      </c>
      <c r="AA701" s="1">
        <f>IF(COUNTIF($D$2:D701,D701)=1,ROW()-1,ROWS(Clean_Data[OrderID])+1)</f>
        <v>901</v>
      </c>
      <c r="AB701" s="1">
        <f>IF(COUNTIF($F$2:F701,F701)=1,ROW()-1,ROWS(Clean_Data[OrderID])+1)</f>
        <v>901</v>
      </c>
      <c r="AC701" s="1">
        <f>IF(COUNTIF($G$2:G701,G701)=1,ROW()-1,ROWS(Clean_Data[OrderID])+1)</f>
        <v>901</v>
      </c>
      <c r="AD701" s="1">
        <f>IF(COUNTIF($H$2:H701,H701)=1,ROW()-1,ROWS(Clean_Data[OrderID])+1)</f>
        <v>901</v>
      </c>
      <c r="AE701" s="1">
        <f>IF(COUNTIF($V$2:V701,V701)=1,V701,ROWS(Clean_Data[OrderID])+1)</f>
        <v>901</v>
      </c>
      <c r="AF701" s="1">
        <f>IF(COUNTIF($U$2:U701,U701)=1,U701,ROWS(Clean_Data[OrderID])+1)</f>
        <v>901</v>
      </c>
      <c r="AG701" s="1">
        <f>IF(COUNTIF($E$2:E701,E701)=1,ROW()-1,ROWS(Clean_Data[OrderID])+1)</f>
        <v>901</v>
      </c>
    </row>
    <row r="702" spans="1:33" ht="20" customHeight="1">
      <c r="A702" s="3" t="s">
        <v>1098</v>
      </c>
      <c r="B702" s="2">
        <v>46289</v>
      </c>
      <c r="C702" s="3">
        <v>17</v>
      </c>
      <c r="D702" s="3" t="s">
        <v>803</v>
      </c>
      <c r="E702" s="3" t="s">
        <v>117</v>
      </c>
      <c r="F702" s="3" t="s">
        <v>109</v>
      </c>
      <c r="G702" s="3" t="s">
        <v>135</v>
      </c>
      <c r="H702" s="3" t="s">
        <v>136</v>
      </c>
      <c r="I702" s="3">
        <v>2</v>
      </c>
      <c r="J702" s="11">
        <v>40</v>
      </c>
      <c r="K702" s="4">
        <v>0.15</v>
      </c>
      <c r="L702" s="3" t="s">
        <v>95</v>
      </c>
      <c r="M702" s="3">
        <v>34</v>
      </c>
      <c r="N702" s="3">
        <v>14</v>
      </c>
      <c r="O702" s="3">
        <v>4</v>
      </c>
      <c r="P702" s="11">
        <f>Clean_Data[[#This Row],[Quantity]]*Clean_Data[[#This Row],[UnitPrice]]</f>
        <v>80</v>
      </c>
      <c r="Q702" s="11">
        <f>ROUND(Clean_Data[[#This Row],[GrossSales]]*Clean_Data[[#This Row],[DiscountPct]],2)</f>
        <v>12</v>
      </c>
      <c r="R702" s="11">
        <f>IF(Clean_Data[[#This Row],[Status]]="Delivered",ROUND(Clean_Data[[#This Row],[GrossSales]]-Clean_Data[[#This Row],[DiscountAmount]],2),0)</f>
        <v>68</v>
      </c>
      <c r="S702" s="3" t="str">
        <f>IF(Clean_Data[[#This Row],[OrderHour]]&lt;6,"Night",IF(Clean_Data[[#This Row],[OrderHour]]&lt;12,"Morning",IF(Clean_Data[[#This Row],[OrderHour]]&lt;18,"Afternoon","Evening")))</f>
        <v>Afternoon</v>
      </c>
      <c r="T702" s="3" t="str">
        <f>TEXT(Clean_Data[[#This Row],[OrderDate]],"[$-409]ddd")</f>
        <v>Thu</v>
      </c>
      <c r="U702" s="3">
        <f>WEEKDAY(Clean_Data[[#This Row],[OrderDate]],2)</f>
        <v>4</v>
      </c>
      <c r="V702" s="3">
        <f>INT(Clean_Data[[#This Row],[OrderHour]]/6)+1</f>
        <v>3</v>
      </c>
      <c r="W702" s="3">
        <f>IF(Clean_Data[[#This Row],[Status]]="Delivered",1,0)</f>
        <v>1</v>
      </c>
      <c r="X702" s="3">
        <f>IF(Clean_Data[[#This Row],[Status]]="Delivered",IF(Clean_Data[[#This Row],[DeliveryMinutes]]&lt;=Dashboard!$X$5,1,0),0)</f>
        <v>0</v>
      </c>
      <c r="Y7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2" s="3">
        <f>IF(AND(Clean_Data[[#This Row],[Include]]=1,Clean_Data[[#This Row],[DeliveredFlag]]=1),1,0)</f>
        <v>1</v>
      </c>
      <c r="AA702" s="1">
        <f>IF(COUNTIF($D$2:D702,D702)=1,ROW()-1,ROWS(Clean_Data[OrderID])+1)</f>
        <v>901</v>
      </c>
      <c r="AB702" s="1">
        <f>IF(COUNTIF($F$2:F702,F702)=1,ROW()-1,ROWS(Clean_Data[OrderID])+1)</f>
        <v>901</v>
      </c>
      <c r="AC702" s="1">
        <f>IF(COUNTIF($G$2:G702,G702)=1,ROW()-1,ROWS(Clean_Data[OrderID])+1)</f>
        <v>901</v>
      </c>
      <c r="AD702" s="1">
        <f>IF(COUNTIF($H$2:H702,H702)=1,ROW()-1,ROWS(Clean_Data[OrderID])+1)</f>
        <v>901</v>
      </c>
      <c r="AE702" s="1">
        <f>IF(COUNTIF($V$2:V702,V702)=1,V702,ROWS(Clean_Data[OrderID])+1)</f>
        <v>901</v>
      </c>
      <c r="AF702" s="1">
        <f>IF(COUNTIF($U$2:U702,U702)=1,U702,ROWS(Clean_Data[OrderID])+1)</f>
        <v>901</v>
      </c>
      <c r="AG702" s="1">
        <f>IF(COUNTIF($E$2:E702,E702)=1,ROW()-1,ROWS(Clean_Data[OrderID])+1)</f>
        <v>901</v>
      </c>
    </row>
    <row r="703" spans="1:33" ht="20" customHeight="1">
      <c r="A703" s="3" t="s">
        <v>1099</v>
      </c>
      <c r="B703" s="2">
        <v>46289</v>
      </c>
      <c r="C703" s="3">
        <v>19</v>
      </c>
      <c r="D703" s="3" t="s">
        <v>191</v>
      </c>
      <c r="E703" s="3" t="s">
        <v>91</v>
      </c>
      <c r="F703" s="3" t="s">
        <v>98</v>
      </c>
      <c r="G703" s="3" t="s">
        <v>135</v>
      </c>
      <c r="H703" s="3" t="s">
        <v>217</v>
      </c>
      <c r="I703" s="3">
        <v>4</v>
      </c>
      <c r="J703" s="11">
        <v>65</v>
      </c>
      <c r="K703" s="4">
        <v>0.05</v>
      </c>
      <c r="L703" s="3" t="s">
        <v>101</v>
      </c>
      <c r="M703" s="3"/>
      <c r="N703" s="3"/>
      <c r="O703" s="3"/>
      <c r="P703" s="11">
        <f>Clean_Data[[#This Row],[Quantity]]*Clean_Data[[#This Row],[UnitPrice]]</f>
        <v>260</v>
      </c>
      <c r="Q703" s="11">
        <f>ROUND(Clean_Data[[#This Row],[GrossSales]]*Clean_Data[[#This Row],[DiscountPct]],2)</f>
        <v>13</v>
      </c>
      <c r="R703" s="11">
        <f>IF(Clean_Data[[#This Row],[Status]]="Delivered",ROUND(Clean_Data[[#This Row],[GrossSales]]-Clean_Data[[#This Row],[DiscountAmount]],2),0)</f>
        <v>0</v>
      </c>
      <c r="S703" s="3" t="str">
        <f>IF(Clean_Data[[#This Row],[OrderHour]]&lt;6,"Night",IF(Clean_Data[[#This Row],[OrderHour]]&lt;12,"Morning",IF(Clean_Data[[#This Row],[OrderHour]]&lt;18,"Afternoon","Evening")))</f>
        <v>Evening</v>
      </c>
      <c r="T703" s="3" t="str">
        <f>TEXT(Clean_Data[[#This Row],[OrderDate]],"[$-409]ddd")</f>
        <v>Thu</v>
      </c>
      <c r="U703" s="3">
        <f>WEEKDAY(Clean_Data[[#This Row],[OrderDate]],2)</f>
        <v>4</v>
      </c>
      <c r="V703" s="3">
        <f>INT(Clean_Data[[#This Row],[OrderHour]]/6)+1</f>
        <v>4</v>
      </c>
      <c r="W703" s="3">
        <f>IF(Clean_Data[[#This Row],[Status]]="Delivered",1,0)</f>
        <v>0</v>
      </c>
      <c r="X703" s="3">
        <f>IF(Clean_Data[[#This Row],[Status]]="Delivered",IF(Clean_Data[[#This Row],[DeliveryMinutes]]&lt;=Dashboard!$X$5,1,0),0)</f>
        <v>0</v>
      </c>
      <c r="Y7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3" s="3">
        <f>IF(AND(Clean_Data[[#This Row],[Include]]=1,Clean_Data[[#This Row],[DeliveredFlag]]=1),1,0)</f>
        <v>0</v>
      </c>
      <c r="AA703" s="1">
        <f>IF(COUNTIF($D$2:D703,D703)=1,ROW()-1,ROWS(Clean_Data[OrderID])+1)</f>
        <v>901</v>
      </c>
      <c r="AB703" s="1">
        <f>IF(COUNTIF($F$2:F703,F703)=1,ROW()-1,ROWS(Clean_Data[OrderID])+1)</f>
        <v>901</v>
      </c>
      <c r="AC703" s="1">
        <f>IF(COUNTIF($G$2:G703,G703)=1,ROW()-1,ROWS(Clean_Data[OrderID])+1)</f>
        <v>901</v>
      </c>
      <c r="AD703" s="1">
        <f>IF(COUNTIF($H$2:H703,H703)=1,ROW()-1,ROWS(Clean_Data[OrderID])+1)</f>
        <v>901</v>
      </c>
      <c r="AE703" s="1">
        <f>IF(COUNTIF($V$2:V703,V703)=1,V703,ROWS(Clean_Data[OrderID])+1)</f>
        <v>901</v>
      </c>
      <c r="AF703" s="1">
        <f>IF(COUNTIF($U$2:U703,U703)=1,U703,ROWS(Clean_Data[OrderID])+1)</f>
        <v>901</v>
      </c>
      <c r="AG703" s="1">
        <f>IF(COUNTIF($E$2:E703,E703)=1,ROW()-1,ROWS(Clean_Data[OrderID])+1)</f>
        <v>901</v>
      </c>
    </row>
    <row r="704" spans="1:33" ht="20" customHeight="1">
      <c r="A704" s="3" t="s">
        <v>1100</v>
      </c>
      <c r="B704" s="2">
        <v>46289</v>
      </c>
      <c r="C704" s="3">
        <v>12</v>
      </c>
      <c r="D704" s="3" t="s">
        <v>271</v>
      </c>
      <c r="E704" s="3" t="s">
        <v>91</v>
      </c>
      <c r="F704" s="3" t="s">
        <v>98</v>
      </c>
      <c r="G704" s="3" t="s">
        <v>93</v>
      </c>
      <c r="H704" s="3" t="s">
        <v>146</v>
      </c>
      <c r="I704" s="3">
        <v>3</v>
      </c>
      <c r="J704" s="11">
        <v>110</v>
      </c>
      <c r="K704" s="4">
        <v>0</v>
      </c>
      <c r="L704" s="3" t="s">
        <v>95</v>
      </c>
      <c r="M704" s="3">
        <v>35</v>
      </c>
      <c r="N704" s="3">
        <v>8</v>
      </c>
      <c r="O704" s="3">
        <v>4</v>
      </c>
      <c r="P704" s="11">
        <f>Clean_Data[[#This Row],[Quantity]]*Clean_Data[[#This Row],[UnitPrice]]</f>
        <v>330</v>
      </c>
      <c r="Q704" s="11">
        <f>ROUND(Clean_Data[[#This Row],[GrossSales]]*Clean_Data[[#This Row],[DiscountPct]],2)</f>
        <v>0</v>
      </c>
      <c r="R704" s="11">
        <f>IF(Clean_Data[[#This Row],[Status]]="Delivered",ROUND(Clean_Data[[#This Row],[GrossSales]]-Clean_Data[[#This Row],[DiscountAmount]],2),0)</f>
        <v>330</v>
      </c>
      <c r="S704" s="3" t="str">
        <f>IF(Clean_Data[[#This Row],[OrderHour]]&lt;6,"Night",IF(Clean_Data[[#This Row],[OrderHour]]&lt;12,"Morning",IF(Clean_Data[[#This Row],[OrderHour]]&lt;18,"Afternoon","Evening")))</f>
        <v>Afternoon</v>
      </c>
      <c r="T704" s="3" t="str">
        <f>TEXT(Clean_Data[[#This Row],[OrderDate]],"[$-409]ddd")</f>
        <v>Thu</v>
      </c>
      <c r="U704" s="3">
        <f>WEEKDAY(Clean_Data[[#This Row],[OrderDate]],2)</f>
        <v>4</v>
      </c>
      <c r="V704" s="3">
        <f>INT(Clean_Data[[#This Row],[OrderHour]]/6)+1</f>
        <v>3</v>
      </c>
      <c r="W704" s="3">
        <f>IF(Clean_Data[[#This Row],[Status]]="Delivered",1,0)</f>
        <v>1</v>
      </c>
      <c r="X704" s="3">
        <f>IF(Clean_Data[[#This Row],[Status]]="Delivered",IF(Clean_Data[[#This Row],[DeliveryMinutes]]&lt;=Dashboard!$X$5,1,0),0)</f>
        <v>0</v>
      </c>
      <c r="Y7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4" s="3">
        <f>IF(AND(Clean_Data[[#This Row],[Include]]=1,Clean_Data[[#This Row],[DeliveredFlag]]=1),1,0)</f>
        <v>1</v>
      </c>
      <c r="AA704" s="1">
        <f>IF(COUNTIF($D$2:D704,D704)=1,ROW()-1,ROWS(Clean_Data[OrderID])+1)</f>
        <v>901</v>
      </c>
      <c r="AB704" s="1">
        <f>IF(COUNTIF($F$2:F704,F704)=1,ROW()-1,ROWS(Clean_Data[OrderID])+1)</f>
        <v>901</v>
      </c>
      <c r="AC704" s="1">
        <f>IF(COUNTIF($G$2:G704,G704)=1,ROW()-1,ROWS(Clean_Data[OrderID])+1)</f>
        <v>901</v>
      </c>
      <c r="AD704" s="1">
        <f>IF(COUNTIF($H$2:H704,H704)=1,ROW()-1,ROWS(Clean_Data[OrderID])+1)</f>
        <v>901</v>
      </c>
      <c r="AE704" s="1">
        <f>IF(COUNTIF($V$2:V704,V704)=1,V704,ROWS(Clean_Data[OrderID])+1)</f>
        <v>901</v>
      </c>
      <c r="AF704" s="1">
        <f>IF(COUNTIF($U$2:U704,U704)=1,U704,ROWS(Clean_Data[OrderID])+1)</f>
        <v>901</v>
      </c>
      <c r="AG704" s="1">
        <f>IF(COUNTIF($E$2:E704,E704)=1,ROW()-1,ROWS(Clean_Data[OrderID])+1)</f>
        <v>901</v>
      </c>
    </row>
    <row r="705" spans="1:33" ht="20" customHeight="1">
      <c r="A705" s="3" t="s">
        <v>1101</v>
      </c>
      <c r="B705" s="2">
        <v>46289</v>
      </c>
      <c r="C705" s="3">
        <v>21</v>
      </c>
      <c r="D705" s="3" t="s">
        <v>448</v>
      </c>
      <c r="E705" s="3" t="s">
        <v>91</v>
      </c>
      <c r="F705" s="3" t="s">
        <v>121</v>
      </c>
      <c r="G705" s="3" t="s">
        <v>110</v>
      </c>
      <c r="H705" s="3" t="s">
        <v>114</v>
      </c>
      <c r="I705" s="3">
        <v>6</v>
      </c>
      <c r="J705" s="11">
        <v>145</v>
      </c>
      <c r="K705" s="4">
        <v>0.15</v>
      </c>
      <c r="L705" s="3" t="s">
        <v>95</v>
      </c>
      <c r="M705" s="3">
        <v>31</v>
      </c>
      <c r="N705" s="3">
        <v>14</v>
      </c>
      <c r="O705" s="3">
        <v>5</v>
      </c>
      <c r="P705" s="11">
        <f>Clean_Data[[#This Row],[Quantity]]*Clean_Data[[#This Row],[UnitPrice]]</f>
        <v>870</v>
      </c>
      <c r="Q705" s="11">
        <f>ROUND(Clean_Data[[#This Row],[GrossSales]]*Clean_Data[[#This Row],[DiscountPct]],2)</f>
        <v>130.5</v>
      </c>
      <c r="R705" s="11">
        <f>IF(Clean_Data[[#This Row],[Status]]="Delivered",ROUND(Clean_Data[[#This Row],[GrossSales]]-Clean_Data[[#This Row],[DiscountAmount]],2),0)</f>
        <v>739.5</v>
      </c>
      <c r="S705" s="3" t="str">
        <f>IF(Clean_Data[[#This Row],[OrderHour]]&lt;6,"Night",IF(Clean_Data[[#This Row],[OrderHour]]&lt;12,"Morning",IF(Clean_Data[[#This Row],[OrderHour]]&lt;18,"Afternoon","Evening")))</f>
        <v>Evening</v>
      </c>
      <c r="T705" s="3" t="str">
        <f>TEXT(Clean_Data[[#This Row],[OrderDate]],"[$-409]ddd")</f>
        <v>Thu</v>
      </c>
      <c r="U705" s="3">
        <f>WEEKDAY(Clean_Data[[#This Row],[OrderDate]],2)</f>
        <v>4</v>
      </c>
      <c r="V705" s="3">
        <f>INT(Clean_Data[[#This Row],[OrderHour]]/6)+1</f>
        <v>4</v>
      </c>
      <c r="W705" s="3">
        <f>IF(Clean_Data[[#This Row],[Status]]="Delivered",1,0)</f>
        <v>1</v>
      </c>
      <c r="X705" s="3">
        <f>IF(Clean_Data[[#This Row],[Status]]="Delivered",IF(Clean_Data[[#This Row],[DeliveryMinutes]]&lt;=Dashboard!$X$5,1,0),0)</f>
        <v>0</v>
      </c>
      <c r="Y7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5" s="3">
        <f>IF(AND(Clean_Data[[#This Row],[Include]]=1,Clean_Data[[#This Row],[DeliveredFlag]]=1),1,0)</f>
        <v>1</v>
      </c>
      <c r="AA705" s="1">
        <f>IF(COUNTIF($D$2:D705,D705)=1,ROW()-1,ROWS(Clean_Data[OrderID])+1)</f>
        <v>901</v>
      </c>
      <c r="AB705" s="1">
        <f>IF(COUNTIF($F$2:F705,F705)=1,ROW()-1,ROWS(Clean_Data[OrderID])+1)</f>
        <v>901</v>
      </c>
      <c r="AC705" s="1">
        <f>IF(COUNTIF($G$2:G705,G705)=1,ROW()-1,ROWS(Clean_Data[OrderID])+1)</f>
        <v>901</v>
      </c>
      <c r="AD705" s="1">
        <f>IF(COUNTIF($H$2:H705,H705)=1,ROW()-1,ROWS(Clean_Data[OrderID])+1)</f>
        <v>901</v>
      </c>
      <c r="AE705" s="1">
        <f>IF(COUNTIF($V$2:V705,V705)=1,V705,ROWS(Clean_Data[OrderID])+1)</f>
        <v>901</v>
      </c>
      <c r="AF705" s="1">
        <f>IF(COUNTIF($U$2:U705,U705)=1,U705,ROWS(Clean_Data[OrderID])+1)</f>
        <v>901</v>
      </c>
      <c r="AG705" s="1">
        <f>IF(COUNTIF($E$2:E705,E705)=1,ROW()-1,ROWS(Clean_Data[OrderID])+1)</f>
        <v>901</v>
      </c>
    </row>
    <row r="706" spans="1:33" ht="20" customHeight="1">
      <c r="A706" s="3" t="s">
        <v>1102</v>
      </c>
      <c r="B706" s="2">
        <v>46289</v>
      </c>
      <c r="C706" s="3">
        <v>19</v>
      </c>
      <c r="D706" s="3" t="s">
        <v>825</v>
      </c>
      <c r="E706" s="3" t="s">
        <v>117</v>
      </c>
      <c r="F706" s="3" t="s">
        <v>121</v>
      </c>
      <c r="G706" s="3" t="s">
        <v>174</v>
      </c>
      <c r="H706" s="3" t="s">
        <v>184</v>
      </c>
      <c r="I706" s="3">
        <v>1</v>
      </c>
      <c r="J706" s="11">
        <v>62</v>
      </c>
      <c r="K706" s="4">
        <v>0</v>
      </c>
      <c r="L706" s="3" t="s">
        <v>95</v>
      </c>
      <c r="M706" s="3">
        <v>24</v>
      </c>
      <c r="N706" s="3">
        <v>11</v>
      </c>
      <c r="O706" s="3">
        <v>3</v>
      </c>
      <c r="P706" s="11">
        <f>Clean_Data[[#This Row],[Quantity]]*Clean_Data[[#This Row],[UnitPrice]]</f>
        <v>62</v>
      </c>
      <c r="Q706" s="11">
        <f>ROUND(Clean_Data[[#This Row],[GrossSales]]*Clean_Data[[#This Row],[DiscountPct]],2)</f>
        <v>0</v>
      </c>
      <c r="R706" s="11">
        <f>IF(Clean_Data[[#This Row],[Status]]="Delivered",ROUND(Clean_Data[[#This Row],[GrossSales]]-Clean_Data[[#This Row],[DiscountAmount]],2),0)</f>
        <v>62</v>
      </c>
      <c r="S706" s="3" t="str">
        <f>IF(Clean_Data[[#This Row],[OrderHour]]&lt;6,"Night",IF(Clean_Data[[#This Row],[OrderHour]]&lt;12,"Morning",IF(Clean_Data[[#This Row],[OrderHour]]&lt;18,"Afternoon","Evening")))</f>
        <v>Evening</v>
      </c>
      <c r="T706" s="3" t="str">
        <f>TEXT(Clean_Data[[#This Row],[OrderDate]],"[$-409]ddd")</f>
        <v>Thu</v>
      </c>
      <c r="U706" s="3">
        <f>WEEKDAY(Clean_Data[[#This Row],[OrderDate]],2)</f>
        <v>4</v>
      </c>
      <c r="V706" s="3">
        <f>INT(Clean_Data[[#This Row],[OrderHour]]/6)+1</f>
        <v>4</v>
      </c>
      <c r="W706" s="3">
        <f>IF(Clean_Data[[#This Row],[Status]]="Delivered",1,0)</f>
        <v>1</v>
      </c>
      <c r="X706" s="3">
        <f>IF(Clean_Data[[#This Row],[Status]]="Delivered",IF(Clean_Data[[#This Row],[DeliveryMinutes]]&lt;=Dashboard!$X$5,1,0),0)</f>
        <v>1</v>
      </c>
      <c r="Y7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6" s="3">
        <f>IF(AND(Clean_Data[[#This Row],[Include]]=1,Clean_Data[[#This Row],[DeliveredFlag]]=1),1,0)</f>
        <v>1</v>
      </c>
      <c r="AA706" s="1">
        <f>IF(COUNTIF($D$2:D706,D706)=1,ROW()-1,ROWS(Clean_Data[OrderID])+1)</f>
        <v>901</v>
      </c>
      <c r="AB706" s="1">
        <f>IF(COUNTIF($F$2:F706,F706)=1,ROW()-1,ROWS(Clean_Data[OrderID])+1)</f>
        <v>901</v>
      </c>
      <c r="AC706" s="1">
        <f>IF(COUNTIF($G$2:G706,G706)=1,ROW()-1,ROWS(Clean_Data[OrderID])+1)</f>
        <v>901</v>
      </c>
      <c r="AD706" s="1">
        <f>IF(COUNTIF($H$2:H706,H706)=1,ROW()-1,ROWS(Clean_Data[OrderID])+1)</f>
        <v>901</v>
      </c>
      <c r="AE706" s="1">
        <f>IF(COUNTIF($V$2:V706,V706)=1,V706,ROWS(Clean_Data[OrderID])+1)</f>
        <v>901</v>
      </c>
      <c r="AF706" s="1">
        <f>IF(COUNTIF($U$2:U706,U706)=1,U706,ROWS(Clean_Data[OrderID])+1)</f>
        <v>901</v>
      </c>
      <c r="AG706" s="1">
        <f>IF(COUNTIF($E$2:E706,E706)=1,ROW()-1,ROWS(Clean_Data[OrderID])+1)</f>
        <v>901</v>
      </c>
    </row>
    <row r="707" spans="1:33" ht="20" customHeight="1">
      <c r="A707" s="3" t="s">
        <v>1103</v>
      </c>
      <c r="B707" s="2">
        <v>46289</v>
      </c>
      <c r="C707" s="3">
        <v>19</v>
      </c>
      <c r="D707" s="3" t="s">
        <v>825</v>
      </c>
      <c r="E707" s="3" t="s">
        <v>117</v>
      </c>
      <c r="F707" s="3" t="s">
        <v>121</v>
      </c>
      <c r="G707" s="3" t="s">
        <v>174</v>
      </c>
      <c r="H707" s="3" t="s">
        <v>274</v>
      </c>
      <c r="I707" s="3">
        <v>3</v>
      </c>
      <c r="J707" s="11">
        <v>90</v>
      </c>
      <c r="K707" s="4">
        <v>0.15</v>
      </c>
      <c r="L707" s="3" t="s">
        <v>95</v>
      </c>
      <c r="M707" s="3">
        <v>12</v>
      </c>
      <c r="N707" s="3">
        <v>5</v>
      </c>
      <c r="O707" s="3">
        <v>5</v>
      </c>
      <c r="P707" s="11">
        <f>Clean_Data[[#This Row],[Quantity]]*Clean_Data[[#This Row],[UnitPrice]]</f>
        <v>270</v>
      </c>
      <c r="Q707" s="11">
        <f>ROUND(Clean_Data[[#This Row],[GrossSales]]*Clean_Data[[#This Row],[DiscountPct]],2)</f>
        <v>40.5</v>
      </c>
      <c r="R707" s="11">
        <f>IF(Clean_Data[[#This Row],[Status]]="Delivered",ROUND(Clean_Data[[#This Row],[GrossSales]]-Clean_Data[[#This Row],[DiscountAmount]],2),0)</f>
        <v>229.5</v>
      </c>
      <c r="S707" s="3" t="str">
        <f>IF(Clean_Data[[#This Row],[OrderHour]]&lt;6,"Night",IF(Clean_Data[[#This Row],[OrderHour]]&lt;12,"Morning",IF(Clean_Data[[#This Row],[OrderHour]]&lt;18,"Afternoon","Evening")))</f>
        <v>Evening</v>
      </c>
      <c r="T707" s="3" t="str">
        <f>TEXT(Clean_Data[[#This Row],[OrderDate]],"[$-409]ddd")</f>
        <v>Thu</v>
      </c>
      <c r="U707" s="3">
        <f>WEEKDAY(Clean_Data[[#This Row],[OrderDate]],2)</f>
        <v>4</v>
      </c>
      <c r="V707" s="3">
        <f>INT(Clean_Data[[#This Row],[OrderHour]]/6)+1</f>
        <v>4</v>
      </c>
      <c r="W707" s="3">
        <f>IF(Clean_Data[[#This Row],[Status]]="Delivered",1,0)</f>
        <v>1</v>
      </c>
      <c r="X707" s="3">
        <f>IF(Clean_Data[[#This Row],[Status]]="Delivered",IF(Clean_Data[[#This Row],[DeliveryMinutes]]&lt;=Dashboard!$X$5,1,0),0)</f>
        <v>1</v>
      </c>
      <c r="Y7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7" s="3">
        <f>IF(AND(Clean_Data[[#This Row],[Include]]=1,Clean_Data[[#This Row],[DeliveredFlag]]=1),1,0)</f>
        <v>1</v>
      </c>
      <c r="AA707" s="1">
        <f>IF(COUNTIF($D$2:D707,D707)=1,ROW()-1,ROWS(Clean_Data[OrderID])+1)</f>
        <v>901</v>
      </c>
      <c r="AB707" s="1">
        <f>IF(COUNTIF($F$2:F707,F707)=1,ROW()-1,ROWS(Clean_Data[OrderID])+1)</f>
        <v>901</v>
      </c>
      <c r="AC707" s="1">
        <f>IF(COUNTIF($G$2:G707,G707)=1,ROW()-1,ROWS(Clean_Data[OrderID])+1)</f>
        <v>901</v>
      </c>
      <c r="AD707" s="1">
        <f>IF(COUNTIF($H$2:H707,H707)=1,ROW()-1,ROWS(Clean_Data[OrderID])+1)</f>
        <v>901</v>
      </c>
      <c r="AE707" s="1">
        <f>IF(COUNTIF($V$2:V707,V707)=1,V707,ROWS(Clean_Data[OrderID])+1)</f>
        <v>901</v>
      </c>
      <c r="AF707" s="1">
        <f>IF(COUNTIF($U$2:U707,U707)=1,U707,ROWS(Clean_Data[OrderID])+1)</f>
        <v>901</v>
      </c>
      <c r="AG707" s="1">
        <f>IF(COUNTIF($E$2:E707,E707)=1,ROW()-1,ROWS(Clean_Data[OrderID])+1)</f>
        <v>901</v>
      </c>
    </row>
    <row r="708" spans="1:33" ht="20" customHeight="1">
      <c r="A708" s="3" t="s">
        <v>1104</v>
      </c>
      <c r="B708" s="2">
        <v>46289</v>
      </c>
      <c r="C708" s="3">
        <v>6</v>
      </c>
      <c r="D708" s="3" t="s">
        <v>171</v>
      </c>
      <c r="E708" s="3" t="s">
        <v>91</v>
      </c>
      <c r="F708" s="3" t="s">
        <v>139</v>
      </c>
      <c r="G708" s="3" t="s">
        <v>122</v>
      </c>
      <c r="H708" s="3" t="s">
        <v>214</v>
      </c>
      <c r="I708" s="3">
        <v>2</v>
      </c>
      <c r="J708" s="11">
        <v>55</v>
      </c>
      <c r="K708" s="4">
        <v>0.15</v>
      </c>
      <c r="L708" s="3" t="s">
        <v>95</v>
      </c>
      <c r="M708" s="3">
        <v>36</v>
      </c>
      <c r="N708" s="3">
        <v>9</v>
      </c>
      <c r="O708" s="3">
        <v>5</v>
      </c>
      <c r="P708" s="11">
        <f>Clean_Data[[#This Row],[Quantity]]*Clean_Data[[#This Row],[UnitPrice]]</f>
        <v>110</v>
      </c>
      <c r="Q708" s="11">
        <f>ROUND(Clean_Data[[#This Row],[GrossSales]]*Clean_Data[[#This Row],[DiscountPct]],2)</f>
        <v>16.5</v>
      </c>
      <c r="R708" s="11">
        <f>IF(Clean_Data[[#This Row],[Status]]="Delivered",ROUND(Clean_Data[[#This Row],[GrossSales]]-Clean_Data[[#This Row],[DiscountAmount]],2),0)</f>
        <v>93.5</v>
      </c>
      <c r="S708" s="3" t="str">
        <f>IF(Clean_Data[[#This Row],[OrderHour]]&lt;6,"Night",IF(Clean_Data[[#This Row],[OrderHour]]&lt;12,"Morning",IF(Clean_Data[[#This Row],[OrderHour]]&lt;18,"Afternoon","Evening")))</f>
        <v>Morning</v>
      </c>
      <c r="T708" s="3" t="str">
        <f>TEXT(Clean_Data[[#This Row],[OrderDate]],"[$-409]ddd")</f>
        <v>Thu</v>
      </c>
      <c r="U708" s="3">
        <f>WEEKDAY(Clean_Data[[#This Row],[OrderDate]],2)</f>
        <v>4</v>
      </c>
      <c r="V708" s="3">
        <f>INT(Clean_Data[[#This Row],[OrderHour]]/6)+1</f>
        <v>2</v>
      </c>
      <c r="W708" s="3">
        <f>IF(Clean_Data[[#This Row],[Status]]="Delivered",1,0)</f>
        <v>1</v>
      </c>
      <c r="X708" s="3">
        <f>IF(Clean_Data[[#This Row],[Status]]="Delivered",IF(Clean_Data[[#This Row],[DeliveryMinutes]]&lt;=Dashboard!$X$5,1,0),0)</f>
        <v>0</v>
      </c>
      <c r="Y7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8" s="3">
        <f>IF(AND(Clean_Data[[#This Row],[Include]]=1,Clean_Data[[#This Row],[DeliveredFlag]]=1),1,0)</f>
        <v>1</v>
      </c>
      <c r="AA708" s="1">
        <f>IF(COUNTIF($D$2:D708,D708)=1,ROW()-1,ROWS(Clean_Data[OrderID])+1)</f>
        <v>901</v>
      </c>
      <c r="AB708" s="1">
        <f>IF(COUNTIF($F$2:F708,F708)=1,ROW()-1,ROWS(Clean_Data[OrderID])+1)</f>
        <v>901</v>
      </c>
      <c r="AC708" s="1">
        <f>IF(COUNTIF($G$2:G708,G708)=1,ROW()-1,ROWS(Clean_Data[OrderID])+1)</f>
        <v>901</v>
      </c>
      <c r="AD708" s="1">
        <f>IF(COUNTIF($H$2:H708,H708)=1,ROW()-1,ROWS(Clean_Data[OrderID])+1)</f>
        <v>901</v>
      </c>
      <c r="AE708" s="1">
        <f>IF(COUNTIF($V$2:V708,V708)=1,V708,ROWS(Clean_Data[OrderID])+1)</f>
        <v>901</v>
      </c>
      <c r="AF708" s="1">
        <f>IF(COUNTIF($U$2:U708,U708)=1,U708,ROWS(Clean_Data[OrderID])+1)</f>
        <v>901</v>
      </c>
      <c r="AG708" s="1">
        <f>IF(COUNTIF($E$2:E708,E708)=1,ROW()-1,ROWS(Clean_Data[OrderID])+1)</f>
        <v>901</v>
      </c>
    </row>
    <row r="709" spans="1:33" ht="20" customHeight="1">
      <c r="A709" s="3" t="s">
        <v>1105</v>
      </c>
      <c r="B709" s="2">
        <v>46289</v>
      </c>
      <c r="C709" s="3">
        <v>17</v>
      </c>
      <c r="D709" s="3" t="s">
        <v>295</v>
      </c>
      <c r="E709" s="3" t="s">
        <v>117</v>
      </c>
      <c r="F709" s="3" t="s">
        <v>109</v>
      </c>
      <c r="G709" s="3" t="s">
        <v>122</v>
      </c>
      <c r="H709" s="3" t="s">
        <v>153</v>
      </c>
      <c r="I709" s="3">
        <v>2</v>
      </c>
      <c r="J709" s="11">
        <v>130</v>
      </c>
      <c r="K709" s="4">
        <v>0.1</v>
      </c>
      <c r="L709" s="3" t="s">
        <v>101</v>
      </c>
      <c r="M709" s="3"/>
      <c r="N709" s="3"/>
      <c r="O709" s="3"/>
      <c r="P709" s="11">
        <f>Clean_Data[[#This Row],[Quantity]]*Clean_Data[[#This Row],[UnitPrice]]</f>
        <v>260</v>
      </c>
      <c r="Q709" s="11">
        <f>ROUND(Clean_Data[[#This Row],[GrossSales]]*Clean_Data[[#This Row],[DiscountPct]],2)</f>
        <v>26</v>
      </c>
      <c r="R709" s="11">
        <f>IF(Clean_Data[[#This Row],[Status]]="Delivered",ROUND(Clean_Data[[#This Row],[GrossSales]]-Clean_Data[[#This Row],[DiscountAmount]],2),0)</f>
        <v>0</v>
      </c>
      <c r="S709" s="3" t="str">
        <f>IF(Clean_Data[[#This Row],[OrderHour]]&lt;6,"Night",IF(Clean_Data[[#This Row],[OrderHour]]&lt;12,"Morning",IF(Clean_Data[[#This Row],[OrderHour]]&lt;18,"Afternoon","Evening")))</f>
        <v>Afternoon</v>
      </c>
      <c r="T709" s="3" t="str">
        <f>TEXT(Clean_Data[[#This Row],[OrderDate]],"[$-409]ddd")</f>
        <v>Thu</v>
      </c>
      <c r="U709" s="3">
        <f>WEEKDAY(Clean_Data[[#This Row],[OrderDate]],2)</f>
        <v>4</v>
      </c>
      <c r="V709" s="3">
        <f>INT(Clean_Data[[#This Row],[OrderHour]]/6)+1</f>
        <v>3</v>
      </c>
      <c r="W709" s="3">
        <f>IF(Clean_Data[[#This Row],[Status]]="Delivered",1,0)</f>
        <v>0</v>
      </c>
      <c r="X709" s="3">
        <f>IF(Clean_Data[[#This Row],[Status]]="Delivered",IF(Clean_Data[[#This Row],[DeliveryMinutes]]&lt;=Dashboard!$X$5,1,0),0)</f>
        <v>0</v>
      </c>
      <c r="Y7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09" s="3">
        <f>IF(AND(Clean_Data[[#This Row],[Include]]=1,Clean_Data[[#This Row],[DeliveredFlag]]=1),1,0)</f>
        <v>0</v>
      </c>
      <c r="AA709" s="1">
        <f>IF(COUNTIF($D$2:D709,D709)=1,ROW()-1,ROWS(Clean_Data[OrderID])+1)</f>
        <v>901</v>
      </c>
      <c r="AB709" s="1">
        <f>IF(COUNTIF($F$2:F709,F709)=1,ROW()-1,ROWS(Clean_Data[OrderID])+1)</f>
        <v>901</v>
      </c>
      <c r="AC709" s="1">
        <f>IF(COUNTIF($G$2:G709,G709)=1,ROW()-1,ROWS(Clean_Data[OrderID])+1)</f>
        <v>901</v>
      </c>
      <c r="AD709" s="1">
        <f>IF(COUNTIF($H$2:H709,H709)=1,ROW()-1,ROWS(Clean_Data[OrderID])+1)</f>
        <v>901</v>
      </c>
      <c r="AE709" s="1">
        <f>IF(COUNTIF($V$2:V709,V709)=1,V709,ROWS(Clean_Data[OrderID])+1)</f>
        <v>901</v>
      </c>
      <c r="AF709" s="1">
        <f>IF(COUNTIF($U$2:U709,U709)=1,U709,ROWS(Clean_Data[OrderID])+1)</f>
        <v>901</v>
      </c>
      <c r="AG709" s="1">
        <f>IF(COUNTIF($E$2:E709,E709)=1,ROW()-1,ROWS(Clean_Data[OrderID])+1)</f>
        <v>901</v>
      </c>
    </row>
    <row r="710" spans="1:33" ht="20" customHeight="1">
      <c r="A710" s="3" t="s">
        <v>1106</v>
      </c>
      <c r="B710" s="2">
        <v>46289</v>
      </c>
      <c r="C710" s="3">
        <v>19</v>
      </c>
      <c r="D710" s="3" t="s">
        <v>1107</v>
      </c>
      <c r="E710" s="3" t="s">
        <v>91</v>
      </c>
      <c r="F710" s="3" t="s">
        <v>92</v>
      </c>
      <c r="G710" s="3" t="s">
        <v>110</v>
      </c>
      <c r="H710" s="3" t="s">
        <v>114</v>
      </c>
      <c r="I710" s="3">
        <v>3</v>
      </c>
      <c r="J710" s="11">
        <v>145</v>
      </c>
      <c r="K710" s="4">
        <v>0.05</v>
      </c>
      <c r="L710" s="3" t="s">
        <v>95</v>
      </c>
      <c r="M710" s="3">
        <v>17</v>
      </c>
      <c r="N710" s="3">
        <v>14</v>
      </c>
      <c r="O710" s="3">
        <v>5</v>
      </c>
      <c r="P710" s="11">
        <f>Clean_Data[[#This Row],[Quantity]]*Clean_Data[[#This Row],[UnitPrice]]</f>
        <v>435</v>
      </c>
      <c r="Q710" s="11">
        <f>ROUND(Clean_Data[[#This Row],[GrossSales]]*Clean_Data[[#This Row],[DiscountPct]],2)</f>
        <v>21.75</v>
      </c>
      <c r="R710" s="11">
        <f>IF(Clean_Data[[#This Row],[Status]]="Delivered",ROUND(Clean_Data[[#This Row],[GrossSales]]-Clean_Data[[#This Row],[DiscountAmount]],2),0)</f>
        <v>413.25</v>
      </c>
      <c r="S710" s="3" t="str">
        <f>IF(Clean_Data[[#This Row],[OrderHour]]&lt;6,"Night",IF(Clean_Data[[#This Row],[OrderHour]]&lt;12,"Morning",IF(Clean_Data[[#This Row],[OrderHour]]&lt;18,"Afternoon","Evening")))</f>
        <v>Evening</v>
      </c>
      <c r="T710" s="3" t="str">
        <f>TEXT(Clean_Data[[#This Row],[OrderDate]],"[$-409]ddd")</f>
        <v>Thu</v>
      </c>
      <c r="U710" s="3">
        <f>WEEKDAY(Clean_Data[[#This Row],[OrderDate]],2)</f>
        <v>4</v>
      </c>
      <c r="V710" s="3">
        <f>INT(Clean_Data[[#This Row],[OrderHour]]/6)+1</f>
        <v>4</v>
      </c>
      <c r="W710" s="3">
        <f>IF(Clean_Data[[#This Row],[Status]]="Delivered",1,0)</f>
        <v>1</v>
      </c>
      <c r="X710" s="3">
        <f>IF(Clean_Data[[#This Row],[Status]]="Delivered",IF(Clean_Data[[#This Row],[DeliveryMinutes]]&lt;=Dashboard!$X$5,1,0),0)</f>
        <v>1</v>
      </c>
      <c r="Y7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0" s="3">
        <f>IF(AND(Clean_Data[[#This Row],[Include]]=1,Clean_Data[[#This Row],[DeliveredFlag]]=1),1,0)</f>
        <v>1</v>
      </c>
      <c r="AA710" s="1">
        <f>IF(COUNTIF($D$2:D710,D710)=1,ROW()-1,ROWS(Clean_Data[OrderID])+1)</f>
        <v>709</v>
      </c>
      <c r="AB710" s="1">
        <f>IF(COUNTIF($F$2:F710,F710)=1,ROW()-1,ROWS(Clean_Data[OrderID])+1)</f>
        <v>901</v>
      </c>
      <c r="AC710" s="1">
        <f>IF(COUNTIF($G$2:G710,G710)=1,ROW()-1,ROWS(Clean_Data[OrderID])+1)</f>
        <v>901</v>
      </c>
      <c r="AD710" s="1">
        <f>IF(COUNTIF($H$2:H710,H710)=1,ROW()-1,ROWS(Clean_Data[OrderID])+1)</f>
        <v>901</v>
      </c>
      <c r="AE710" s="1">
        <f>IF(COUNTIF($V$2:V710,V710)=1,V710,ROWS(Clean_Data[OrderID])+1)</f>
        <v>901</v>
      </c>
      <c r="AF710" s="1">
        <f>IF(COUNTIF($U$2:U710,U710)=1,U710,ROWS(Clean_Data[OrderID])+1)</f>
        <v>901</v>
      </c>
      <c r="AG710" s="1">
        <f>IF(COUNTIF($E$2:E710,E710)=1,ROW()-1,ROWS(Clean_Data[OrderID])+1)</f>
        <v>901</v>
      </c>
    </row>
    <row r="711" spans="1:33" ht="20" customHeight="1">
      <c r="A711" s="3" t="s">
        <v>1108</v>
      </c>
      <c r="B711" s="2">
        <v>46289</v>
      </c>
      <c r="C711" s="3">
        <v>16</v>
      </c>
      <c r="D711" s="3" t="s">
        <v>1109</v>
      </c>
      <c r="E711" s="3" t="s">
        <v>91</v>
      </c>
      <c r="F711" s="3" t="s">
        <v>92</v>
      </c>
      <c r="G711" s="3" t="s">
        <v>110</v>
      </c>
      <c r="H711" s="3" t="s">
        <v>114</v>
      </c>
      <c r="I711" s="3">
        <v>2</v>
      </c>
      <c r="J711" s="11">
        <v>145</v>
      </c>
      <c r="K711" s="4">
        <v>0.05</v>
      </c>
      <c r="L711" s="3" t="s">
        <v>95</v>
      </c>
      <c r="M711" s="3">
        <v>35</v>
      </c>
      <c r="N711" s="3">
        <v>9</v>
      </c>
      <c r="O711" s="3">
        <v>5</v>
      </c>
      <c r="P711" s="11">
        <f>Clean_Data[[#This Row],[Quantity]]*Clean_Data[[#This Row],[UnitPrice]]</f>
        <v>290</v>
      </c>
      <c r="Q711" s="11">
        <f>ROUND(Clean_Data[[#This Row],[GrossSales]]*Clean_Data[[#This Row],[DiscountPct]],2)</f>
        <v>14.5</v>
      </c>
      <c r="R711" s="11">
        <f>IF(Clean_Data[[#This Row],[Status]]="Delivered",ROUND(Clean_Data[[#This Row],[GrossSales]]-Clean_Data[[#This Row],[DiscountAmount]],2),0)</f>
        <v>275.5</v>
      </c>
      <c r="S711" s="3" t="str">
        <f>IF(Clean_Data[[#This Row],[OrderHour]]&lt;6,"Night",IF(Clean_Data[[#This Row],[OrderHour]]&lt;12,"Morning",IF(Clean_Data[[#This Row],[OrderHour]]&lt;18,"Afternoon","Evening")))</f>
        <v>Afternoon</v>
      </c>
      <c r="T711" s="3" t="str">
        <f>TEXT(Clean_Data[[#This Row],[OrderDate]],"[$-409]ddd")</f>
        <v>Thu</v>
      </c>
      <c r="U711" s="3">
        <f>WEEKDAY(Clean_Data[[#This Row],[OrderDate]],2)</f>
        <v>4</v>
      </c>
      <c r="V711" s="3">
        <f>INT(Clean_Data[[#This Row],[OrderHour]]/6)+1</f>
        <v>3</v>
      </c>
      <c r="W711" s="3">
        <f>IF(Clean_Data[[#This Row],[Status]]="Delivered",1,0)</f>
        <v>1</v>
      </c>
      <c r="X711" s="3">
        <f>IF(Clean_Data[[#This Row],[Status]]="Delivered",IF(Clean_Data[[#This Row],[DeliveryMinutes]]&lt;=Dashboard!$X$5,1,0),0)</f>
        <v>0</v>
      </c>
      <c r="Y7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1" s="3">
        <f>IF(AND(Clean_Data[[#This Row],[Include]]=1,Clean_Data[[#This Row],[DeliveredFlag]]=1),1,0)</f>
        <v>1</v>
      </c>
      <c r="AA711" s="1">
        <f>IF(COUNTIF($D$2:D711,D711)=1,ROW()-1,ROWS(Clean_Data[OrderID])+1)</f>
        <v>710</v>
      </c>
      <c r="AB711" s="1">
        <f>IF(COUNTIF($F$2:F711,F711)=1,ROW()-1,ROWS(Clean_Data[OrderID])+1)</f>
        <v>901</v>
      </c>
      <c r="AC711" s="1">
        <f>IF(COUNTIF($G$2:G711,G711)=1,ROW()-1,ROWS(Clean_Data[OrderID])+1)</f>
        <v>901</v>
      </c>
      <c r="AD711" s="1">
        <f>IF(COUNTIF($H$2:H711,H711)=1,ROW()-1,ROWS(Clean_Data[OrderID])+1)</f>
        <v>901</v>
      </c>
      <c r="AE711" s="1">
        <f>IF(COUNTIF($V$2:V711,V711)=1,V711,ROWS(Clean_Data[OrderID])+1)</f>
        <v>901</v>
      </c>
      <c r="AF711" s="1">
        <f>IF(COUNTIF($U$2:U711,U711)=1,U711,ROWS(Clean_Data[OrderID])+1)</f>
        <v>901</v>
      </c>
      <c r="AG711" s="1">
        <f>IF(COUNTIF($E$2:E711,E711)=1,ROW()-1,ROWS(Clean_Data[OrderID])+1)</f>
        <v>901</v>
      </c>
    </row>
    <row r="712" spans="1:33" ht="20" customHeight="1">
      <c r="A712" s="3" t="s">
        <v>1110</v>
      </c>
      <c r="B712" s="2">
        <v>46289</v>
      </c>
      <c r="C712" s="3">
        <v>22</v>
      </c>
      <c r="D712" s="3" t="s">
        <v>446</v>
      </c>
      <c r="E712" s="3" t="s">
        <v>91</v>
      </c>
      <c r="F712" s="3" t="s">
        <v>98</v>
      </c>
      <c r="G712" s="3" t="s">
        <v>174</v>
      </c>
      <c r="H712" s="3" t="s">
        <v>175</v>
      </c>
      <c r="I712" s="3">
        <v>3</v>
      </c>
      <c r="J712" s="11">
        <v>155</v>
      </c>
      <c r="K712" s="4">
        <v>0.1</v>
      </c>
      <c r="L712" s="3" t="s">
        <v>95</v>
      </c>
      <c r="M712" s="3">
        <v>21</v>
      </c>
      <c r="N712" s="3">
        <v>11</v>
      </c>
      <c r="O712" s="3">
        <v>5</v>
      </c>
      <c r="P712" s="11">
        <f>Clean_Data[[#This Row],[Quantity]]*Clean_Data[[#This Row],[UnitPrice]]</f>
        <v>465</v>
      </c>
      <c r="Q712" s="11">
        <f>ROUND(Clean_Data[[#This Row],[GrossSales]]*Clean_Data[[#This Row],[DiscountPct]],2)</f>
        <v>46.5</v>
      </c>
      <c r="R712" s="11">
        <f>IF(Clean_Data[[#This Row],[Status]]="Delivered",ROUND(Clean_Data[[#This Row],[GrossSales]]-Clean_Data[[#This Row],[DiscountAmount]],2),0)</f>
        <v>418.5</v>
      </c>
      <c r="S712" s="3" t="str">
        <f>IF(Clean_Data[[#This Row],[OrderHour]]&lt;6,"Night",IF(Clean_Data[[#This Row],[OrderHour]]&lt;12,"Morning",IF(Clean_Data[[#This Row],[OrderHour]]&lt;18,"Afternoon","Evening")))</f>
        <v>Evening</v>
      </c>
      <c r="T712" s="3" t="str">
        <f>TEXT(Clean_Data[[#This Row],[OrderDate]],"[$-409]ddd")</f>
        <v>Thu</v>
      </c>
      <c r="U712" s="3">
        <f>WEEKDAY(Clean_Data[[#This Row],[OrderDate]],2)</f>
        <v>4</v>
      </c>
      <c r="V712" s="3">
        <f>INT(Clean_Data[[#This Row],[OrderHour]]/6)+1</f>
        <v>4</v>
      </c>
      <c r="W712" s="3">
        <f>IF(Clean_Data[[#This Row],[Status]]="Delivered",1,0)</f>
        <v>1</v>
      </c>
      <c r="X712" s="3">
        <f>IF(Clean_Data[[#This Row],[Status]]="Delivered",IF(Clean_Data[[#This Row],[DeliveryMinutes]]&lt;=Dashboard!$X$5,1,0),0)</f>
        <v>1</v>
      </c>
      <c r="Y7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2" s="3">
        <f>IF(AND(Clean_Data[[#This Row],[Include]]=1,Clean_Data[[#This Row],[DeliveredFlag]]=1),1,0)</f>
        <v>1</v>
      </c>
      <c r="AA712" s="1">
        <f>IF(COUNTIF($D$2:D712,D712)=1,ROW()-1,ROWS(Clean_Data[OrderID])+1)</f>
        <v>901</v>
      </c>
      <c r="AB712" s="1">
        <f>IF(COUNTIF($F$2:F712,F712)=1,ROW()-1,ROWS(Clean_Data[OrderID])+1)</f>
        <v>901</v>
      </c>
      <c r="AC712" s="1">
        <f>IF(COUNTIF($G$2:G712,G712)=1,ROW()-1,ROWS(Clean_Data[OrderID])+1)</f>
        <v>901</v>
      </c>
      <c r="AD712" s="1">
        <f>IF(COUNTIF($H$2:H712,H712)=1,ROW()-1,ROWS(Clean_Data[OrderID])+1)</f>
        <v>901</v>
      </c>
      <c r="AE712" s="1">
        <f>IF(COUNTIF($V$2:V712,V712)=1,V712,ROWS(Clean_Data[OrderID])+1)</f>
        <v>901</v>
      </c>
      <c r="AF712" s="1">
        <f>IF(COUNTIF($U$2:U712,U712)=1,U712,ROWS(Clean_Data[OrderID])+1)</f>
        <v>901</v>
      </c>
      <c r="AG712" s="1">
        <f>IF(COUNTIF($E$2:E712,E712)=1,ROW()-1,ROWS(Clean_Data[OrderID])+1)</f>
        <v>901</v>
      </c>
    </row>
    <row r="713" spans="1:33" ht="20" customHeight="1">
      <c r="A713" s="3" t="s">
        <v>1111</v>
      </c>
      <c r="B713" s="2">
        <v>46289</v>
      </c>
      <c r="C713" s="3">
        <v>19</v>
      </c>
      <c r="D713" s="3" t="s">
        <v>1090</v>
      </c>
      <c r="E713" s="3" t="s">
        <v>117</v>
      </c>
      <c r="F713" s="3" t="s">
        <v>98</v>
      </c>
      <c r="G713" s="3" t="s">
        <v>99</v>
      </c>
      <c r="H713" s="3" t="s">
        <v>104</v>
      </c>
      <c r="I713" s="3">
        <v>2</v>
      </c>
      <c r="J713" s="11">
        <v>240</v>
      </c>
      <c r="K713" s="4">
        <v>0</v>
      </c>
      <c r="L713" s="3" t="s">
        <v>95</v>
      </c>
      <c r="M713" s="3">
        <v>29</v>
      </c>
      <c r="N713" s="3">
        <v>9</v>
      </c>
      <c r="O713" s="3">
        <v>5</v>
      </c>
      <c r="P713" s="11">
        <f>Clean_Data[[#This Row],[Quantity]]*Clean_Data[[#This Row],[UnitPrice]]</f>
        <v>480</v>
      </c>
      <c r="Q713" s="11">
        <f>ROUND(Clean_Data[[#This Row],[GrossSales]]*Clean_Data[[#This Row],[DiscountPct]],2)</f>
        <v>0</v>
      </c>
      <c r="R713" s="11">
        <f>IF(Clean_Data[[#This Row],[Status]]="Delivered",ROUND(Clean_Data[[#This Row],[GrossSales]]-Clean_Data[[#This Row],[DiscountAmount]],2),0)</f>
        <v>480</v>
      </c>
      <c r="S713" s="3" t="str">
        <f>IF(Clean_Data[[#This Row],[OrderHour]]&lt;6,"Night",IF(Clean_Data[[#This Row],[OrderHour]]&lt;12,"Morning",IF(Clean_Data[[#This Row],[OrderHour]]&lt;18,"Afternoon","Evening")))</f>
        <v>Evening</v>
      </c>
      <c r="T713" s="3" t="str">
        <f>TEXT(Clean_Data[[#This Row],[OrderDate]],"[$-409]ddd")</f>
        <v>Thu</v>
      </c>
      <c r="U713" s="3">
        <f>WEEKDAY(Clean_Data[[#This Row],[OrderDate]],2)</f>
        <v>4</v>
      </c>
      <c r="V713" s="3">
        <f>INT(Clean_Data[[#This Row],[OrderHour]]/6)+1</f>
        <v>4</v>
      </c>
      <c r="W713" s="3">
        <f>IF(Clean_Data[[#This Row],[Status]]="Delivered",1,0)</f>
        <v>1</v>
      </c>
      <c r="X713" s="3">
        <f>IF(Clean_Data[[#This Row],[Status]]="Delivered",IF(Clean_Data[[#This Row],[DeliveryMinutes]]&lt;=Dashboard!$X$5,1,0),0)</f>
        <v>1</v>
      </c>
      <c r="Y7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3" s="3">
        <f>IF(AND(Clean_Data[[#This Row],[Include]]=1,Clean_Data[[#This Row],[DeliveredFlag]]=1),1,0)</f>
        <v>1</v>
      </c>
      <c r="AA713" s="1">
        <f>IF(COUNTIF($D$2:D713,D713)=1,ROW()-1,ROWS(Clean_Data[OrderID])+1)</f>
        <v>901</v>
      </c>
      <c r="AB713" s="1">
        <f>IF(COUNTIF($F$2:F713,F713)=1,ROW()-1,ROWS(Clean_Data[OrderID])+1)</f>
        <v>901</v>
      </c>
      <c r="AC713" s="1">
        <f>IF(COUNTIF($G$2:G713,G713)=1,ROW()-1,ROWS(Clean_Data[OrderID])+1)</f>
        <v>901</v>
      </c>
      <c r="AD713" s="1">
        <f>IF(COUNTIF($H$2:H713,H713)=1,ROW()-1,ROWS(Clean_Data[OrderID])+1)</f>
        <v>901</v>
      </c>
      <c r="AE713" s="1">
        <f>IF(COUNTIF($V$2:V713,V713)=1,V713,ROWS(Clean_Data[OrderID])+1)</f>
        <v>901</v>
      </c>
      <c r="AF713" s="1">
        <f>IF(COUNTIF($U$2:U713,U713)=1,U713,ROWS(Clean_Data[OrderID])+1)</f>
        <v>901</v>
      </c>
      <c r="AG713" s="1">
        <f>IF(COUNTIF($E$2:E713,E713)=1,ROW()-1,ROWS(Clean_Data[OrderID])+1)</f>
        <v>901</v>
      </c>
    </row>
    <row r="714" spans="1:33" ht="20" customHeight="1">
      <c r="A714" s="3" t="s">
        <v>1112</v>
      </c>
      <c r="B714" s="2">
        <v>46289</v>
      </c>
      <c r="C714" s="3">
        <v>9</v>
      </c>
      <c r="D714" s="3" t="s">
        <v>1048</v>
      </c>
      <c r="E714" s="3" t="s">
        <v>91</v>
      </c>
      <c r="F714" s="3" t="s">
        <v>98</v>
      </c>
      <c r="G714" s="3" t="s">
        <v>110</v>
      </c>
      <c r="H714" s="3" t="s">
        <v>111</v>
      </c>
      <c r="I714" s="3">
        <v>1</v>
      </c>
      <c r="J714" s="11">
        <v>115</v>
      </c>
      <c r="K714" s="4">
        <v>0</v>
      </c>
      <c r="L714" s="3" t="s">
        <v>95</v>
      </c>
      <c r="M714" s="3">
        <v>34</v>
      </c>
      <c r="N714" s="3">
        <v>14</v>
      </c>
      <c r="O714" s="3">
        <v>4</v>
      </c>
      <c r="P714" s="11">
        <f>Clean_Data[[#This Row],[Quantity]]*Clean_Data[[#This Row],[UnitPrice]]</f>
        <v>115</v>
      </c>
      <c r="Q714" s="11">
        <f>ROUND(Clean_Data[[#This Row],[GrossSales]]*Clean_Data[[#This Row],[DiscountPct]],2)</f>
        <v>0</v>
      </c>
      <c r="R714" s="11">
        <f>IF(Clean_Data[[#This Row],[Status]]="Delivered",ROUND(Clean_Data[[#This Row],[GrossSales]]-Clean_Data[[#This Row],[DiscountAmount]],2),0)</f>
        <v>115</v>
      </c>
      <c r="S714" s="3" t="str">
        <f>IF(Clean_Data[[#This Row],[OrderHour]]&lt;6,"Night",IF(Clean_Data[[#This Row],[OrderHour]]&lt;12,"Morning",IF(Clean_Data[[#This Row],[OrderHour]]&lt;18,"Afternoon","Evening")))</f>
        <v>Morning</v>
      </c>
      <c r="T714" s="3" t="str">
        <f>TEXT(Clean_Data[[#This Row],[OrderDate]],"[$-409]ddd")</f>
        <v>Thu</v>
      </c>
      <c r="U714" s="3">
        <f>WEEKDAY(Clean_Data[[#This Row],[OrderDate]],2)</f>
        <v>4</v>
      </c>
      <c r="V714" s="3">
        <f>INT(Clean_Data[[#This Row],[OrderHour]]/6)+1</f>
        <v>2</v>
      </c>
      <c r="W714" s="3">
        <f>IF(Clean_Data[[#This Row],[Status]]="Delivered",1,0)</f>
        <v>1</v>
      </c>
      <c r="X714" s="3">
        <f>IF(Clean_Data[[#This Row],[Status]]="Delivered",IF(Clean_Data[[#This Row],[DeliveryMinutes]]&lt;=Dashboard!$X$5,1,0),0)</f>
        <v>0</v>
      </c>
      <c r="Y7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4" s="3">
        <f>IF(AND(Clean_Data[[#This Row],[Include]]=1,Clean_Data[[#This Row],[DeliveredFlag]]=1),1,0)</f>
        <v>1</v>
      </c>
      <c r="AA714" s="1">
        <f>IF(COUNTIF($D$2:D714,D714)=1,ROW()-1,ROWS(Clean_Data[OrderID])+1)</f>
        <v>901</v>
      </c>
      <c r="AB714" s="1">
        <f>IF(COUNTIF($F$2:F714,F714)=1,ROW()-1,ROWS(Clean_Data[OrderID])+1)</f>
        <v>901</v>
      </c>
      <c r="AC714" s="1">
        <f>IF(COUNTIF($G$2:G714,G714)=1,ROW()-1,ROWS(Clean_Data[OrderID])+1)</f>
        <v>901</v>
      </c>
      <c r="AD714" s="1">
        <f>IF(COUNTIF($H$2:H714,H714)=1,ROW()-1,ROWS(Clean_Data[OrderID])+1)</f>
        <v>901</v>
      </c>
      <c r="AE714" s="1">
        <f>IF(COUNTIF($V$2:V714,V714)=1,V714,ROWS(Clean_Data[OrderID])+1)</f>
        <v>901</v>
      </c>
      <c r="AF714" s="1">
        <f>IF(COUNTIF($U$2:U714,U714)=1,U714,ROWS(Clean_Data[OrderID])+1)</f>
        <v>901</v>
      </c>
      <c r="AG714" s="1">
        <f>IF(COUNTIF($E$2:E714,E714)=1,ROW()-1,ROWS(Clean_Data[OrderID])+1)</f>
        <v>901</v>
      </c>
    </row>
    <row r="715" spans="1:33" ht="20" customHeight="1">
      <c r="A715" s="3" t="s">
        <v>1113</v>
      </c>
      <c r="B715" s="2">
        <v>46289</v>
      </c>
      <c r="C715" s="3">
        <v>12</v>
      </c>
      <c r="D715" s="3" t="s">
        <v>452</v>
      </c>
      <c r="E715" s="3" t="s">
        <v>91</v>
      </c>
      <c r="F715" s="3" t="s">
        <v>98</v>
      </c>
      <c r="G715" s="3" t="s">
        <v>122</v>
      </c>
      <c r="H715" s="3" t="s">
        <v>153</v>
      </c>
      <c r="I715" s="3">
        <v>4</v>
      </c>
      <c r="J715" s="11">
        <v>130</v>
      </c>
      <c r="K715" s="4">
        <v>0.15</v>
      </c>
      <c r="L715" s="3" t="s">
        <v>95</v>
      </c>
      <c r="M715" s="3">
        <v>15</v>
      </c>
      <c r="N715" s="3">
        <v>11</v>
      </c>
      <c r="O715" s="3">
        <v>3</v>
      </c>
      <c r="P715" s="11">
        <f>Clean_Data[[#This Row],[Quantity]]*Clean_Data[[#This Row],[UnitPrice]]</f>
        <v>520</v>
      </c>
      <c r="Q715" s="11">
        <f>ROUND(Clean_Data[[#This Row],[GrossSales]]*Clean_Data[[#This Row],[DiscountPct]],2)</f>
        <v>78</v>
      </c>
      <c r="R715" s="11">
        <f>IF(Clean_Data[[#This Row],[Status]]="Delivered",ROUND(Clean_Data[[#This Row],[GrossSales]]-Clean_Data[[#This Row],[DiscountAmount]],2),0)</f>
        <v>442</v>
      </c>
      <c r="S715" s="3" t="str">
        <f>IF(Clean_Data[[#This Row],[OrderHour]]&lt;6,"Night",IF(Clean_Data[[#This Row],[OrderHour]]&lt;12,"Morning",IF(Clean_Data[[#This Row],[OrderHour]]&lt;18,"Afternoon","Evening")))</f>
        <v>Afternoon</v>
      </c>
      <c r="T715" s="3" t="str">
        <f>TEXT(Clean_Data[[#This Row],[OrderDate]],"[$-409]ddd")</f>
        <v>Thu</v>
      </c>
      <c r="U715" s="3">
        <f>WEEKDAY(Clean_Data[[#This Row],[OrderDate]],2)</f>
        <v>4</v>
      </c>
      <c r="V715" s="3">
        <f>INT(Clean_Data[[#This Row],[OrderHour]]/6)+1</f>
        <v>3</v>
      </c>
      <c r="W715" s="3">
        <f>IF(Clean_Data[[#This Row],[Status]]="Delivered",1,0)</f>
        <v>1</v>
      </c>
      <c r="X715" s="3">
        <f>IF(Clean_Data[[#This Row],[Status]]="Delivered",IF(Clean_Data[[#This Row],[DeliveryMinutes]]&lt;=Dashboard!$X$5,1,0),0)</f>
        <v>1</v>
      </c>
      <c r="Y7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5" s="3">
        <f>IF(AND(Clean_Data[[#This Row],[Include]]=1,Clean_Data[[#This Row],[DeliveredFlag]]=1),1,0)</f>
        <v>1</v>
      </c>
      <c r="AA715" s="1">
        <f>IF(COUNTIF($D$2:D715,D715)=1,ROW()-1,ROWS(Clean_Data[OrderID])+1)</f>
        <v>901</v>
      </c>
      <c r="AB715" s="1">
        <f>IF(COUNTIF($F$2:F715,F715)=1,ROW()-1,ROWS(Clean_Data[OrderID])+1)</f>
        <v>901</v>
      </c>
      <c r="AC715" s="1">
        <f>IF(COUNTIF($G$2:G715,G715)=1,ROW()-1,ROWS(Clean_Data[OrderID])+1)</f>
        <v>901</v>
      </c>
      <c r="AD715" s="1">
        <f>IF(COUNTIF($H$2:H715,H715)=1,ROW()-1,ROWS(Clean_Data[OrderID])+1)</f>
        <v>901</v>
      </c>
      <c r="AE715" s="1">
        <f>IF(COUNTIF($V$2:V715,V715)=1,V715,ROWS(Clean_Data[OrderID])+1)</f>
        <v>901</v>
      </c>
      <c r="AF715" s="1">
        <f>IF(COUNTIF($U$2:U715,U715)=1,U715,ROWS(Clean_Data[OrderID])+1)</f>
        <v>901</v>
      </c>
      <c r="AG715" s="1">
        <f>IF(COUNTIF($E$2:E715,E715)=1,ROW()-1,ROWS(Clean_Data[OrderID])+1)</f>
        <v>901</v>
      </c>
    </row>
    <row r="716" spans="1:33" ht="20" customHeight="1">
      <c r="A716" s="3" t="s">
        <v>1114</v>
      </c>
      <c r="B716" s="2">
        <v>46289</v>
      </c>
      <c r="C716" s="3">
        <v>9</v>
      </c>
      <c r="D716" s="3" t="s">
        <v>1115</v>
      </c>
      <c r="E716" s="3" t="s">
        <v>91</v>
      </c>
      <c r="F716" s="3" t="s">
        <v>139</v>
      </c>
      <c r="G716" s="3" t="s">
        <v>93</v>
      </c>
      <c r="H716" s="3" t="s">
        <v>94</v>
      </c>
      <c r="I716" s="3">
        <v>2</v>
      </c>
      <c r="J716" s="11">
        <v>95</v>
      </c>
      <c r="K716" s="4">
        <v>0</v>
      </c>
      <c r="L716" s="3" t="s">
        <v>95</v>
      </c>
      <c r="M716" s="3">
        <v>21</v>
      </c>
      <c r="N716" s="3">
        <v>5</v>
      </c>
      <c r="O716" s="3">
        <v>5</v>
      </c>
      <c r="P716" s="11">
        <f>Clean_Data[[#This Row],[Quantity]]*Clean_Data[[#This Row],[UnitPrice]]</f>
        <v>190</v>
      </c>
      <c r="Q716" s="11">
        <f>ROUND(Clean_Data[[#This Row],[GrossSales]]*Clean_Data[[#This Row],[DiscountPct]],2)</f>
        <v>0</v>
      </c>
      <c r="R716" s="11">
        <f>IF(Clean_Data[[#This Row],[Status]]="Delivered",ROUND(Clean_Data[[#This Row],[GrossSales]]-Clean_Data[[#This Row],[DiscountAmount]],2),0)</f>
        <v>190</v>
      </c>
      <c r="S716" s="3" t="str">
        <f>IF(Clean_Data[[#This Row],[OrderHour]]&lt;6,"Night",IF(Clean_Data[[#This Row],[OrderHour]]&lt;12,"Morning",IF(Clean_Data[[#This Row],[OrderHour]]&lt;18,"Afternoon","Evening")))</f>
        <v>Morning</v>
      </c>
      <c r="T716" s="3" t="str">
        <f>TEXT(Clean_Data[[#This Row],[OrderDate]],"[$-409]ddd")</f>
        <v>Thu</v>
      </c>
      <c r="U716" s="3">
        <f>WEEKDAY(Clean_Data[[#This Row],[OrderDate]],2)</f>
        <v>4</v>
      </c>
      <c r="V716" s="3">
        <f>INT(Clean_Data[[#This Row],[OrderHour]]/6)+1</f>
        <v>2</v>
      </c>
      <c r="W716" s="3">
        <f>IF(Clean_Data[[#This Row],[Status]]="Delivered",1,0)</f>
        <v>1</v>
      </c>
      <c r="X716" s="3">
        <f>IF(Clean_Data[[#This Row],[Status]]="Delivered",IF(Clean_Data[[#This Row],[DeliveryMinutes]]&lt;=Dashboard!$X$5,1,0),0)</f>
        <v>1</v>
      </c>
      <c r="Y7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6" s="3">
        <f>IF(AND(Clean_Data[[#This Row],[Include]]=1,Clean_Data[[#This Row],[DeliveredFlag]]=1),1,0)</f>
        <v>1</v>
      </c>
      <c r="AA716" s="1">
        <f>IF(COUNTIF($D$2:D716,D716)=1,ROW()-1,ROWS(Clean_Data[OrderID])+1)</f>
        <v>715</v>
      </c>
      <c r="AB716" s="1">
        <f>IF(COUNTIF($F$2:F716,F716)=1,ROW()-1,ROWS(Clean_Data[OrderID])+1)</f>
        <v>901</v>
      </c>
      <c r="AC716" s="1">
        <f>IF(COUNTIF($G$2:G716,G716)=1,ROW()-1,ROWS(Clean_Data[OrderID])+1)</f>
        <v>901</v>
      </c>
      <c r="AD716" s="1">
        <f>IF(COUNTIF($H$2:H716,H716)=1,ROW()-1,ROWS(Clean_Data[OrderID])+1)</f>
        <v>901</v>
      </c>
      <c r="AE716" s="1">
        <f>IF(COUNTIF($V$2:V716,V716)=1,V716,ROWS(Clean_Data[OrderID])+1)</f>
        <v>901</v>
      </c>
      <c r="AF716" s="1">
        <f>IF(COUNTIF($U$2:U716,U716)=1,U716,ROWS(Clean_Data[OrderID])+1)</f>
        <v>901</v>
      </c>
      <c r="AG716" s="1">
        <f>IF(COUNTIF($E$2:E716,E716)=1,ROW()-1,ROWS(Clean_Data[OrderID])+1)</f>
        <v>901</v>
      </c>
    </row>
    <row r="717" spans="1:33" ht="20" customHeight="1">
      <c r="A717" s="3" t="s">
        <v>1116</v>
      </c>
      <c r="B717" s="2">
        <v>46289</v>
      </c>
      <c r="C717" s="3">
        <v>13</v>
      </c>
      <c r="D717" s="3" t="s">
        <v>378</v>
      </c>
      <c r="E717" s="3" t="s">
        <v>117</v>
      </c>
      <c r="F717" s="3" t="s">
        <v>109</v>
      </c>
      <c r="G717" s="3" t="s">
        <v>174</v>
      </c>
      <c r="H717" s="3" t="s">
        <v>184</v>
      </c>
      <c r="I717" s="3">
        <v>4</v>
      </c>
      <c r="J717" s="11">
        <v>62</v>
      </c>
      <c r="K717" s="4">
        <v>0</v>
      </c>
      <c r="L717" s="3" t="s">
        <v>95</v>
      </c>
      <c r="M717" s="3">
        <v>28</v>
      </c>
      <c r="N717" s="3">
        <v>9</v>
      </c>
      <c r="O717" s="3">
        <v>5</v>
      </c>
      <c r="P717" s="11">
        <f>Clean_Data[[#This Row],[Quantity]]*Clean_Data[[#This Row],[UnitPrice]]</f>
        <v>248</v>
      </c>
      <c r="Q717" s="11">
        <f>ROUND(Clean_Data[[#This Row],[GrossSales]]*Clean_Data[[#This Row],[DiscountPct]],2)</f>
        <v>0</v>
      </c>
      <c r="R717" s="11">
        <f>IF(Clean_Data[[#This Row],[Status]]="Delivered",ROUND(Clean_Data[[#This Row],[GrossSales]]-Clean_Data[[#This Row],[DiscountAmount]],2),0)</f>
        <v>248</v>
      </c>
      <c r="S717" s="3" t="str">
        <f>IF(Clean_Data[[#This Row],[OrderHour]]&lt;6,"Night",IF(Clean_Data[[#This Row],[OrderHour]]&lt;12,"Morning",IF(Clean_Data[[#This Row],[OrderHour]]&lt;18,"Afternoon","Evening")))</f>
        <v>Afternoon</v>
      </c>
      <c r="T717" s="3" t="str">
        <f>TEXT(Clean_Data[[#This Row],[OrderDate]],"[$-409]ddd")</f>
        <v>Thu</v>
      </c>
      <c r="U717" s="3">
        <f>WEEKDAY(Clean_Data[[#This Row],[OrderDate]],2)</f>
        <v>4</v>
      </c>
      <c r="V717" s="3">
        <f>INT(Clean_Data[[#This Row],[OrderHour]]/6)+1</f>
        <v>3</v>
      </c>
      <c r="W717" s="3">
        <f>IF(Clean_Data[[#This Row],[Status]]="Delivered",1,0)</f>
        <v>1</v>
      </c>
      <c r="X717" s="3">
        <f>IF(Clean_Data[[#This Row],[Status]]="Delivered",IF(Clean_Data[[#This Row],[DeliveryMinutes]]&lt;=Dashboard!$X$5,1,0),0)</f>
        <v>1</v>
      </c>
      <c r="Y7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7" s="3">
        <f>IF(AND(Clean_Data[[#This Row],[Include]]=1,Clean_Data[[#This Row],[DeliveredFlag]]=1),1,0)</f>
        <v>1</v>
      </c>
      <c r="AA717" s="1">
        <f>IF(COUNTIF($D$2:D717,D717)=1,ROW()-1,ROWS(Clean_Data[OrderID])+1)</f>
        <v>901</v>
      </c>
      <c r="AB717" s="1">
        <f>IF(COUNTIF($F$2:F717,F717)=1,ROW()-1,ROWS(Clean_Data[OrderID])+1)</f>
        <v>901</v>
      </c>
      <c r="AC717" s="1">
        <f>IF(COUNTIF($G$2:G717,G717)=1,ROW()-1,ROWS(Clean_Data[OrderID])+1)</f>
        <v>901</v>
      </c>
      <c r="AD717" s="1">
        <f>IF(COUNTIF($H$2:H717,H717)=1,ROW()-1,ROWS(Clean_Data[OrderID])+1)</f>
        <v>901</v>
      </c>
      <c r="AE717" s="1">
        <f>IF(COUNTIF($V$2:V717,V717)=1,V717,ROWS(Clean_Data[OrderID])+1)</f>
        <v>901</v>
      </c>
      <c r="AF717" s="1">
        <f>IF(COUNTIF($U$2:U717,U717)=1,U717,ROWS(Clean_Data[OrderID])+1)</f>
        <v>901</v>
      </c>
      <c r="AG717" s="1">
        <f>IF(COUNTIF($E$2:E717,E717)=1,ROW()-1,ROWS(Clean_Data[OrderID])+1)</f>
        <v>901</v>
      </c>
    </row>
    <row r="718" spans="1:33" ht="20" customHeight="1">
      <c r="A718" s="3" t="s">
        <v>1117</v>
      </c>
      <c r="B718" s="2">
        <v>46289</v>
      </c>
      <c r="C718" s="3">
        <v>16</v>
      </c>
      <c r="D718" s="3" t="s">
        <v>265</v>
      </c>
      <c r="E718" s="3" t="s">
        <v>117</v>
      </c>
      <c r="F718" s="3" t="s">
        <v>139</v>
      </c>
      <c r="G718" s="3" t="s">
        <v>174</v>
      </c>
      <c r="H718" s="3" t="s">
        <v>175</v>
      </c>
      <c r="I718" s="3">
        <v>1</v>
      </c>
      <c r="J718" s="11">
        <v>155</v>
      </c>
      <c r="K718" s="4">
        <v>0.05</v>
      </c>
      <c r="L718" s="3" t="s">
        <v>95</v>
      </c>
      <c r="M718" s="3">
        <v>32</v>
      </c>
      <c r="N718" s="3">
        <v>11</v>
      </c>
      <c r="O718" s="3">
        <v>4</v>
      </c>
      <c r="P718" s="11">
        <f>Clean_Data[[#This Row],[Quantity]]*Clean_Data[[#This Row],[UnitPrice]]</f>
        <v>155</v>
      </c>
      <c r="Q718" s="11">
        <f>ROUND(Clean_Data[[#This Row],[GrossSales]]*Clean_Data[[#This Row],[DiscountPct]],2)</f>
        <v>7.75</v>
      </c>
      <c r="R718" s="11">
        <f>IF(Clean_Data[[#This Row],[Status]]="Delivered",ROUND(Clean_Data[[#This Row],[GrossSales]]-Clean_Data[[#This Row],[DiscountAmount]],2),0)</f>
        <v>147.25</v>
      </c>
      <c r="S718" s="3" t="str">
        <f>IF(Clean_Data[[#This Row],[OrderHour]]&lt;6,"Night",IF(Clean_Data[[#This Row],[OrderHour]]&lt;12,"Morning",IF(Clean_Data[[#This Row],[OrderHour]]&lt;18,"Afternoon","Evening")))</f>
        <v>Afternoon</v>
      </c>
      <c r="T718" s="3" t="str">
        <f>TEXT(Clean_Data[[#This Row],[OrderDate]],"[$-409]ddd")</f>
        <v>Thu</v>
      </c>
      <c r="U718" s="3">
        <f>WEEKDAY(Clean_Data[[#This Row],[OrderDate]],2)</f>
        <v>4</v>
      </c>
      <c r="V718" s="3">
        <f>INT(Clean_Data[[#This Row],[OrderHour]]/6)+1</f>
        <v>3</v>
      </c>
      <c r="W718" s="3">
        <f>IF(Clean_Data[[#This Row],[Status]]="Delivered",1,0)</f>
        <v>1</v>
      </c>
      <c r="X718" s="3">
        <f>IF(Clean_Data[[#This Row],[Status]]="Delivered",IF(Clean_Data[[#This Row],[DeliveryMinutes]]&lt;=Dashboard!$X$5,1,0),0)</f>
        <v>0</v>
      </c>
      <c r="Y7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8" s="3">
        <f>IF(AND(Clean_Data[[#This Row],[Include]]=1,Clean_Data[[#This Row],[DeliveredFlag]]=1),1,0)</f>
        <v>1</v>
      </c>
      <c r="AA718" s="1">
        <f>IF(COUNTIF($D$2:D718,D718)=1,ROW()-1,ROWS(Clean_Data[OrderID])+1)</f>
        <v>901</v>
      </c>
      <c r="AB718" s="1">
        <f>IF(COUNTIF($F$2:F718,F718)=1,ROW()-1,ROWS(Clean_Data[OrderID])+1)</f>
        <v>901</v>
      </c>
      <c r="AC718" s="1">
        <f>IF(COUNTIF($G$2:G718,G718)=1,ROW()-1,ROWS(Clean_Data[OrderID])+1)</f>
        <v>901</v>
      </c>
      <c r="AD718" s="1">
        <f>IF(COUNTIF($H$2:H718,H718)=1,ROW()-1,ROWS(Clean_Data[OrderID])+1)</f>
        <v>901</v>
      </c>
      <c r="AE718" s="1">
        <f>IF(COUNTIF($V$2:V718,V718)=1,V718,ROWS(Clean_Data[OrderID])+1)</f>
        <v>901</v>
      </c>
      <c r="AF718" s="1">
        <f>IF(COUNTIF($U$2:U718,U718)=1,U718,ROWS(Clean_Data[OrderID])+1)</f>
        <v>901</v>
      </c>
      <c r="AG718" s="1">
        <f>IF(COUNTIF($E$2:E718,E718)=1,ROW()-1,ROWS(Clean_Data[OrderID])+1)</f>
        <v>901</v>
      </c>
    </row>
    <row r="719" spans="1:33" ht="20" customHeight="1">
      <c r="A719" s="3" t="s">
        <v>1118</v>
      </c>
      <c r="B719" s="2">
        <v>46289</v>
      </c>
      <c r="C719" s="3">
        <v>13</v>
      </c>
      <c r="D719" s="3" t="s">
        <v>195</v>
      </c>
      <c r="E719" s="3" t="s">
        <v>91</v>
      </c>
      <c r="F719" s="3" t="s">
        <v>121</v>
      </c>
      <c r="G719" s="3" t="s">
        <v>110</v>
      </c>
      <c r="H719" s="3" t="s">
        <v>206</v>
      </c>
      <c r="I719" s="3">
        <v>1</v>
      </c>
      <c r="J719" s="11">
        <v>220</v>
      </c>
      <c r="K719" s="4">
        <v>0</v>
      </c>
      <c r="L719" s="3" t="s">
        <v>95</v>
      </c>
      <c r="M719" s="3">
        <v>14</v>
      </c>
      <c r="N719" s="3">
        <v>5</v>
      </c>
      <c r="O719" s="3">
        <v>3</v>
      </c>
      <c r="P719" s="11">
        <f>Clean_Data[[#This Row],[Quantity]]*Clean_Data[[#This Row],[UnitPrice]]</f>
        <v>220</v>
      </c>
      <c r="Q719" s="11">
        <f>ROUND(Clean_Data[[#This Row],[GrossSales]]*Clean_Data[[#This Row],[DiscountPct]],2)</f>
        <v>0</v>
      </c>
      <c r="R719" s="11">
        <f>IF(Clean_Data[[#This Row],[Status]]="Delivered",ROUND(Clean_Data[[#This Row],[GrossSales]]-Clean_Data[[#This Row],[DiscountAmount]],2),0)</f>
        <v>220</v>
      </c>
      <c r="S719" s="3" t="str">
        <f>IF(Clean_Data[[#This Row],[OrderHour]]&lt;6,"Night",IF(Clean_Data[[#This Row],[OrderHour]]&lt;12,"Morning",IF(Clean_Data[[#This Row],[OrderHour]]&lt;18,"Afternoon","Evening")))</f>
        <v>Afternoon</v>
      </c>
      <c r="T719" s="3" t="str">
        <f>TEXT(Clean_Data[[#This Row],[OrderDate]],"[$-409]ddd")</f>
        <v>Thu</v>
      </c>
      <c r="U719" s="3">
        <f>WEEKDAY(Clean_Data[[#This Row],[OrderDate]],2)</f>
        <v>4</v>
      </c>
      <c r="V719" s="3">
        <f>INT(Clean_Data[[#This Row],[OrderHour]]/6)+1</f>
        <v>3</v>
      </c>
      <c r="W719" s="3">
        <f>IF(Clean_Data[[#This Row],[Status]]="Delivered",1,0)</f>
        <v>1</v>
      </c>
      <c r="X719" s="3">
        <f>IF(Clean_Data[[#This Row],[Status]]="Delivered",IF(Clean_Data[[#This Row],[DeliveryMinutes]]&lt;=Dashboard!$X$5,1,0),0)</f>
        <v>1</v>
      </c>
      <c r="Y7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19" s="3">
        <f>IF(AND(Clean_Data[[#This Row],[Include]]=1,Clean_Data[[#This Row],[DeliveredFlag]]=1),1,0)</f>
        <v>1</v>
      </c>
      <c r="AA719" s="1">
        <f>IF(COUNTIF($D$2:D719,D719)=1,ROW()-1,ROWS(Clean_Data[OrderID])+1)</f>
        <v>901</v>
      </c>
      <c r="AB719" s="1">
        <f>IF(COUNTIF($F$2:F719,F719)=1,ROW()-1,ROWS(Clean_Data[OrderID])+1)</f>
        <v>901</v>
      </c>
      <c r="AC719" s="1">
        <f>IF(COUNTIF($G$2:G719,G719)=1,ROW()-1,ROWS(Clean_Data[OrderID])+1)</f>
        <v>901</v>
      </c>
      <c r="AD719" s="1">
        <f>IF(COUNTIF($H$2:H719,H719)=1,ROW()-1,ROWS(Clean_Data[OrderID])+1)</f>
        <v>901</v>
      </c>
      <c r="AE719" s="1">
        <f>IF(COUNTIF($V$2:V719,V719)=1,V719,ROWS(Clean_Data[OrderID])+1)</f>
        <v>901</v>
      </c>
      <c r="AF719" s="1">
        <f>IF(COUNTIF($U$2:U719,U719)=1,U719,ROWS(Clean_Data[OrderID])+1)</f>
        <v>901</v>
      </c>
      <c r="AG719" s="1">
        <f>IF(COUNTIF($E$2:E719,E719)=1,ROW()-1,ROWS(Clean_Data[OrderID])+1)</f>
        <v>901</v>
      </c>
    </row>
    <row r="720" spans="1:33" ht="20" customHeight="1">
      <c r="A720" s="3" t="s">
        <v>1119</v>
      </c>
      <c r="B720" s="2">
        <v>46289</v>
      </c>
      <c r="C720" s="3">
        <v>17</v>
      </c>
      <c r="D720" s="3" t="s">
        <v>363</v>
      </c>
      <c r="E720" s="3" t="s">
        <v>91</v>
      </c>
      <c r="F720" s="3" t="s">
        <v>92</v>
      </c>
      <c r="G720" s="3" t="s">
        <v>135</v>
      </c>
      <c r="H720" s="3" t="s">
        <v>136</v>
      </c>
      <c r="I720" s="3">
        <v>1</v>
      </c>
      <c r="J720" s="11">
        <v>40</v>
      </c>
      <c r="K720" s="4">
        <v>0</v>
      </c>
      <c r="L720" s="3" t="s">
        <v>95</v>
      </c>
      <c r="M720" s="3">
        <v>29</v>
      </c>
      <c r="N720" s="3">
        <v>10</v>
      </c>
      <c r="O720" s="3">
        <v>5</v>
      </c>
      <c r="P720" s="11">
        <f>Clean_Data[[#This Row],[Quantity]]*Clean_Data[[#This Row],[UnitPrice]]</f>
        <v>40</v>
      </c>
      <c r="Q720" s="11">
        <f>ROUND(Clean_Data[[#This Row],[GrossSales]]*Clean_Data[[#This Row],[DiscountPct]],2)</f>
        <v>0</v>
      </c>
      <c r="R720" s="11">
        <f>IF(Clean_Data[[#This Row],[Status]]="Delivered",ROUND(Clean_Data[[#This Row],[GrossSales]]-Clean_Data[[#This Row],[DiscountAmount]],2),0)</f>
        <v>40</v>
      </c>
      <c r="S720" s="3" t="str">
        <f>IF(Clean_Data[[#This Row],[OrderHour]]&lt;6,"Night",IF(Clean_Data[[#This Row],[OrderHour]]&lt;12,"Morning",IF(Clean_Data[[#This Row],[OrderHour]]&lt;18,"Afternoon","Evening")))</f>
        <v>Afternoon</v>
      </c>
      <c r="T720" s="3" t="str">
        <f>TEXT(Clean_Data[[#This Row],[OrderDate]],"[$-409]ddd")</f>
        <v>Thu</v>
      </c>
      <c r="U720" s="3">
        <f>WEEKDAY(Clean_Data[[#This Row],[OrderDate]],2)</f>
        <v>4</v>
      </c>
      <c r="V720" s="3">
        <f>INT(Clean_Data[[#This Row],[OrderHour]]/6)+1</f>
        <v>3</v>
      </c>
      <c r="W720" s="3">
        <f>IF(Clean_Data[[#This Row],[Status]]="Delivered",1,0)</f>
        <v>1</v>
      </c>
      <c r="X720" s="3">
        <f>IF(Clean_Data[[#This Row],[Status]]="Delivered",IF(Clean_Data[[#This Row],[DeliveryMinutes]]&lt;=Dashboard!$X$5,1,0),0)</f>
        <v>1</v>
      </c>
      <c r="Y7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0" s="3">
        <f>IF(AND(Clean_Data[[#This Row],[Include]]=1,Clean_Data[[#This Row],[DeliveredFlag]]=1),1,0)</f>
        <v>1</v>
      </c>
      <c r="AA720" s="1">
        <f>IF(COUNTIF($D$2:D720,D720)=1,ROW()-1,ROWS(Clean_Data[OrderID])+1)</f>
        <v>901</v>
      </c>
      <c r="AB720" s="1">
        <f>IF(COUNTIF($F$2:F720,F720)=1,ROW()-1,ROWS(Clean_Data[OrderID])+1)</f>
        <v>901</v>
      </c>
      <c r="AC720" s="1">
        <f>IF(COUNTIF($G$2:G720,G720)=1,ROW()-1,ROWS(Clean_Data[OrderID])+1)</f>
        <v>901</v>
      </c>
      <c r="AD720" s="1">
        <f>IF(COUNTIF($H$2:H720,H720)=1,ROW()-1,ROWS(Clean_Data[OrderID])+1)</f>
        <v>901</v>
      </c>
      <c r="AE720" s="1">
        <f>IF(COUNTIF($V$2:V720,V720)=1,V720,ROWS(Clean_Data[OrderID])+1)</f>
        <v>901</v>
      </c>
      <c r="AF720" s="1">
        <f>IF(COUNTIF($U$2:U720,U720)=1,U720,ROWS(Clean_Data[OrderID])+1)</f>
        <v>901</v>
      </c>
      <c r="AG720" s="1">
        <f>IF(COUNTIF($E$2:E720,E720)=1,ROW()-1,ROWS(Clean_Data[OrderID])+1)</f>
        <v>901</v>
      </c>
    </row>
    <row r="721" spans="1:33" ht="20" customHeight="1">
      <c r="A721" s="3" t="s">
        <v>1120</v>
      </c>
      <c r="B721" s="2">
        <v>46289</v>
      </c>
      <c r="C721" s="3">
        <v>23</v>
      </c>
      <c r="D721" s="3" t="s">
        <v>639</v>
      </c>
      <c r="E721" s="3" t="s">
        <v>91</v>
      </c>
      <c r="F721" s="3" t="s">
        <v>109</v>
      </c>
      <c r="G721" s="3" t="s">
        <v>122</v>
      </c>
      <c r="H721" s="3" t="s">
        <v>153</v>
      </c>
      <c r="I721" s="3">
        <v>5</v>
      </c>
      <c r="J721" s="11">
        <v>130</v>
      </c>
      <c r="K721" s="4">
        <v>0.15</v>
      </c>
      <c r="L721" s="3" t="s">
        <v>95</v>
      </c>
      <c r="M721" s="3">
        <v>34</v>
      </c>
      <c r="N721" s="3">
        <v>13</v>
      </c>
      <c r="O721" s="3">
        <v>4</v>
      </c>
      <c r="P721" s="11">
        <f>Clean_Data[[#This Row],[Quantity]]*Clean_Data[[#This Row],[UnitPrice]]</f>
        <v>650</v>
      </c>
      <c r="Q721" s="11">
        <f>ROUND(Clean_Data[[#This Row],[GrossSales]]*Clean_Data[[#This Row],[DiscountPct]],2)</f>
        <v>97.5</v>
      </c>
      <c r="R721" s="11">
        <f>IF(Clean_Data[[#This Row],[Status]]="Delivered",ROUND(Clean_Data[[#This Row],[GrossSales]]-Clean_Data[[#This Row],[DiscountAmount]],2),0)</f>
        <v>552.5</v>
      </c>
      <c r="S721" s="3" t="str">
        <f>IF(Clean_Data[[#This Row],[OrderHour]]&lt;6,"Night",IF(Clean_Data[[#This Row],[OrderHour]]&lt;12,"Morning",IF(Clean_Data[[#This Row],[OrderHour]]&lt;18,"Afternoon","Evening")))</f>
        <v>Evening</v>
      </c>
      <c r="T721" s="3" t="str">
        <f>TEXT(Clean_Data[[#This Row],[OrderDate]],"[$-409]ddd")</f>
        <v>Thu</v>
      </c>
      <c r="U721" s="3">
        <f>WEEKDAY(Clean_Data[[#This Row],[OrderDate]],2)</f>
        <v>4</v>
      </c>
      <c r="V721" s="3">
        <f>INT(Clean_Data[[#This Row],[OrderHour]]/6)+1</f>
        <v>4</v>
      </c>
      <c r="W721" s="3">
        <f>IF(Clean_Data[[#This Row],[Status]]="Delivered",1,0)</f>
        <v>1</v>
      </c>
      <c r="X721" s="3">
        <f>IF(Clean_Data[[#This Row],[Status]]="Delivered",IF(Clean_Data[[#This Row],[DeliveryMinutes]]&lt;=Dashboard!$X$5,1,0),0)</f>
        <v>0</v>
      </c>
      <c r="Y7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1" s="3">
        <f>IF(AND(Clean_Data[[#This Row],[Include]]=1,Clean_Data[[#This Row],[DeliveredFlag]]=1),1,0)</f>
        <v>1</v>
      </c>
      <c r="AA721" s="1">
        <f>IF(COUNTIF($D$2:D721,D721)=1,ROW()-1,ROWS(Clean_Data[OrderID])+1)</f>
        <v>901</v>
      </c>
      <c r="AB721" s="1">
        <f>IF(COUNTIF($F$2:F721,F721)=1,ROW()-1,ROWS(Clean_Data[OrderID])+1)</f>
        <v>901</v>
      </c>
      <c r="AC721" s="1">
        <f>IF(COUNTIF($G$2:G721,G721)=1,ROW()-1,ROWS(Clean_Data[OrderID])+1)</f>
        <v>901</v>
      </c>
      <c r="AD721" s="1">
        <f>IF(COUNTIF($H$2:H721,H721)=1,ROW()-1,ROWS(Clean_Data[OrderID])+1)</f>
        <v>901</v>
      </c>
      <c r="AE721" s="1">
        <f>IF(COUNTIF($V$2:V721,V721)=1,V721,ROWS(Clean_Data[OrderID])+1)</f>
        <v>901</v>
      </c>
      <c r="AF721" s="1">
        <f>IF(COUNTIF($U$2:U721,U721)=1,U721,ROWS(Clean_Data[OrderID])+1)</f>
        <v>901</v>
      </c>
      <c r="AG721" s="1">
        <f>IF(COUNTIF($E$2:E721,E721)=1,ROW()-1,ROWS(Clean_Data[OrderID])+1)</f>
        <v>901</v>
      </c>
    </row>
    <row r="722" spans="1:33" ht="20" customHeight="1">
      <c r="A722" s="3" t="s">
        <v>1121</v>
      </c>
      <c r="B722" s="2">
        <v>46290</v>
      </c>
      <c r="C722" s="3">
        <v>6</v>
      </c>
      <c r="D722" s="3" t="s">
        <v>188</v>
      </c>
      <c r="E722" s="3" t="s">
        <v>117</v>
      </c>
      <c r="F722" s="3" t="s">
        <v>92</v>
      </c>
      <c r="G722" s="3" t="s">
        <v>110</v>
      </c>
      <c r="H722" s="3" t="s">
        <v>111</v>
      </c>
      <c r="I722" s="3">
        <v>2</v>
      </c>
      <c r="J722" s="11">
        <v>115</v>
      </c>
      <c r="K722" s="4">
        <v>0</v>
      </c>
      <c r="L722" s="3" t="s">
        <v>95</v>
      </c>
      <c r="M722" s="3">
        <v>15</v>
      </c>
      <c r="N722" s="3">
        <v>14</v>
      </c>
      <c r="O722" s="3">
        <v>4</v>
      </c>
      <c r="P722" s="11">
        <f>Clean_Data[[#This Row],[Quantity]]*Clean_Data[[#This Row],[UnitPrice]]</f>
        <v>230</v>
      </c>
      <c r="Q722" s="11">
        <f>ROUND(Clean_Data[[#This Row],[GrossSales]]*Clean_Data[[#This Row],[DiscountPct]],2)</f>
        <v>0</v>
      </c>
      <c r="R722" s="11">
        <f>IF(Clean_Data[[#This Row],[Status]]="Delivered",ROUND(Clean_Data[[#This Row],[GrossSales]]-Clean_Data[[#This Row],[DiscountAmount]],2),0)</f>
        <v>230</v>
      </c>
      <c r="S722" s="3" t="str">
        <f>IF(Clean_Data[[#This Row],[OrderHour]]&lt;6,"Night",IF(Clean_Data[[#This Row],[OrderHour]]&lt;12,"Morning",IF(Clean_Data[[#This Row],[OrderHour]]&lt;18,"Afternoon","Evening")))</f>
        <v>Morning</v>
      </c>
      <c r="T722" s="3" t="str">
        <f>TEXT(Clean_Data[[#This Row],[OrderDate]],"[$-409]ddd")</f>
        <v>Fri</v>
      </c>
      <c r="U722" s="3">
        <f>WEEKDAY(Clean_Data[[#This Row],[OrderDate]],2)</f>
        <v>5</v>
      </c>
      <c r="V722" s="3">
        <f>INT(Clean_Data[[#This Row],[OrderHour]]/6)+1</f>
        <v>2</v>
      </c>
      <c r="W722" s="3">
        <f>IF(Clean_Data[[#This Row],[Status]]="Delivered",1,0)</f>
        <v>1</v>
      </c>
      <c r="X722" s="3">
        <f>IF(Clean_Data[[#This Row],[Status]]="Delivered",IF(Clean_Data[[#This Row],[DeliveryMinutes]]&lt;=Dashboard!$X$5,1,0),0)</f>
        <v>1</v>
      </c>
      <c r="Y7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2" s="3">
        <f>IF(AND(Clean_Data[[#This Row],[Include]]=1,Clean_Data[[#This Row],[DeliveredFlag]]=1),1,0)</f>
        <v>1</v>
      </c>
      <c r="AA722" s="1">
        <f>IF(COUNTIF($D$2:D722,D722)=1,ROW()-1,ROWS(Clean_Data[OrderID])+1)</f>
        <v>901</v>
      </c>
      <c r="AB722" s="1">
        <f>IF(COUNTIF($F$2:F722,F722)=1,ROW()-1,ROWS(Clean_Data[OrderID])+1)</f>
        <v>901</v>
      </c>
      <c r="AC722" s="1">
        <f>IF(COUNTIF($G$2:G722,G722)=1,ROW()-1,ROWS(Clean_Data[OrderID])+1)</f>
        <v>901</v>
      </c>
      <c r="AD722" s="1">
        <f>IF(COUNTIF($H$2:H722,H722)=1,ROW()-1,ROWS(Clean_Data[OrderID])+1)</f>
        <v>901</v>
      </c>
      <c r="AE722" s="1">
        <f>IF(COUNTIF($V$2:V722,V722)=1,V722,ROWS(Clean_Data[OrderID])+1)</f>
        <v>901</v>
      </c>
      <c r="AF722" s="1">
        <f>IF(COUNTIF($U$2:U722,U722)=1,U722,ROWS(Clean_Data[OrderID])+1)</f>
        <v>901</v>
      </c>
      <c r="AG722" s="1">
        <f>IF(COUNTIF($E$2:E722,E722)=1,ROW()-1,ROWS(Clean_Data[OrderID])+1)</f>
        <v>901</v>
      </c>
    </row>
    <row r="723" spans="1:33" ht="20" customHeight="1">
      <c r="A723" s="3" t="s">
        <v>1122</v>
      </c>
      <c r="B723" s="2">
        <v>46290</v>
      </c>
      <c r="C723" s="3">
        <v>10</v>
      </c>
      <c r="D723" s="3" t="s">
        <v>125</v>
      </c>
      <c r="E723" s="3" t="s">
        <v>91</v>
      </c>
      <c r="F723" s="3" t="s">
        <v>98</v>
      </c>
      <c r="G723" s="3" t="s">
        <v>99</v>
      </c>
      <c r="H723" s="3" t="s">
        <v>130</v>
      </c>
      <c r="I723" s="3">
        <v>1</v>
      </c>
      <c r="J723" s="11">
        <v>85</v>
      </c>
      <c r="K723" s="4">
        <v>0</v>
      </c>
      <c r="L723" s="3" t="s">
        <v>95</v>
      </c>
      <c r="M723" s="3">
        <v>32</v>
      </c>
      <c r="N723" s="3">
        <v>12</v>
      </c>
      <c r="O723" s="3">
        <v>4</v>
      </c>
      <c r="P723" s="11">
        <f>Clean_Data[[#This Row],[Quantity]]*Clean_Data[[#This Row],[UnitPrice]]</f>
        <v>85</v>
      </c>
      <c r="Q723" s="11">
        <f>ROUND(Clean_Data[[#This Row],[GrossSales]]*Clean_Data[[#This Row],[DiscountPct]],2)</f>
        <v>0</v>
      </c>
      <c r="R723" s="11">
        <f>IF(Clean_Data[[#This Row],[Status]]="Delivered",ROUND(Clean_Data[[#This Row],[GrossSales]]-Clean_Data[[#This Row],[DiscountAmount]],2),0)</f>
        <v>85</v>
      </c>
      <c r="S723" s="3" t="str">
        <f>IF(Clean_Data[[#This Row],[OrderHour]]&lt;6,"Night",IF(Clean_Data[[#This Row],[OrderHour]]&lt;12,"Morning",IF(Clean_Data[[#This Row],[OrderHour]]&lt;18,"Afternoon","Evening")))</f>
        <v>Morning</v>
      </c>
      <c r="T723" s="3" t="str">
        <f>TEXT(Clean_Data[[#This Row],[OrderDate]],"[$-409]ddd")</f>
        <v>Fri</v>
      </c>
      <c r="U723" s="3">
        <f>WEEKDAY(Clean_Data[[#This Row],[OrderDate]],2)</f>
        <v>5</v>
      </c>
      <c r="V723" s="3">
        <f>INT(Clean_Data[[#This Row],[OrderHour]]/6)+1</f>
        <v>2</v>
      </c>
      <c r="W723" s="3">
        <f>IF(Clean_Data[[#This Row],[Status]]="Delivered",1,0)</f>
        <v>1</v>
      </c>
      <c r="X723" s="3">
        <f>IF(Clean_Data[[#This Row],[Status]]="Delivered",IF(Clean_Data[[#This Row],[DeliveryMinutes]]&lt;=Dashboard!$X$5,1,0),0)</f>
        <v>0</v>
      </c>
      <c r="Y7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3" s="3">
        <f>IF(AND(Clean_Data[[#This Row],[Include]]=1,Clean_Data[[#This Row],[DeliveredFlag]]=1),1,0)</f>
        <v>1</v>
      </c>
      <c r="AA723" s="1">
        <f>IF(COUNTIF($D$2:D723,D723)=1,ROW()-1,ROWS(Clean_Data[OrderID])+1)</f>
        <v>901</v>
      </c>
      <c r="AB723" s="1">
        <f>IF(COUNTIF($F$2:F723,F723)=1,ROW()-1,ROWS(Clean_Data[OrderID])+1)</f>
        <v>901</v>
      </c>
      <c r="AC723" s="1">
        <f>IF(COUNTIF($G$2:G723,G723)=1,ROW()-1,ROWS(Clean_Data[OrderID])+1)</f>
        <v>901</v>
      </c>
      <c r="AD723" s="1">
        <f>IF(COUNTIF($H$2:H723,H723)=1,ROW()-1,ROWS(Clean_Data[OrderID])+1)</f>
        <v>901</v>
      </c>
      <c r="AE723" s="1">
        <f>IF(COUNTIF($V$2:V723,V723)=1,V723,ROWS(Clean_Data[OrderID])+1)</f>
        <v>901</v>
      </c>
      <c r="AF723" s="1">
        <f>IF(COUNTIF($U$2:U723,U723)=1,U723,ROWS(Clean_Data[OrderID])+1)</f>
        <v>901</v>
      </c>
      <c r="AG723" s="1">
        <f>IF(COUNTIF($E$2:E723,E723)=1,ROW()-1,ROWS(Clean_Data[OrderID])+1)</f>
        <v>901</v>
      </c>
    </row>
    <row r="724" spans="1:33" ht="20" customHeight="1">
      <c r="A724" s="3" t="s">
        <v>1123</v>
      </c>
      <c r="B724" s="2">
        <v>46290</v>
      </c>
      <c r="C724" s="3">
        <v>17</v>
      </c>
      <c r="D724" s="3" t="s">
        <v>262</v>
      </c>
      <c r="E724" s="3" t="s">
        <v>117</v>
      </c>
      <c r="F724" s="3" t="s">
        <v>98</v>
      </c>
      <c r="G724" s="3" t="s">
        <v>93</v>
      </c>
      <c r="H724" s="3" t="s">
        <v>146</v>
      </c>
      <c r="I724" s="3">
        <v>2</v>
      </c>
      <c r="J724" s="11">
        <v>110</v>
      </c>
      <c r="K724" s="4">
        <v>0.1</v>
      </c>
      <c r="L724" s="3" t="s">
        <v>95</v>
      </c>
      <c r="M724" s="3">
        <v>36</v>
      </c>
      <c r="N724" s="3">
        <v>15</v>
      </c>
      <c r="O724" s="3">
        <v>3</v>
      </c>
      <c r="P724" s="11">
        <f>Clean_Data[[#This Row],[Quantity]]*Clean_Data[[#This Row],[UnitPrice]]</f>
        <v>220</v>
      </c>
      <c r="Q724" s="11">
        <f>ROUND(Clean_Data[[#This Row],[GrossSales]]*Clean_Data[[#This Row],[DiscountPct]],2)</f>
        <v>22</v>
      </c>
      <c r="R724" s="11">
        <f>IF(Clean_Data[[#This Row],[Status]]="Delivered",ROUND(Clean_Data[[#This Row],[GrossSales]]-Clean_Data[[#This Row],[DiscountAmount]],2),0)</f>
        <v>198</v>
      </c>
      <c r="S724" s="3" t="str">
        <f>IF(Clean_Data[[#This Row],[OrderHour]]&lt;6,"Night",IF(Clean_Data[[#This Row],[OrderHour]]&lt;12,"Morning",IF(Clean_Data[[#This Row],[OrderHour]]&lt;18,"Afternoon","Evening")))</f>
        <v>Afternoon</v>
      </c>
      <c r="T724" s="3" t="str">
        <f>TEXT(Clean_Data[[#This Row],[OrderDate]],"[$-409]ddd")</f>
        <v>Fri</v>
      </c>
      <c r="U724" s="3">
        <f>WEEKDAY(Clean_Data[[#This Row],[OrderDate]],2)</f>
        <v>5</v>
      </c>
      <c r="V724" s="3">
        <f>INT(Clean_Data[[#This Row],[OrderHour]]/6)+1</f>
        <v>3</v>
      </c>
      <c r="W724" s="3">
        <f>IF(Clean_Data[[#This Row],[Status]]="Delivered",1,0)</f>
        <v>1</v>
      </c>
      <c r="X724" s="3">
        <f>IF(Clean_Data[[#This Row],[Status]]="Delivered",IF(Clean_Data[[#This Row],[DeliveryMinutes]]&lt;=Dashboard!$X$5,1,0),0)</f>
        <v>0</v>
      </c>
      <c r="Y7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4" s="3">
        <f>IF(AND(Clean_Data[[#This Row],[Include]]=1,Clean_Data[[#This Row],[DeliveredFlag]]=1),1,0)</f>
        <v>1</v>
      </c>
      <c r="AA724" s="1">
        <f>IF(COUNTIF($D$2:D724,D724)=1,ROW()-1,ROWS(Clean_Data[OrderID])+1)</f>
        <v>901</v>
      </c>
      <c r="AB724" s="1">
        <f>IF(COUNTIF($F$2:F724,F724)=1,ROW()-1,ROWS(Clean_Data[OrderID])+1)</f>
        <v>901</v>
      </c>
      <c r="AC724" s="1">
        <f>IF(COUNTIF($G$2:G724,G724)=1,ROW()-1,ROWS(Clean_Data[OrderID])+1)</f>
        <v>901</v>
      </c>
      <c r="AD724" s="1">
        <f>IF(COUNTIF($H$2:H724,H724)=1,ROW()-1,ROWS(Clean_Data[OrderID])+1)</f>
        <v>901</v>
      </c>
      <c r="AE724" s="1">
        <f>IF(COUNTIF($V$2:V724,V724)=1,V724,ROWS(Clean_Data[OrderID])+1)</f>
        <v>901</v>
      </c>
      <c r="AF724" s="1">
        <f>IF(COUNTIF($U$2:U724,U724)=1,U724,ROWS(Clean_Data[OrderID])+1)</f>
        <v>901</v>
      </c>
      <c r="AG724" s="1">
        <f>IF(COUNTIF($E$2:E724,E724)=1,ROW()-1,ROWS(Clean_Data[OrderID])+1)</f>
        <v>901</v>
      </c>
    </row>
    <row r="725" spans="1:33" ht="20" customHeight="1">
      <c r="A725" s="3" t="s">
        <v>1124</v>
      </c>
      <c r="B725" s="2">
        <v>46290</v>
      </c>
      <c r="C725" s="3">
        <v>9</v>
      </c>
      <c r="D725" s="3" t="s">
        <v>320</v>
      </c>
      <c r="E725" s="3" t="s">
        <v>91</v>
      </c>
      <c r="F725" s="3" t="s">
        <v>98</v>
      </c>
      <c r="G725" s="3" t="s">
        <v>135</v>
      </c>
      <c r="H725" s="3" t="s">
        <v>217</v>
      </c>
      <c r="I725" s="3">
        <v>3</v>
      </c>
      <c r="J725" s="11">
        <v>65</v>
      </c>
      <c r="K725" s="4">
        <v>0</v>
      </c>
      <c r="L725" s="3" t="s">
        <v>95</v>
      </c>
      <c r="M725" s="3">
        <v>32</v>
      </c>
      <c r="N725" s="3">
        <v>4</v>
      </c>
      <c r="O725" s="3">
        <v>5</v>
      </c>
      <c r="P725" s="11">
        <f>Clean_Data[[#This Row],[Quantity]]*Clean_Data[[#This Row],[UnitPrice]]</f>
        <v>195</v>
      </c>
      <c r="Q725" s="11">
        <f>ROUND(Clean_Data[[#This Row],[GrossSales]]*Clean_Data[[#This Row],[DiscountPct]],2)</f>
        <v>0</v>
      </c>
      <c r="R725" s="11">
        <f>IF(Clean_Data[[#This Row],[Status]]="Delivered",ROUND(Clean_Data[[#This Row],[GrossSales]]-Clean_Data[[#This Row],[DiscountAmount]],2),0)</f>
        <v>195</v>
      </c>
      <c r="S725" s="3" t="str">
        <f>IF(Clean_Data[[#This Row],[OrderHour]]&lt;6,"Night",IF(Clean_Data[[#This Row],[OrderHour]]&lt;12,"Morning",IF(Clean_Data[[#This Row],[OrderHour]]&lt;18,"Afternoon","Evening")))</f>
        <v>Morning</v>
      </c>
      <c r="T725" s="3" t="str">
        <f>TEXT(Clean_Data[[#This Row],[OrderDate]],"[$-409]ddd")</f>
        <v>Fri</v>
      </c>
      <c r="U725" s="3">
        <f>WEEKDAY(Clean_Data[[#This Row],[OrderDate]],2)</f>
        <v>5</v>
      </c>
      <c r="V725" s="3">
        <f>INT(Clean_Data[[#This Row],[OrderHour]]/6)+1</f>
        <v>2</v>
      </c>
      <c r="W725" s="3">
        <f>IF(Clean_Data[[#This Row],[Status]]="Delivered",1,0)</f>
        <v>1</v>
      </c>
      <c r="X725" s="3">
        <f>IF(Clean_Data[[#This Row],[Status]]="Delivered",IF(Clean_Data[[#This Row],[DeliveryMinutes]]&lt;=Dashboard!$X$5,1,0),0)</f>
        <v>0</v>
      </c>
      <c r="Y7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5" s="3">
        <f>IF(AND(Clean_Data[[#This Row],[Include]]=1,Clean_Data[[#This Row],[DeliveredFlag]]=1),1,0)</f>
        <v>1</v>
      </c>
      <c r="AA725" s="1">
        <f>IF(COUNTIF($D$2:D725,D725)=1,ROW()-1,ROWS(Clean_Data[OrderID])+1)</f>
        <v>901</v>
      </c>
      <c r="AB725" s="1">
        <f>IF(COUNTIF($F$2:F725,F725)=1,ROW()-1,ROWS(Clean_Data[OrderID])+1)</f>
        <v>901</v>
      </c>
      <c r="AC725" s="1">
        <f>IF(COUNTIF($G$2:G725,G725)=1,ROW()-1,ROWS(Clean_Data[OrderID])+1)</f>
        <v>901</v>
      </c>
      <c r="AD725" s="1">
        <f>IF(COUNTIF($H$2:H725,H725)=1,ROW()-1,ROWS(Clean_Data[OrderID])+1)</f>
        <v>901</v>
      </c>
      <c r="AE725" s="1">
        <f>IF(COUNTIF($V$2:V725,V725)=1,V725,ROWS(Clean_Data[OrderID])+1)</f>
        <v>901</v>
      </c>
      <c r="AF725" s="1">
        <f>IF(COUNTIF($U$2:U725,U725)=1,U725,ROWS(Clean_Data[OrderID])+1)</f>
        <v>901</v>
      </c>
      <c r="AG725" s="1">
        <f>IF(COUNTIF($E$2:E725,E725)=1,ROW()-1,ROWS(Clean_Data[OrderID])+1)</f>
        <v>901</v>
      </c>
    </row>
    <row r="726" spans="1:33" ht="20" customHeight="1">
      <c r="A726" s="3" t="s">
        <v>1125</v>
      </c>
      <c r="B726" s="2">
        <v>46290</v>
      </c>
      <c r="C726" s="3">
        <v>17</v>
      </c>
      <c r="D726" s="3" t="s">
        <v>1026</v>
      </c>
      <c r="E726" s="3" t="s">
        <v>91</v>
      </c>
      <c r="F726" s="3" t="s">
        <v>109</v>
      </c>
      <c r="G726" s="3" t="s">
        <v>110</v>
      </c>
      <c r="H726" s="3" t="s">
        <v>206</v>
      </c>
      <c r="I726" s="3">
        <v>2</v>
      </c>
      <c r="J726" s="11">
        <v>220</v>
      </c>
      <c r="K726" s="4">
        <v>0.05</v>
      </c>
      <c r="L726" s="3" t="s">
        <v>95</v>
      </c>
      <c r="M726" s="3">
        <v>25</v>
      </c>
      <c r="N726" s="3">
        <v>7</v>
      </c>
      <c r="O726" s="3">
        <v>5</v>
      </c>
      <c r="P726" s="11">
        <f>Clean_Data[[#This Row],[Quantity]]*Clean_Data[[#This Row],[UnitPrice]]</f>
        <v>440</v>
      </c>
      <c r="Q726" s="11">
        <f>ROUND(Clean_Data[[#This Row],[GrossSales]]*Clean_Data[[#This Row],[DiscountPct]],2)</f>
        <v>22</v>
      </c>
      <c r="R726" s="11">
        <f>IF(Clean_Data[[#This Row],[Status]]="Delivered",ROUND(Clean_Data[[#This Row],[GrossSales]]-Clean_Data[[#This Row],[DiscountAmount]],2),0)</f>
        <v>418</v>
      </c>
      <c r="S726" s="3" t="str">
        <f>IF(Clean_Data[[#This Row],[OrderHour]]&lt;6,"Night",IF(Clean_Data[[#This Row],[OrderHour]]&lt;12,"Morning",IF(Clean_Data[[#This Row],[OrderHour]]&lt;18,"Afternoon","Evening")))</f>
        <v>Afternoon</v>
      </c>
      <c r="T726" s="3" t="str">
        <f>TEXT(Clean_Data[[#This Row],[OrderDate]],"[$-409]ddd")</f>
        <v>Fri</v>
      </c>
      <c r="U726" s="3">
        <f>WEEKDAY(Clean_Data[[#This Row],[OrderDate]],2)</f>
        <v>5</v>
      </c>
      <c r="V726" s="3">
        <f>INT(Clean_Data[[#This Row],[OrderHour]]/6)+1</f>
        <v>3</v>
      </c>
      <c r="W726" s="3">
        <f>IF(Clean_Data[[#This Row],[Status]]="Delivered",1,0)</f>
        <v>1</v>
      </c>
      <c r="X726" s="3">
        <f>IF(Clean_Data[[#This Row],[Status]]="Delivered",IF(Clean_Data[[#This Row],[DeliveryMinutes]]&lt;=Dashboard!$X$5,1,0),0)</f>
        <v>1</v>
      </c>
      <c r="Y7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6" s="3">
        <f>IF(AND(Clean_Data[[#This Row],[Include]]=1,Clean_Data[[#This Row],[DeliveredFlag]]=1),1,0)</f>
        <v>1</v>
      </c>
      <c r="AA726" s="1">
        <f>IF(COUNTIF($D$2:D726,D726)=1,ROW()-1,ROWS(Clean_Data[OrderID])+1)</f>
        <v>901</v>
      </c>
      <c r="AB726" s="1">
        <f>IF(COUNTIF($F$2:F726,F726)=1,ROW()-1,ROWS(Clean_Data[OrderID])+1)</f>
        <v>901</v>
      </c>
      <c r="AC726" s="1">
        <f>IF(COUNTIF($G$2:G726,G726)=1,ROW()-1,ROWS(Clean_Data[OrderID])+1)</f>
        <v>901</v>
      </c>
      <c r="AD726" s="1">
        <f>IF(COUNTIF($H$2:H726,H726)=1,ROW()-1,ROWS(Clean_Data[OrderID])+1)</f>
        <v>901</v>
      </c>
      <c r="AE726" s="1">
        <f>IF(COUNTIF($V$2:V726,V726)=1,V726,ROWS(Clean_Data[OrderID])+1)</f>
        <v>901</v>
      </c>
      <c r="AF726" s="1">
        <f>IF(COUNTIF($U$2:U726,U726)=1,U726,ROWS(Clean_Data[OrderID])+1)</f>
        <v>901</v>
      </c>
      <c r="AG726" s="1">
        <f>IF(COUNTIF($E$2:E726,E726)=1,ROW()-1,ROWS(Clean_Data[OrderID])+1)</f>
        <v>901</v>
      </c>
    </row>
    <row r="727" spans="1:33" ht="20" customHeight="1">
      <c r="A727" s="3" t="s">
        <v>1126</v>
      </c>
      <c r="B727" s="2">
        <v>46290</v>
      </c>
      <c r="C727" s="3">
        <v>12</v>
      </c>
      <c r="D727" s="3" t="s">
        <v>171</v>
      </c>
      <c r="E727" s="3" t="s">
        <v>91</v>
      </c>
      <c r="F727" s="3" t="s">
        <v>98</v>
      </c>
      <c r="G727" s="3" t="s">
        <v>122</v>
      </c>
      <c r="H727" s="3" t="s">
        <v>153</v>
      </c>
      <c r="I727" s="3">
        <v>3</v>
      </c>
      <c r="J727" s="11">
        <v>130</v>
      </c>
      <c r="K727" s="4">
        <v>0.1</v>
      </c>
      <c r="L727" s="3" t="s">
        <v>95</v>
      </c>
      <c r="M727" s="3">
        <v>13</v>
      </c>
      <c r="N727" s="3">
        <v>12</v>
      </c>
      <c r="O727" s="3">
        <v>4</v>
      </c>
      <c r="P727" s="11">
        <f>Clean_Data[[#This Row],[Quantity]]*Clean_Data[[#This Row],[UnitPrice]]</f>
        <v>390</v>
      </c>
      <c r="Q727" s="11">
        <f>ROUND(Clean_Data[[#This Row],[GrossSales]]*Clean_Data[[#This Row],[DiscountPct]],2)</f>
        <v>39</v>
      </c>
      <c r="R727" s="11">
        <f>IF(Clean_Data[[#This Row],[Status]]="Delivered",ROUND(Clean_Data[[#This Row],[GrossSales]]-Clean_Data[[#This Row],[DiscountAmount]],2),0)</f>
        <v>351</v>
      </c>
      <c r="S727" s="3" t="str">
        <f>IF(Clean_Data[[#This Row],[OrderHour]]&lt;6,"Night",IF(Clean_Data[[#This Row],[OrderHour]]&lt;12,"Morning",IF(Clean_Data[[#This Row],[OrderHour]]&lt;18,"Afternoon","Evening")))</f>
        <v>Afternoon</v>
      </c>
      <c r="T727" s="3" t="str">
        <f>TEXT(Clean_Data[[#This Row],[OrderDate]],"[$-409]ddd")</f>
        <v>Fri</v>
      </c>
      <c r="U727" s="3">
        <f>WEEKDAY(Clean_Data[[#This Row],[OrderDate]],2)</f>
        <v>5</v>
      </c>
      <c r="V727" s="3">
        <f>INT(Clean_Data[[#This Row],[OrderHour]]/6)+1</f>
        <v>3</v>
      </c>
      <c r="W727" s="3">
        <f>IF(Clean_Data[[#This Row],[Status]]="Delivered",1,0)</f>
        <v>1</v>
      </c>
      <c r="X727" s="3">
        <f>IF(Clean_Data[[#This Row],[Status]]="Delivered",IF(Clean_Data[[#This Row],[DeliveryMinutes]]&lt;=Dashboard!$X$5,1,0),0)</f>
        <v>1</v>
      </c>
      <c r="Y7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7" s="3">
        <f>IF(AND(Clean_Data[[#This Row],[Include]]=1,Clean_Data[[#This Row],[DeliveredFlag]]=1),1,0)</f>
        <v>1</v>
      </c>
      <c r="AA727" s="1">
        <f>IF(COUNTIF($D$2:D727,D727)=1,ROW()-1,ROWS(Clean_Data[OrderID])+1)</f>
        <v>901</v>
      </c>
      <c r="AB727" s="1">
        <f>IF(COUNTIF($F$2:F727,F727)=1,ROW()-1,ROWS(Clean_Data[OrderID])+1)</f>
        <v>901</v>
      </c>
      <c r="AC727" s="1">
        <f>IF(COUNTIF($G$2:G727,G727)=1,ROW()-1,ROWS(Clean_Data[OrderID])+1)</f>
        <v>901</v>
      </c>
      <c r="AD727" s="1">
        <f>IF(COUNTIF($H$2:H727,H727)=1,ROW()-1,ROWS(Clean_Data[OrderID])+1)</f>
        <v>901</v>
      </c>
      <c r="AE727" s="1">
        <f>IF(COUNTIF($V$2:V727,V727)=1,V727,ROWS(Clean_Data[OrderID])+1)</f>
        <v>901</v>
      </c>
      <c r="AF727" s="1">
        <f>IF(COUNTIF($U$2:U727,U727)=1,U727,ROWS(Clean_Data[OrderID])+1)</f>
        <v>901</v>
      </c>
      <c r="AG727" s="1">
        <f>IF(COUNTIF($E$2:E727,E727)=1,ROW()-1,ROWS(Clean_Data[OrderID])+1)</f>
        <v>901</v>
      </c>
    </row>
    <row r="728" spans="1:33" ht="20" customHeight="1">
      <c r="A728" s="3" t="s">
        <v>1127</v>
      </c>
      <c r="B728" s="2">
        <v>46290</v>
      </c>
      <c r="C728" s="3">
        <v>19</v>
      </c>
      <c r="D728" s="3" t="s">
        <v>301</v>
      </c>
      <c r="E728" s="3" t="s">
        <v>91</v>
      </c>
      <c r="F728" s="3" t="s">
        <v>121</v>
      </c>
      <c r="G728" s="3" t="s">
        <v>93</v>
      </c>
      <c r="H728" s="3" t="s">
        <v>118</v>
      </c>
      <c r="I728" s="3">
        <v>2</v>
      </c>
      <c r="J728" s="11">
        <v>45</v>
      </c>
      <c r="K728" s="4">
        <v>0.1</v>
      </c>
      <c r="L728" s="3" t="s">
        <v>95</v>
      </c>
      <c r="M728" s="3">
        <v>30</v>
      </c>
      <c r="N728" s="3">
        <v>11</v>
      </c>
      <c r="O728" s="3">
        <v>4</v>
      </c>
      <c r="P728" s="11">
        <f>Clean_Data[[#This Row],[Quantity]]*Clean_Data[[#This Row],[UnitPrice]]</f>
        <v>90</v>
      </c>
      <c r="Q728" s="11">
        <f>ROUND(Clean_Data[[#This Row],[GrossSales]]*Clean_Data[[#This Row],[DiscountPct]],2)</f>
        <v>9</v>
      </c>
      <c r="R728" s="11">
        <f>IF(Clean_Data[[#This Row],[Status]]="Delivered",ROUND(Clean_Data[[#This Row],[GrossSales]]-Clean_Data[[#This Row],[DiscountAmount]],2),0)</f>
        <v>81</v>
      </c>
      <c r="S728" s="3" t="str">
        <f>IF(Clean_Data[[#This Row],[OrderHour]]&lt;6,"Night",IF(Clean_Data[[#This Row],[OrderHour]]&lt;12,"Morning",IF(Clean_Data[[#This Row],[OrderHour]]&lt;18,"Afternoon","Evening")))</f>
        <v>Evening</v>
      </c>
      <c r="T728" s="3" t="str">
        <f>TEXT(Clean_Data[[#This Row],[OrderDate]],"[$-409]ddd")</f>
        <v>Fri</v>
      </c>
      <c r="U728" s="3">
        <f>WEEKDAY(Clean_Data[[#This Row],[OrderDate]],2)</f>
        <v>5</v>
      </c>
      <c r="V728" s="3">
        <f>INT(Clean_Data[[#This Row],[OrderHour]]/6)+1</f>
        <v>4</v>
      </c>
      <c r="W728" s="3">
        <f>IF(Clean_Data[[#This Row],[Status]]="Delivered",1,0)</f>
        <v>1</v>
      </c>
      <c r="X728" s="3">
        <f>IF(Clean_Data[[#This Row],[Status]]="Delivered",IF(Clean_Data[[#This Row],[DeliveryMinutes]]&lt;=Dashboard!$X$5,1,0),0)</f>
        <v>1</v>
      </c>
      <c r="Y7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8" s="3">
        <f>IF(AND(Clean_Data[[#This Row],[Include]]=1,Clean_Data[[#This Row],[DeliveredFlag]]=1),1,0)</f>
        <v>1</v>
      </c>
      <c r="AA728" s="1">
        <f>IF(COUNTIF($D$2:D728,D728)=1,ROW()-1,ROWS(Clean_Data[OrderID])+1)</f>
        <v>901</v>
      </c>
      <c r="AB728" s="1">
        <f>IF(COUNTIF($F$2:F728,F728)=1,ROW()-1,ROWS(Clean_Data[OrderID])+1)</f>
        <v>901</v>
      </c>
      <c r="AC728" s="1">
        <f>IF(COUNTIF($G$2:G728,G728)=1,ROW()-1,ROWS(Clean_Data[OrderID])+1)</f>
        <v>901</v>
      </c>
      <c r="AD728" s="1">
        <f>IF(COUNTIF($H$2:H728,H728)=1,ROW()-1,ROWS(Clean_Data[OrderID])+1)</f>
        <v>901</v>
      </c>
      <c r="AE728" s="1">
        <f>IF(COUNTIF($V$2:V728,V728)=1,V728,ROWS(Clean_Data[OrderID])+1)</f>
        <v>901</v>
      </c>
      <c r="AF728" s="1">
        <f>IF(COUNTIF($U$2:U728,U728)=1,U728,ROWS(Clean_Data[OrderID])+1)</f>
        <v>901</v>
      </c>
      <c r="AG728" s="1">
        <f>IF(COUNTIF($E$2:E728,E728)=1,ROW()-1,ROWS(Clean_Data[OrderID])+1)</f>
        <v>901</v>
      </c>
    </row>
    <row r="729" spans="1:33" ht="20" customHeight="1">
      <c r="A729" s="3" t="s">
        <v>1128</v>
      </c>
      <c r="B729" s="2">
        <v>46290</v>
      </c>
      <c r="C729" s="3">
        <v>9</v>
      </c>
      <c r="D729" s="3" t="s">
        <v>845</v>
      </c>
      <c r="E729" s="3" t="s">
        <v>91</v>
      </c>
      <c r="F729" s="3" t="s">
        <v>98</v>
      </c>
      <c r="G729" s="3" t="s">
        <v>135</v>
      </c>
      <c r="H729" s="3" t="s">
        <v>136</v>
      </c>
      <c r="I729" s="3">
        <v>3</v>
      </c>
      <c r="J729" s="11">
        <v>40</v>
      </c>
      <c r="K729" s="4">
        <v>0.1</v>
      </c>
      <c r="L729" s="3" t="s">
        <v>95</v>
      </c>
      <c r="M729" s="3">
        <v>32</v>
      </c>
      <c r="N729" s="3">
        <v>15</v>
      </c>
      <c r="O729" s="3">
        <v>5</v>
      </c>
      <c r="P729" s="11">
        <f>Clean_Data[[#This Row],[Quantity]]*Clean_Data[[#This Row],[UnitPrice]]</f>
        <v>120</v>
      </c>
      <c r="Q729" s="11">
        <f>ROUND(Clean_Data[[#This Row],[GrossSales]]*Clean_Data[[#This Row],[DiscountPct]],2)</f>
        <v>12</v>
      </c>
      <c r="R729" s="11">
        <f>IF(Clean_Data[[#This Row],[Status]]="Delivered",ROUND(Clean_Data[[#This Row],[GrossSales]]-Clean_Data[[#This Row],[DiscountAmount]],2),0)</f>
        <v>108</v>
      </c>
      <c r="S729" s="3" t="str">
        <f>IF(Clean_Data[[#This Row],[OrderHour]]&lt;6,"Night",IF(Clean_Data[[#This Row],[OrderHour]]&lt;12,"Morning",IF(Clean_Data[[#This Row],[OrderHour]]&lt;18,"Afternoon","Evening")))</f>
        <v>Morning</v>
      </c>
      <c r="T729" s="3" t="str">
        <f>TEXT(Clean_Data[[#This Row],[OrderDate]],"[$-409]ddd")</f>
        <v>Fri</v>
      </c>
      <c r="U729" s="3">
        <f>WEEKDAY(Clean_Data[[#This Row],[OrderDate]],2)</f>
        <v>5</v>
      </c>
      <c r="V729" s="3">
        <f>INT(Clean_Data[[#This Row],[OrderHour]]/6)+1</f>
        <v>2</v>
      </c>
      <c r="W729" s="3">
        <f>IF(Clean_Data[[#This Row],[Status]]="Delivered",1,0)</f>
        <v>1</v>
      </c>
      <c r="X729" s="3">
        <f>IF(Clean_Data[[#This Row],[Status]]="Delivered",IF(Clean_Data[[#This Row],[DeliveryMinutes]]&lt;=Dashboard!$X$5,1,0),0)</f>
        <v>0</v>
      </c>
      <c r="Y7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29" s="3">
        <f>IF(AND(Clean_Data[[#This Row],[Include]]=1,Clean_Data[[#This Row],[DeliveredFlag]]=1),1,0)</f>
        <v>1</v>
      </c>
      <c r="AA729" s="1">
        <f>IF(COUNTIF($D$2:D729,D729)=1,ROW()-1,ROWS(Clean_Data[OrderID])+1)</f>
        <v>901</v>
      </c>
      <c r="AB729" s="1">
        <f>IF(COUNTIF($F$2:F729,F729)=1,ROW()-1,ROWS(Clean_Data[OrderID])+1)</f>
        <v>901</v>
      </c>
      <c r="AC729" s="1">
        <f>IF(COUNTIF($G$2:G729,G729)=1,ROW()-1,ROWS(Clean_Data[OrderID])+1)</f>
        <v>901</v>
      </c>
      <c r="AD729" s="1">
        <f>IF(COUNTIF($H$2:H729,H729)=1,ROW()-1,ROWS(Clean_Data[OrderID])+1)</f>
        <v>901</v>
      </c>
      <c r="AE729" s="1">
        <f>IF(COUNTIF($V$2:V729,V729)=1,V729,ROWS(Clean_Data[OrderID])+1)</f>
        <v>901</v>
      </c>
      <c r="AF729" s="1">
        <f>IF(COUNTIF($U$2:U729,U729)=1,U729,ROWS(Clean_Data[OrderID])+1)</f>
        <v>901</v>
      </c>
      <c r="AG729" s="1">
        <f>IF(COUNTIF($E$2:E729,E729)=1,ROW()-1,ROWS(Clean_Data[OrderID])+1)</f>
        <v>901</v>
      </c>
    </row>
    <row r="730" spans="1:33" ht="20" customHeight="1">
      <c r="A730" s="3" t="s">
        <v>1129</v>
      </c>
      <c r="B730" s="2">
        <v>46290</v>
      </c>
      <c r="C730" s="3">
        <v>13</v>
      </c>
      <c r="D730" s="3" t="s">
        <v>525</v>
      </c>
      <c r="E730" s="3" t="s">
        <v>91</v>
      </c>
      <c r="F730" s="3" t="s">
        <v>139</v>
      </c>
      <c r="G730" s="3" t="s">
        <v>174</v>
      </c>
      <c r="H730" s="3" t="s">
        <v>184</v>
      </c>
      <c r="I730" s="3">
        <v>3</v>
      </c>
      <c r="J730" s="11">
        <v>62</v>
      </c>
      <c r="K730" s="4">
        <v>0.05</v>
      </c>
      <c r="L730" s="3" t="s">
        <v>95</v>
      </c>
      <c r="M730" s="3">
        <v>23</v>
      </c>
      <c r="N730" s="3">
        <v>13</v>
      </c>
      <c r="O730" s="3">
        <v>5</v>
      </c>
      <c r="P730" s="11">
        <f>Clean_Data[[#This Row],[Quantity]]*Clean_Data[[#This Row],[UnitPrice]]</f>
        <v>186</v>
      </c>
      <c r="Q730" s="11">
        <f>ROUND(Clean_Data[[#This Row],[GrossSales]]*Clean_Data[[#This Row],[DiscountPct]],2)</f>
        <v>9.3000000000000007</v>
      </c>
      <c r="R730" s="11">
        <f>IF(Clean_Data[[#This Row],[Status]]="Delivered",ROUND(Clean_Data[[#This Row],[GrossSales]]-Clean_Data[[#This Row],[DiscountAmount]],2),0)</f>
        <v>176.7</v>
      </c>
      <c r="S730" s="3" t="str">
        <f>IF(Clean_Data[[#This Row],[OrderHour]]&lt;6,"Night",IF(Clean_Data[[#This Row],[OrderHour]]&lt;12,"Morning",IF(Clean_Data[[#This Row],[OrderHour]]&lt;18,"Afternoon","Evening")))</f>
        <v>Afternoon</v>
      </c>
      <c r="T730" s="3" t="str">
        <f>TEXT(Clean_Data[[#This Row],[OrderDate]],"[$-409]ddd")</f>
        <v>Fri</v>
      </c>
      <c r="U730" s="3">
        <f>WEEKDAY(Clean_Data[[#This Row],[OrderDate]],2)</f>
        <v>5</v>
      </c>
      <c r="V730" s="3">
        <f>INT(Clean_Data[[#This Row],[OrderHour]]/6)+1</f>
        <v>3</v>
      </c>
      <c r="W730" s="3">
        <f>IF(Clean_Data[[#This Row],[Status]]="Delivered",1,0)</f>
        <v>1</v>
      </c>
      <c r="X730" s="3">
        <f>IF(Clean_Data[[#This Row],[Status]]="Delivered",IF(Clean_Data[[#This Row],[DeliveryMinutes]]&lt;=Dashboard!$X$5,1,0),0)</f>
        <v>1</v>
      </c>
      <c r="Y7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0" s="3">
        <f>IF(AND(Clean_Data[[#This Row],[Include]]=1,Clean_Data[[#This Row],[DeliveredFlag]]=1),1,0)</f>
        <v>1</v>
      </c>
      <c r="AA730" s="1">
        <f>IF(COUNTIF($D$2:D730,D730)=1,ROW()-1,ROWS(Clean_Data[OrderID])+1)</f>
        <v>901</v>
      </c>
      <c r="AB730" s="1">
        <f>IF(COUNTIF($F$2:F730,F730)=1,ROW()-1,ROWS(Clean_Data[OrderID])+1)</f>
        <v>901</v>
      </c>
      <c r="AC730" s="1">
        <f>IF(COUNTIF($G$2:G730,G730)=1,ROW()-1,ROWS(Clean_Data[OrderID])+1)</f>
        <v>901</v>
      </c>
      <c r="AD730" s="1">
        <f>IF(COUNTIF($H$2:H730,H730)=1,ROW()-1,ROWS(Clean_Data[OrderID])+1)</f>
        <v>901</v>
      </c>
      <c r="AE730" s="1">
        <f>IF(COUNTIF($V$2:V730,V730)=1,V730,ROWS(Clean_Data[OrderID])+1)</f>
        <v>901</v>
      </c>
      <c r="AF730" s="1">
        <f>IF(COUNTIF($U$2:U730,U730)=1,U730,ROWS(Clean_Data[OrderID])+1)</f>
        <v>901</v>
      </c>
      <c r="AG730" s="1">
        <f>IF(COUNTIF($E$2:E730,E730)=1,ROW()-1,ROWS(Clean_Data[OrderID])+1)</f>
        <v>901</v>
      </c>
    </row>
    <row r="731" spans="1:33" ht="20" customHeight="1">
      <c r="A731" s="3" t="s">
        <v>1130</v>
      </c>
      <c r="B731" s="2">
        <v>46290</v>
      </c>
      <c r="C731" s="3">
        <v>12</v>
      </c>
      <c r="D731" s="3" t="s">
        <v>247</v>
      </c>
      <c r="E731" s="3" t="s">
        <v>117</v>
      </c>
      <c r="F731" s="3" t="s">
        <v>92</v>
      </c>
      <c r="G731" s="3" t="s">
        <v>174</v>
      </c>
      <c r="H731" s="3" t="s">
        <v>175</v>
      </c>
      <c r="I731" s="3">
        <v>1</v>
      </c>
      <c r="J731" s="11">
        <v>155</v>
      </c>
      <c r="K731" s="4">
        <v>0.15</v>
      </c>
      <c r="L731" s="3" t="s">
        <v>95</v>
      </c>
      <c r="M731" s="3">
        <v>34</v>
      </c>
      <c r="N731" s="3">
        <v>8</v>
      </c>
      <c r="O731" s="3">
        <v>3</v>
      </c>
      <c r="P731" s="11">
        <f>Clean_Data[[#This Row],[Quantity]]*Clean_Data[[#This Row],[UnitPrice]]</f>
        <v>155</v>
      </c>
      <c r="Q731" s="11">
        <f>ROUND(Clean_Data[[#This Row],[GrossSales]]*Clean_Data[[#This Row],[DiscountPct]],2)</f>
        <v>23.25</v>
      </c>
      <c r="R731" s="11">
        <f>IF(Clean_Data[[#This Row],[Status]]="Delivered",ROUND(Clean_Data[[#This Row],[GrossSales]]-Clean_Data[[#This Row],[DiscountAmount]],2),0)</f>
        <v>131.75</v>
      </c>
      <c r="S731" s="3" t="str">
        <f>IF(Clean_Data[[#This Row],[OrderHour]]&lt;6,"Night",IF(Clean_Data[[#This Row],[OrderHour]]&lt;12,"Morning",IF(Clean_Data[[#This Row],[OrderHour]]&lt;18,"Afternoon","Evening")))</f>
        <v>Afternoon</v>
      </c>
      <c r="T731" s="3" t="str">
        <f>TEXT(Clean_Data[[#This Row],[OrderDate]],"[$-409]ddd")</f>
        <v>Fri</v>
      </c>
      <c r="U731" s="3">
        <f>WEEKDAY(Clean_Data[[#This Row],[OrderDate]],2)</f>
        <v>5</v>
      </c>
      <c r="V731" s="3">
        <f>INT(Clean_Data[[#This Row],[OrderHour]]/6)+1</f>
        <v>3</v>
      </c>
      <c r="W731" s="3">
        <f>IF(Clean_Data[[#This Row],[Status]]="Delivered",1,0)</f>
        <v>1</v>
      </c>
      <c r="X731" s="3">
        <f>IF(Clean_Data[[#This Row],[Status]]="Delivered",IF(Clean_Data[[#This Row],[DeliveryMinutes]]&lt;=Dashboard!$X$5,1,0),0)</f>
        <v>0</v>
      </c>
      <c r="Y7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1" s="3">
        <f>IF(AND(Clean_Data[[#This Row],[Include]]=1,Clean_Data[[#This Row],[DeliveredFlag]]=1),1,0)</f>
        <v>1</v>
      </c>
      <c r="AA731" s="1">
        <f>IF(COUNTIF($D$2:D731,D731)=1,ROW()-1,ROWS(Clean_Data[OrderID])+1)</f>
        <v>901</v>
      </c>
      <c r="AB731" s="1">
        <f>IF(COUNTIF($F$2:F731,F731)=1,ROW()-1,ROWS(Clean_Data[OrderID])+1)</f>
        <v>901</v>
      </c>
      <c r="AC731" s="1">
        <f>IF(COUNTIF($G$2:G731,G731)=1,ROW()-1,ROWS(Clean_Data[OrderID])+1)</f>
        <v>901</v>
      </c>
      <c r="AD731" s="1">
        <f>IF(COUNTIF($H$2:H731,H731)=1,ROW()-1,ROWS(Clean_Data[OrderID])+1)</f>
        <v>901</v>
      </c>
      <c r="AE731" s="1">
        <f>IF(COUNTIF($V$2:V731,V731)=1,V731,ROWS(Clean_Data[OrderID])+1)</f>
        <v>901</v>
      </c>
      <c r="AF731" s="1">
        <f>IF(COUNTIF($U$2:U731,U731)=1,U731,ROWS(Clean_Data[OrderID])+1)</f>
        <v>901</v>
      </c>
      <c r="AG731" s="1">
        <f>IF(COUNTIF($E$2:E731,E731)=1,ROW()-1,ROWS(Clean_Data[OrderID])+1)</f>
        <v>901</v>
      </c>
    </row>
    <row r="732" spans="1:33" ht="20" customHeight="1">
      <c r="A732" s="3" t="s">
        <v>1131</v>
      </c>
      <c r="B732" s="2">
        <v>46290</v>
      </c>
      <c r="C732" s="3">
        <v>15</v>
      </c>
      <c r="D732" s="3" t="s">
        <v>289</v>
      </c>
      <c r="E732" s="3" t="s">
        <v>117</v>
      </c>
      <c r="F732" s="3" t="s">
        <v>121</v>
      </c>
      <c r="G732" s="3" t="s">
        <v>135</v>
      </c>
      <c r="H732" s="3" t="s">
        <v>162</v>
      </c>
      <c r="I732" s="3">
        <v>3</v>
      </c>
      <c r="J732" s="11">
        <v>180</v>
      </c>
      <c r="K732" s="4">
        <v>0</v>
      </c>
      <c r="L732" s="3" t="s">
        <v>95</v>
      </c>
      <c r="M732" s="3">
        <v>31</v>
      </c>
      <c r="N732" s="3">
        <v>13</v>
      </c>
      <c r="O732" s="3">
        <v>3</v>
      </c>
      <c r="P732" s="11">
        <f>Clean_Data[[#This Row],[Quantity]]*Clean_Data[[#This Row],[UnitPrice]]</f>
        <v>540</v>
      </c>
      <c r="Q732" s="11">
        <f>ROUND(Clean_Data[[#This Row],[GrossSales]]*Clean_Data[[#This Row],[DiscountPct]],2)</f>
        <v>0</v>
      </c>
      <c r="R732" s="11">
        <f>IF(Clean_Data[[#This Row],[Status]]="Delivered",ROUND(Clean_Data[[#This Row],[GrossSales]]-Clean_Data[[#This Row],[DiscountAmount]],2),0)</f>
        <v>540</v>
      </c>
      <c r="S732" s="3" t="str">
        <f>IF(Clean_Data[[#This Row],[OrderHour]]&lt;6,"Night",IF(Clean_Data[[#This Row],[OrderHour]]&lt;12,"Morning",IF(Clean_Data[[#This Row],[OrderHour]]&lt;18,"Afternoon","Evening")))</f>
        <v>Afternoon</v>
      </c>
      <c r="T732" s="3" t="str">
        <f>TEXT(Clean_Data[[#This Row],[OrderDate]],"[$-409]ddd")</f>
        <v>Fri</v>
      </c>
      <c r="U732" s="3">
        <f>WEEKDAY(Clean_Data[[#This Row],[OrderDate]],2)</f>
        <v>5</v>
      </c>
      <c r="V732" s="3">
        <f>INT(Clean_Data[[#This Row],[OrderHour]]/6)+1</f>
        <v>3</v>
      </c>
      <c r="W732" s="3">
        <f>IF(Clean_Data[[#This Row],[Status]]="Delivered",1,0)</f>
        <v>1</v>
      </c>
      <c r="X732" s="3">
        <f>IF(Clean_Data[[#This Row],[Status]]="Delivered",IF(Clean_Data[[#This Row],[DeliveryMinutes]]&lt;=Dashboard!$X$5,1,0),0)</f>
        <v>0</v>
      </c>
      <c r="Y7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2" s="3">
        <f>IF(AND(Clean_Data[[#This Row],[Include]]=1,Clean_Data[[#This Row],[DeliveredFlag]]=1),1,0)</f>
        <v>1</v>
      </c>
      <c r="AA732" s="1">
        <f>IF(COUNTIF($D$2:D732,D732)=1,ROW()-1,ROWS(Clean_Data[OrderID])+1)</f>
        <v>901</v>
      </c>
      <c r="AB732" s="1">
        <f>IF(COUNTIF($F$2:F732,F732)=1,ROW()-1,ROWS(Clean_Data[OrderID])+1)</f>
        <v>901</v>
      </c>
      <c r="AC732" s="1">
        <f>IF(COUNTIF($G$2:G732,G732)=1,ROW()-1,ROWS(Clean_Data[OrderID])+1)</f>
        <v>901</v>
      </c>
      <c r="AD732" s="1">
        <f>IF(COUNTIF($H$2:H732,H732)=1,ROW()-1,ROWS(Clean_Data[OrderID])+1)</f>
        <v>901</v>
      </c>
      <c r="AE732" s="1">
        <f>IF(COUNTIF($V$2:V732,V732)=1,V732,ROWS(Clean_Data[OrderID])+1)</f>
        <v>901</v>
      </c>
      <c r="AF732" s="1">
        <f>IF(COUNTIF($U$2:U732,U732)=1,U732,ROWS(Clean_Data[OrderID])+1)</f>
        <v>901</v>
      </c>
      <c r="AG732" s="1">
        <f>IF(COUNTIF($E$2:E732,E732)=1,ROW()-1,ROWS(Clean_Data[OrderID])+1)</f>
        <v>901</v>
      </c>
    </row>
    <row r="733" spans="1:33" ht="20" customHeight="1">
      <c r="A733" s="3" t="s">
        <v>1132</v>
      </c>
      <c r="B733" s="2">
        <v>46290</v>
      </c>
      <c r="C733" s="3">
        <v>20</v>
      </c>
      <c r="D733" s="3" t="s">
        <v>687</v>
      </c>
      <c r="E733" s="3" t="s">
        <v>91</v>
      </c>
      <c r="F733" s="3" t="s">
        <v>139</v>
      </c>
      <c r="G733" s="3" t="s">
        <v>93</v>
      </c>
      <c r="H733" s="3" t="s">
        <v>146</v>
      </c>
      <c r="I733" s="3">
        <v>1</v>
      </c>
      <c r="J733" s="11">
        <v>110</v>
      </c>
      <c r="K733" s="4">
        <v>0</v>
      </c>
      <c r="L733" s="3" t="s">
        <v>95</v>
      </c>
      <c r="M733" s="3">
        <v>30</v>
      </c>
      <c r="N733" s="3">
        <v>5</v>
      </c>
      <c r="O733" s="3">
        <v>5</v>
      </c>
      <c r="P733" s="11">
        <f>Clean_Data[[#This Row],[Quantity]]*Clean_Data[[#This Row],[UnitPrice]]</f>
        <v>110</v>
      </c>
      <c r="Q733" s="11">
        <f>ROUND(Clean_Data[[#This Row],[GrossSales]]*Clean_Data[[#This Row],[DiscountPct]],2)</f>
        <v>0</v>
      </c>
      <c r="R733" s="11">
        <f>IF(Clean_Data[[#This Row],[Status]]="Delivered",ROUND(Clean_Data[[#This Row],[GrossSales]]-Clean_Data[[#This Row],[DiscountAmount]],2),0)</f>
        <v>110</v>
      </c>
      <c r="S733" s="3" t="str">
        <f>IF(Clean_Data[[#This Row],[OrderHour]]&lt;6,"Night",IF(Clean_Data[[#This Row],[OrderHour]]&lt;12,"Morning",IF(Clean_Data[[#This Row],[OrderHour]]&lt;18,"Afternoon","Evening")))</f>
        <v>Evening</v>
      </c>
      <c r="T733" s="3" t="str">
        <f>TEXT(Clean_Data[[#This Row],[OrderDate]],"[$-409]ddd")</f>
        <v>Fri</v>
      </c>
      <c r="U733" s="3">
        <f>WEEKDAY(Clean_Data[[#This Row],[OrderDate]],2)</f>
        <v>5</v>
      </c>
      <c r="V733" s="3">
        <f>INT(Clean_Data[[#This Row],[OrderHour]]/6)+1</f>
        <v>4</v>
      </c>
      <c r="W733" s="3">
        <f>IF(Clean_Data[[#This Row],[Status]]="Delivered",1,0)</f>
        <v>1</v>
      </c>
      <c r="X733" s="3">
        <f>IF(Clean_Data[[#This Row],[Status]]="Delivered",IF(Clean_Data[[#This Row],[DeliveryMinutes]]&lt;=Dashboard!$X$5,1,0),0)</f>
        <v>1</v>
      </c>
      <c r="Y7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3" s="3">
        <f>IF(AND(Clean_Data[[#This Row],[Include]]=1,Clean_Data[[#This Row],[DeliveredFlag]]=1),1,0)</f>
        <v>1</v>
      </c>
      <c r="AA733" s="1">
        <f>IF(COUNTIF($D$2:D733,D733)=1,ROW()-1,ROWS(Clean_Data[OrderID])+1)</f>
        <v>901</v>
      </c>
      <c r="AB733" s="1">
        <f>IF(COUNTIF($F$2:F733,F733)=1,ROW()-1,ROWS(Clean_Data[OrderID])+1)</f>
        <v>901</v>
      </c>
      <c r="AC733" s="1">
        <f>IF(COUNTIF($G$2:G733,G733)=1,ROW()-1,ROWS(Clean_Data[OrderID])+1)</f>
        <v>901</v>
      </c>
      <c r="AD733" s="1">
        <f>IF(COUNTIF($H$2:H733,H733)=1,ROW()-1,ROWS(Clean_Data[OrderID])+1)</f>
        <v>901</v>
      </c>
      <c r="AE733" s="1">
        <f>IF(COUNTIF($V$2:V733,V733)=1,V733,ROWS(Clean_Data[OrderID])+1)</f>
        <v>901</v>
      </c>
      <c r="AF733" s="1">
        <f>IF(COUNTIF($U$2:U733,U733)=1,U733,ROWS(Clean_Data[OrderID])+1)</f>
        <v>901</v>
      </c>
      <c r="AG733" s="1">
        <f>IF(COUNTIF($E$2:E733,E733)=1,ROW()-1,ROWS(Clean_Data[OrderID])+1)</f>
        <v>901</v>
      </c>
    </row>
    <row r="734" spans="1:33" ht="20" customHeight="1">
      <c r="A734" s="3" t="s">
        <v>1133</v>
      </c>
      <c r="B734" s="2">
        <v>46290</v>
      </c>
      <c r="C734" s="3">
        <v>14</v>
      </c>
      <c r="D734" s="3" t="s">
        <v>365</v>
      </c>
      <c r="E734" s="3" t="s">
        <v>91</v>
      </c>
      <c r="F734" s="3" t="s">
        <v>109</v>
      </c>
      <c r="G734" s="3" t="s">
        <v>135</v>
      </c>
      <c r="H734" s="3" t="s">
        <v>136</v>
      </c>
      <c r="I734" s="3">
        <v>2</v>
      </c>
      <c r="J734" s="11">
        <v>40</v>
      </c>
      <c r="K734" s="4">
        <v>0.05</v>
      </c>
      <c r="L734" s="3" t="s">
        <v>101</v>
      </c>
      <c r="M734" s="3"/>
      <c r="N734" s="3"/>
      <c r="O734" s="3"/>
      <c r="P734" s="11">
        <f>Clean_Data[[#This Row],[Quantity]]*Clean_Data[[#This Row],[UnitPrice]]</f>
        <v>80</v>
      </c>
      <c r="Q734" s="11">
        <f>ROUND(Clean_Data[[#This Row],[GrossSales]]*Clean_Data[[#This Row],[DiscountPct]],2)</f>
        <v>4</v>
      </c>
      <c r="R734" s="11">
        <f>IF(Clean_Data[[#This Row],[Status]]="Delivered",ROUND(Clean_Data[[#This Row],[GrossSales]]-Clean_Data[[#This Row],[DiscountAmount]],2),0)</f>
        <v>0</v>
      </c>
      <c r="S734" s="3" t="str">
        <f>IF(Clean_Data[[#This Row],[OrderHour]]&lt;6,"Night",IF(Clean_Data[[#This Row],[OrderHour]]&lt;12,"Morning",IF(Clean_Data[[#This Row],[OrderHour]]&lt;18,"Afternoon","Evening")))</f>
        <v>Afternoon</v>
      </c>
      <c r="T734" s="3" t="str">
        <f>TEXT(Clean_Data[[#This Row],[OrderDate]],"[$-409]ddd")</f>
        <v>Fri</v>
      </c>
      <c r="U734" s="3">
        <f>WEEKDAY(Clean_Data[[#This Row],[OrderDate]],2)</f>
        <v>5</v>
      </c>
      <c r="V734" s="3">
        <f>INT(Clean_Data[[#This Row],[OrderHour]]/6)+1</f>
        <v>3</v>
      </c>
      <c r="W734" s="3">
        <f>IF(Clean_Data[[#This Row],[Status]]="Delivered",1,0)</f>
        <v>0</v>
      </c>
      <c r="X734" s="3">
        <f>IF(Clean_Data[[#This Row],[Status]]="Delivered",IF(Clean_Data[[#This Row],[DeliveryMinutes]]&lt;=Dashboard!$X$5,1,0),0)</f>
        <v>0</v>
      </c>
      <c r="Y7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4" s="3">
        <f>IF(AND(Clean_Data[[#This Row],[Include]]=1,Clean_Data[[#This Row],[DeliveredFlag]]=1),1,0)</f>
        <v>0</v>
      </c>
      <c r="AA734" s="1">
        <f>IF(COUNTIF($D$2:D734,D734)=1,ROW()-1,ROWS(Clean_Data[OrderID])+1)</f>
        <v>901</v>
      </c>
      <c r="AB734" s="1">
        <f>IF(COUNTIF($F$2:F734,F734)=1,ROW()-1,ROWS(Clean_Data[OrderID])+1)</f>
        <v>901</v>
      </c>
      <c r="AC734" s="1">
        <f>IF(COUNTIF($G$2:G734,G734)=1,ROW()-1,ROWS(Clean_Data[OrderID])+1)</f>
        <v>901</v>
      </c>
      <c r="AD734" s="1">
        <f>IF(COUNTIF($H$2:H734,H734)=1,ROW()-1,ROWS(Clean_Data[OrderID])+1)</f>
        <v>901</v>
      </c>
      <c r="AE734" s="1">
        <f>IF(COUNTIF($V$2:V734,V734)=1,V734,ROWS(Clean_Data[OrderID])+1)</f>
        <v>901</v>
      </c>
      <c r="AF734" s="1">
        <f>IF(COUNTIF($U$2:U734,U734)=1,U734,ROWS(Clean_Data[OrderID])+1)</f>
        <v>901</v>
      </c>
      <c r="AG734" s="1">
        <f>IF(COUNTIF($E$2:E734,E734)=1,ROW()-1,ROWS(Clean_Data[OrderID])+1)</f>
        <v>901</v>
      </c>
    </row>
    <row r="735" spans="1:33" ht="20" customHeight="1">
      <c r="A735" s="3" t="s">
        <v>1134</v>
      </c>
      <c r="B735" s="2">
        <v>46290</v>
      </c>
      <c r="C735" s="3">
        <v>21</v>
      </c>
      <c r="D735" s="3" t="s">
        <v>1135</v>
      </c>
      <c r="E735" s="3" t="s">
        <v>91</v>
      </c>
      <c r="F735" s="3" t="s">
        <v>121</v>
      </c>
      <c r="G735" s="3" t="s">
        <v>174</v>
      </c>
      <c r="H735" s="3" t="s">
        <v>175</v>
      </c>
      <c r="I735" s="3">
        <v>4</v>
      </c>
      <c r="J735" s="11">
        <v>155</v>
      </c>
      <c r="K735" s="4">
        <v>0</v>
      </c>
      <c r="L735" s="3" t="s">
        <v>101</v>
      </c>
      <c r="M735" s="3"/>
      <c r="N735" s="3"/>
      <c r="O735" s="3"/>
      <c r="P735" s="11">
        <f>Clean_Data[[#This Row],[Quantity]]*Clean_Data[[#This Row],[UnitPrice]]</f>
        <v>620</v>
      </c>
      <c r="Q735" s="11">
        <f>ROUND(Clean_Data[[#This Row],[GrossSales]]*Clean_Data[[#This Row],[DiscountPct]],2)</f>
        <v>0</v>
      </c>
      <c r="R735" s="11">
        <f>IF(Clean_Data[[#This Row],[Status]]="Delivered",ROUND(Clean_Data[[#This Row],[GrossSales]]-Clean_Data[[#This Row],[DiscountAmount]],2),0)</f>
        <v>0</v>
      </c>
      <c r="S735" s="3" t="str">
        <f>IF(Clean_Data[[#This Row],[OrderHour]]&lt;6,"Night",IF(Clean_Data[[#This Row],[OrderHour]]&lt;12,"Morning",IF(Clean_Data[[#This Row],[OrderHour]]&lt;18,"Afternoon","Evening")))</f>
        <v>Evening</v>
      </c>
      <c r="T735" s="3" t="str">
        <f>TEXT(Clean_Data[[#This Row],[OrderDate]],"[$-409]ddd")</f>
        <v>Fri</v>
      </c>
      <c r="U735" s="3">
        <f>WEEKDAY(Clean_Data[[#This Row],[OrderDate]],2)</f>
        <v>5</v>
      </c>
      <c r="V735" s="3">
        <f>INT(Clean_Data[[#This Row],[OrderHour]]/6)+1</f>
        <v>4</v>
      </c>
      <c r="W735" s="3">
        <f>IF(Clean_Data[[#This Row],[Status]]="Delivered",1,0)</f>
        <v>0</v>
      </c>
      <c r="X735" s="3">
        <f>IF(Clean_Data[[#This Row],[Status]]="Delivered",IF(Clean_Data[[#This Row],[DeliveryMinutes]]&lt;=Dashboard!$X$5,1,0),0)</f>
        <v>0</v>
      </c>
      <c r="Y7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5" s="3">
        <f>IF(AND(Clean_Data[[#This Row],[Include]]=1,Clean_Data[[#This Row],[DeliveredFlag]]=1),1,0)</f>
        <v>0</v>
      </c>
      <c r="AA735" s="1">
        <f>IF(COUNTIF($D$2:D735,D735)=1,ROW()-1,ROWS(Clean_Data[OrderID])+1)</f>
        <v>734</v>
      </c>
      <c r="AB735" s="1">
        <f>IF(COUNTIF($F$2:F735,F735)=1,ROW()-1,ROWS(Clean_Data[OrderID])+1)</f>
        <v>901</v>
      </c>
      <c r="AC735" s="1">
        <f>IF(COUNTIF($G$2:G735,G735)=1,ROW()-1,ROWS(Clean_Data[OrderID])+1)</f>
        <v>901</v>
      </c>
      <c r="AD735" s="1">
        <f>IF(COUNTIF($H$2:H735,H735)=1,ROW()-1,ROWS(Clean_Data[OrderID])+1)</f>
        <v>901</v>
      </c>
      <c r="AE735" s="1">
        <f>IF(COUNTIF($V$2:V735,V735)=1,V735,ROWS(Clean_Data[OrderID])+1)</f>
        <v>901</v>
      </c>
      <c r="AF735" s="1">
        <f>IF(COUNTIF($U$2:U735,U735)=1,U735,ROWS(Clean_Data[OrderID])+1)</f>
        <v>901</v>
      </c>
      <c r="AG735" s="1">
        <f>IF(COUNTIF($E$2:E735,E735)=1,ROW()-1,ROWS(Clean_Data[OrderID])+1)</f>
        <v>901</v>
      </c>
    </row>
    <row r="736" spans="1:33" ht="20" customHeight="1">
      <c r="A736" s="3" t="s">
        <v>1136</v>
      </c>
      <c r="B736" s="2">
        <v>46290</v>
      </c>
      <c r="C736" s="3">
        <v>17</v>
      </c>
      <c r="D736" s="3" t="s">
        <v>230</v>
      </c>
      <c r="E736" s="3" t="s">
        <v>91</v>
      </c>
      <c r="F736" s="3" t="s">
        <v>92</v>
      </c>
      <c r="G736" s="3" t="s">
        <v>99</v>
      </c>
      <c r="H736" s="3" t="s">
        <v>104</v>
      </c>
      <c r="I736" s="3">
        <v>4</v>
      </c>
      <c r="J736" s="11">
        <v>240</v>
      </c>
      <c r="K736" s="4">
        <v>0</v>
      </c>
      <c r="L736" s="3" t="s">
        <v>95</v>
      </c>
      <c r="M736" s="3">
        <v>19</v>
      </c>
      <c r="N736" s="3">
        <v>11</v>
      </c>
      <c r="O736" s="3">
        <v>5</v>
      </c>
      <c r="P736" s="11">
        <f>Clean_Data[[#This Row],[Quantity]]*Clean_Data[[#This Row],[UnitPrice]]</f>
        <v>960</v>
      </c>
      <c r="Q736" s="11">
        <f>ROUND(Clean_Data[[#This Row],[GrossSales]]*Clean_Data[[#This Row],[DiscountPct]],2)</f>
        <v>0</v>
      </c>
      <c r="R736" s="11">
        <f>IF(Clean_Data[[#This Row],[Status]]="Delivered",ROUND(Clean_Data[[#This Row],[GrossSales]]-Clean_Data[[#This Row],[DiscountAmount]],2),0)</f>
        <v>960</v>
      </c>
      <c r="S736" s="3" t="str">
        <f>IF(Clean_Data[[#This Row],[OrderHour]]&lt;6,"Night",IF(Clean_Data[[#This Row],[OrderHour]]&lt;12,"Morning",IF(Clean_Data[[#This Row],[OrderHour]]&lt;18,"Afternoon","Evening")))</f>
        <v>Afternoon</v>
      </c>
      <c r="T736" s="3" t="str">
        <f>TEXT(Clean_Data[[#This Row],[OrderDate]],"[$-409]ddd")</f>
        <v>Fri</v>
      </c>
      <c r="U736" s="3">
        <f>WEEKDAY(Clean_Data[[#This Row],[OrderDate]],2)</f>
        <v>5</v>
      </c>
      <c r="V736" s="3">
        <f>INT(Clean_Data[[#This Row],[OrderHour]]/6)+1</f>
        <v>3</v>
      </c>
      <c r="W736" s="3">
        <f>IF(Clean_Data[[#This Row],[Status]]="Delivered",1,0)</f>
        <v>1</v>
      </c>
      <c r="X736" s="3">
        <f>IF(Clean_Data[[#This Row],[Status]]="Delivered",IF(Clean_Data[[#This Row],[DeliveryMinutes]]&lt;=Dashboard!$X$5,1,0),0)</f>
        <v>1</v>
      </c>
      <c r="Y7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6" s="3">
        <f>IF(AND(Clean_Data[[#This Row],[Include]]=1,Clean_Data[[#This Row],[DeliveredFlag]]=1),1,0)</f>
        <v>1</v>
      </c>
      <c r="AA736" s="1">
        <f>IF(COUNTIF($D$2:D736,D736)=1,ROW()-1,ROWS(Clean_Data[OrderID])+1)</f>
        <v>901</v>
      </c>
      <c r="AB736" s="1">
        <f>IF(COUNTIF($F$2:F736,F736)=1,ROW()-1,ROWS(Clean_Data[OrderID])+1)</f>
        <v>901</v>
      </c>
      <c r="AC736" s="1">
        <f>IF(COUNTIF($G$2:G736,G736)=1,ROW()-1,ROWS(Clean_Data[OrderID])+1)</f>
        <v>901</v>
      </c>
      <c r="AD736" s="1">
        <f>IF(COUNTIF($H$2:H736,H736)=1,ROW()-1,ROWS(Clean_Data[OrderID])+1)</f>
        <v>901</v>
      </c>
      <c r="AE736" s="1">
        <f>IF(COUNTIF($V$2:V736,V736)=1,V736,ROWS(Clean_Data[OrderID])+1)</f>
        <v>901</v>
      </c>
      <c r="AF736" s="1">
        <f>IF(COUNTIF($U$2:U736,U736)=1,U736,ROWS(Clean_Data[OrderID])+1)</f>
        <v>901</v>
      </c>
      <c r="AG736" s="1">
        <f>IF(COUNTIF($E$2:E736,E736)=1,ROW()-1,ROWS(Clean_Data[OrderID])+1)</f>
        <v>901</v>
      </c>
    </row>
    <row r="737" spans="1:33" ht="20" customHeight="1">
      <c r="A737" s="3" t="s">
        <v>1137</v>
      </c>
      <c r="B737" s="2">
        <v>46290</v>
      </c>
      <c r="C737" s="3">
        <v>8</v>
      </c>
      <c r="D737" s="3" t="s">
        <v>285</v>
      </c>
      <c r="E737" s="3" t="s">
        <v>91</v>
      </c>
      <c r="F737" s="3" t="s">
        <v>121</v>
      </c>
      <c r="G737" s="3" t="s">
        <v>93</v>
      </c>
      <c r="H737" s="3" t="s">
        <v>146</v>
      </c>
      <c r="I737" s="3">
        <v>4</v>
      </c>
      <c r="J737" s="11">
        <v>110</v>
      </c>
      <c r="K737" s="4">
        <v>0.1</v>
      </c>
      <c r="L737" s="3" t="s">
        <v>95</v>
      </c>
      <c r="M737" s="3">
        <v>18</v>
      </c>
      <c r="N737" s="3">
        <v>7</v>
      </c>
      <c r="O737" s="3">
        <v>4</v>
      </c>
      <c r="P737" s="11">
        <f>Clean_Data[[#This Row],[Quantity]]*Clean_Data[[#This Row],[UnitPrice]]</f>
        <v>440</v>
      </c>
      <c r="Q737" s="11">
        <f>ROUND(Clean_Data[[#This Row],[GrossSales]]*Clean_Data[[#This Row],[DiscountPct]],2)</f>
        <v>44</v>
      </c>
      <c r="R737" s="11">
        <f>IF(Clean_Data[[#This Row],[Status]]="Delivered",ROUND(Clean_Data[[#This Row],[GrossSales]]-Clean_Data[[#This Row],[DiscountAmount]],2),0)</f>
        <v>396</v>
      </c>
      <c r="S737" s="3" t="str">
        <f>IF(Clean_Data[[#This Row],[OrderHour]]&lt;6,"Night",IF(Clean_Data[[#This Row],[OrderHour]]&lt;12,"Morning",IF(Clean_Data[[#This Row],[OrderHour]]&lt;18,"Afternoon","Evening")))</f>
        <v>Morning</v>
      </c>
      <c r="T737" s="3" t="str">
        <f>TEXT(Clean_Data[[#This Row],[OrderDate]],"[$-409]ddd")</f>
        <v>Fri</v>
      </c>
      <c r="U737" s="3">
        <f>WEEKDAY(Clean_Data[[#This Row],[OrderDate]],2)</f>
        <v>5</v>
      </c>
      <c r="V737" s="3">
        <f>INT(Clean_Data[[#This Row],[OrderHour]]/6)+1</f>
        <v>2</v>
      </c>
      <c r="W737" s="3">
        <f>IF(Clean_Data[[#This Row],[Status]]="Delivered",1,0)</f>
        <v>1</v>
      </c>
      <c r="X737" s="3">
        <f>IF(Clean_Data[[#This Row],[Status]]="Delivered",IF(Clean_Data[[#This Row],[DeliveryMinutes]]&lt;=Dashboard!$X$5,1,0),0)</f>
        <v>1</v>
      </c>
      <c r="Y7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7" s="3">
        <f>IF(AND(Clean_Data[[#This Row],[Include]]=1,Clean_Data[[#This Row],[DeliveredFlag]]=1),1,0)</f>
        <v>1</v>
      </c>
      <c r="AA737" s="1">
        <f>IF(COUNTIF($D$2:D737,D737)=1,ROW()-1,ROWS(Clean_Data[OrderID])+1)</f>
        <v>901</v>
      </c>
      <c r="AB737" s="1">
        <f>IF(COUNTIF($F$2:F737,F737)=1,ROW()-1,ROWS(Clean_Data[OrderID])+1)</f>
        <v>901</v>
      </c>
      <c r="AC737" s="1">
        <f>IF(COUNTIF($G$2:G737,G737)=1,ROW()-1,ROWS(Clean_Data[OrderID])+1)</f>
        <v>901</v>
      </c>
      <c r="AD737" s="1">
        <f>IF(COUNTIF($H$2:H737,H737)=1,ROW()-1,ROWS(Clean_Data[OrderID])+1)</f>
        <v>901</v>
      </c>
      <c r="AE737" s="1">
        <f>IF(COUNTIF($V$2:V737,V737)=1,V737,ROWS(Clean_Data[OrderID])+1)</f>
        <v>901</v>
      </c>
      <c r="AF737" s="1">
        <f>IF(COUNTIF($U$2:U737,U737)=1,U737,ROWS(Clean_Data[OrderID])+1)</f>
        <v>901</v>
      </c>
      <c r="AG737" s="1">
        <f>IF(COUNTIF($E$2:E737,E737)=1,ROW()-1,ROWS(Clean_Data[OrderID])+1)</f>
        <v>901</v>
      </c>
    </row>
    <row r="738" spans="1:33" ht="20" customHeight="1">
      <c r="A738" s="3" t="s">
        <v>1138</v>
      </c>
      <c r="B738" s="2">
        <v>46290</v>
      </c>
      <c r="C738" s="3">
        <v>21</v>
      </c>
      <c r="D738" s="3" t="s">
        <v>267</v>
      </c>
      <c r="E738" s="3" t="s">
        <v>91</v>
      </c>
      <c r="F738" s="3" t="s">
        <v>92</v>
      </c>
      <c r="G738" s="3" t="s">
        <v>135</v>
      </c>
      <c r="H738" s="3" t="s">
        <v>136</v>
      </c>
      <c r="I738" s="3">
        <v>1</v>
      </c>
      <c r="J738" s="11">
        <v>40</v>
      </c>
      <c r="K738" s="4">
        <v>0.05</v>
      </c>
      <c r="L738" s="3" t="s">
        <v>95</v>
      </c>
      <c r="M738" s="3">
        <v>36</v>
      </c>
      <c r="N738" s="3">
        <v>13</v>
      </c>
      <c r="O738" s="3">
        <v>4</v>
      </c>
      <c r="P738" s="11">
        <f>Clean_Data[[#This Row],[Quantity]]*Clean_Data[[#This Row],[UnitPrice]]</f>
        <v>40</v>
      </c>
      <c r="Q738" s="11">
        <f>ROUND(Clean_Data[[#This Row],[GrossSales]]*Clean_Data[[#This Row],[DiscountPct]],2)</f>
        <v>2</v>
      </c>
      <c r="R738" s="11">
        <f>IF(Clean_Data[[#This Row],[Status]]="Delivered",ROUND(Clean_Data[[#This Row],[GrossSales]]-Clean_Data[[#This Row],[DiscountAmount]],2),0)</f>
        <v>38</v>
      </c>
      <c r="S738" s="3" t="str">
        <f>IF(Clean_Data[[#This Row],[OrderHour]]&lt;6,"Night",IF(Clean_Data[[#This Row],[OrderHour]]&lt;12,"Morning",IF(Clean_Data[[#This Row],[OrderHour]]&lt;18,"Afternoon","Evening")))</f>
        <v>Evening</v>
      </c>
      <c r="T738" s="3" t="str">
        <f>TEXT(Clean_Data[[#This Row],[OrderDate]],"[$-409]ddd")</f>
        <v>Fri</v>
      </c>
      <c r="U738" s="3">
        <f>WEEKDAY(Clean_Data[[#This Row],[OrderDate]],2)</f>
        <v>5</v>
      </c>
      <c r="V738" s="3">
        <f>INT(Clean_Data[[#This Row],[OrderHour]]/6)+1</f>
        <v>4</v>
      </c>
      <c r="W738" s="3">
        <f>IF(Clean_Data[[#This Row],[Status]]="Delivered",1,0)</f>
        <v>1</v>
      </c>
      <c r="X738" s="3">
        <f>IF(Clean_Data[[#This Row],[Status]]="Delivered",IF(Clean_Data[[#This Row],[DeliveryMinutes]]&lt;=Dashboard!$X$5,1,0),0)</f>
        <v>0</v>
      </c>
      <c r="Y7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8" s="3">
        <f>IF(AND(Clean_Data[[#This Row],[Include]]=1,Clean_Data[[#This Row],[DeliveredFlag]]=1),1,0)</f>
        <v>1</v>
      </c>
      <c r="AA738" s="1">
        <f>IF(COUNTIF($D$2:D738,D738)=1,ROW()-1,ROWS(Clean_Data[OrderID])+1)</f>
        <v>901</v>
      </c>
      <c r="AB738" s="1">
        <f>IF(COUNTIF($F$2:F738,F738)=1,ROW()-1,ROWS(Clean_Data[OrderID])+1)</f>
        <v>901</v>
      </c>
      <c r="AC738" s="1">
        <f>IF(COUNTIF($G$2:G738,G738)=1,ROW()-1,ROWS(Clean_Data[OrderID])+1)</f>
        <v>901</v>
      </c>
      <c r="AD738" s="1">
        <f>IF(COUNTIF($H$2:H738,H738)=1,ROW()-1,ROWS(Clean_Data[OrderID])+1)</f>
        <v>901</v>
      </c>
      <c r="AE738" s="1">
        <f>IF(COUNTIF($V$2:V738,V738)=1,V738,ROWS(Clean_Data[OrderID])+1)</f>
        <v>901</v>
      </c>
      <c r="AF738" s="1">
        <f>IF(COUNTIF($U$2:U738,U738)=1,U738,ROWS(Clean_Data[OrderID])+1)</f>
        <v>901</v>
      </c>
      <c r="AG738" s="1">
        <f>IF(COUNTIF($E$2:E738,E738)=1,ROW()-1,ROWS(Clean_Data[OrderID])+1)</f>
        <v>901</v>
      </c>
    </row>
    <row r="739" spans="1:33" ht="20" customHeight="1">
      <c r="A739" s="3" t="s">
        <v>1139</v>
      </c>
      <c r="B739" s="2">
        <v>46290</v>
      </c>
      <c r="C739" s="3">
        <v>12</v>
      </c>
      <c r="D739" s="3" t="s">
        <v>116</v>
      </c>
      <c r="E739" s="3" t="s">
        <v>117</v>
      </c>
      <c r="F739" s="3" t="s">
        <v>109</v>
      </c>
      <c r="G739" s="3" t="s">
        <v>110</v>
      </c>
      <c r="H739" s="3" t="s">
        <v>114</v>
      </c>
      <c r="I739" s="3">
        <v>6</v>
      </c>
      <c r="J739" s="11">
        <v>145</v>
      </c>
      <c r="K739" s="4">
        <v>0</v>
      </c>
      <c r="L739" s="3" t="s">
        <v>95</v>
      </c>
      <c r="M739" s="3">
        <v>30</v>
      </c>
      <c r="N739" s="3">
        <v>4</v>
      </c>
      <c r="O739" s="3">
        <v>5</v>
      </c>
      <c r="P739" s="11">
        <f>Clean_Data[[#This Row],[Quantity]]*Clean_Data[[#This Row],[UnitPrice]]</f>
        <v>870</v>
      </c>
      <c r="Q739" s="11">
        <f>ROUND(Clean_Data[[#This Row],[GrossSales]]*Clean_Data[[#This Row],[DiscountPct]],2)</f>
        <v>0</v>
      </c>
      <c r="R739" s="11">
        <f>IF(Clean_Data[[#This Row],[Status]]="Delivered",ROUND(Clean_Data[[#This Row],[GrossSales]]-Clean_Data[[#This Row],[DiscountAmount]],2),0)</f>
        <v>870</v>
      </c>
      <c r="S739" s="3" t="str">
        <f>IF(Clean_Data[[#This Row],[OrderHour]]&lt;6,"Night",IF(Clean_Data[[#This Row],[OrderHour]]&lt;12,"Morning",IF(Clean_Data[[#This Row],[OrderHour]]&lt;18,"Afternoon","Evening")))</f>
        <v>Afternoon</v>
      </c>
      <c r="T739" s="3" t="str">
        <f>TEXT(Clean_Data[[#This Row],[OrderDate]],"[$-409]ddd")</f>
        <v>Fri</v>
      </c>
      <c r="U739" s="3">
        <f>WEEKDAY(Clean_Data[[#This Row],[OrderDate]],2)</f>
        <v>5</v>
      </c>
      <c r="V739" s="3">
        <f>INT(Clean_Data[[#This Row],[OrderHour]]/6)+1</f>
        <v>3</v>
      </c>
      <c r="W739" s="3">
        <f>IF(Clean_Data[[#This Row],[Status]]="Delivered",1,0)</f>
        <v>1</v>
      </c>
      <c r="X739" s="3">
        <f>IF(Clean_Data[[#This Row],[Status]]="Delivered",IF(Clean_Data[[#This Row],[DeliveryMinutes]]&lt;=Dashboard!$X$5,1,0),0)</f>
        <v>1</v>
      </c>
      <c r="Y7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39" s="3">
        <f>IF(AND(Clean_Data[[#This Row],[Include]]=1,Clean_Data[[#This Row],[DeliveredFlag]]=1),1,0)</f>
        <v>1</v>
      </c>
      <c r="AA739" s="1">
        <f>IF(COUNTIF($D$2:D739,D739)=1,ROW()-1,ROWS(Clean_Data[OrderID])+1)</f>
        <v>901</v>
      </c>
      <c r="AB739" s="1">
        <f>IF(COUNTIF($F$2:F739,F739)=1,ROW()-1,ROWS(Clean_Data[OrderID])+1)</f>
        <v>901</v>
      </c>
      <c r="AC739" s="1">
        <f>IF(COUNTIF($G$2:G739,G739)=1,ROW()-1,ROWS(Clean_Data[OrderID])+1)</f>
        <v>901</v>
      </c>
      <c r="AD739" s="1">
        <f>IF(COUNTIF($H$2:H739,H739)=1,ROW()-1,ROWS(Clean_Data[OrderID])+1)</f>
        <v>901</v>
      </c>
      <c r="AE739" s="1">
        <f>IF(COUNTIF($V$2:V739,V739)=1,V739,ROWS(Clean_Data[OrderID])+1)</f>
        <v>901</v>
      </c>
      <c r="AF739" s="1">
        <f>IF(COUNTIF($U$2:U739,U739)=1,U739,ROWS(Clean_Data[OrderID])+1)</f>
        <v>901</v>
      </c>
      <c r="AG739" s="1">
        <f>IF(COUNTIF($E$2:E739,E739)=1,ROW()-1,ROWS(Clean_Data[OrderID])+1)</f>
        <v>901</v>
      </c>
    </row>
    <row r="740" spans="1:33" ht="20" customHeight="1">
      <c r="A740" s="3" t="s">
        <v>1140</v>
      </c>
      <c r="B740" s="2">
        <v>46290</v>
      </c>
      <c r="C740" s="3">
        <v>17</v>
      </c>
      <c r="D740" s="3" t="s">
        <v>1141</v>
      </c>
      <c r="E740" s="3" t="s">
        <v>117</v>
      </c>
      <c r="F740" s="3" t="s">
        <v>139</v>
      </c>
      <c r="G740" s="3" t="s">
        <v>99</v>
      </c>
      <c r="H740" s="3" t="s">
        <v>130</v>
      </c>
      <c r="I740" s="3">
        <v>5</v>
      </c>
      <c r="J740" s="11">
        <v>85</v>
      </c>
      <c r="K740" s="4">
        <v>0</v>
      </c>
      <c r="L740" s="3" t="s">
        <v>95</v>
      </c>
      <c r="M740" s="3">
        <v>15</v>
      </c>
      <c r="N740" s="3">
        <v>4</v>
      </c>
      <c r="O740" s="3">
        <v>5</v>
      </c>
      <c r="P740" s="11">
        <f>Clean_Data[[#This Row],[Quantity]]*Clean_Data[[#This Row],[UnitPrice]]</f>
        <v>425</v>
      </c>
      <c r="Q740" s="11">
        <f>ROUND(Clean_Data[[#This Row],[GrossSales]]*Clean_Data[[#This Row],[DiscountPct]],2)</f>
        <v>0</v>
      </c>
      <c r="R740" s="11">
        <f>IF(Clean_Data[[#This Row],[Status]]="Delivered",ROUND(Clean_Data[[#This Row],[GrossSales]]-Clean_Data[[#This Row],[DiscountAmount]],2),0)</f>
        <v>425</v>
      </c>
      <c r="S740" s="3" t="str">
        <f>IF(Clean_Data[[#This Row],[OrderHour]]&lt;6,"Night",IF(Clean_Data[[#This Row],[OrderHour]]&lt;12,"Morning",IF(Clean_Data[[#This Row],[OrderHour]]&lt;18,"Afternoon","Evening")))</f>
        <v>Afternoon</v>
      </c>
      <c r="T740" s="3" t="str">
        <f>TEXT(Clean_Data[[#This Row],[OrderDate]],"[$-409]ddd")</f>
        <v>Fri</v>
      </c>
      <c r="U740" s="3">
        <f>WEEKDAY(Clean_Data[[#This Row],[OrderDate]],2)</f>
        <v>5</v>
      </c>
      <c r="V740" s="3">
        <f>INT(Clean_Data[[#This Row],[OrderHour]]/6)+1</f>
        <v>3</v>
      </c>
      <c r="W740" s="3">
        <f>IF(Clean_Data[[#This Row],[Status]]="Delivered",1,0)</f>
        <v>1</v>
      </c>
      <c r="X740" s="3">
        <f>IF(Clean_Data[[#This Row],[Status]]="Delivered",IF(Clean_Data[[#This Row],[DeliveryMinutes]]&lt;=Dashboard!$X$5,1,0),0)</f>
        <v>1</v>
      </c>
      <c r="Y7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0" s="3">
        <f>IF(AND(Clean_Data[[#This Row],[Include]]=1,Clean_Data[[#This Row],[DeliveredFlag]]=1),1,0)</f>
        <v>1</v>
      </c>
      <c r="AA740" s="1">
        <f>IF(COUNTIF($D$2:D740,D740)=1,ROW()-1,ROWS(Clean_Data[OrderID])+1)</f>
        <v>739</v>
      </c>
      <c r="AB740" s="1">
        <f>IF(COUNTIF($F$2:F740,F740)=1,ROW()-1,ROWS(Clean_Data[OrderID])+1)</f>
        <v>901</v>
      </c>
      <c r="AC740" s="1">
        <f>IF(COUNTIF($G$2:G740,G740)=1,ROW()-1,ROWS(Clean_Data[OrderID])+1)</f>
        <v>901</v>
      </c>
      <c r="AD740" s="1">
        <f>IF(COUNTIF($H$2:H740,H740)=1,ROW()-1,ROWS(Clean_Data[OrderID])+1)</f>
        <v>901</v>
      </c>
      <c r="AE740" s="1">
        <f>IF(COUNTIF($V$2:V740,V740)=1,V740,ROWS(Clean_Data[OrderID])+1)</f>
        <v>901</v>
      </c>
      <c r="AF740" s="1">
        <f>IF(COUNTIF($U$2:U740,U740)=1,U740,ROWS(Clean_Data[OrderID])+1)</f>
        <v>901</v>
      </c>
      <c r="AG740" s="1">
        <f>IF(COUNTIF($E$2:E740,E740)=1,ROW()-1,ROWS(Clean_Data[OrderID])+1)</f>
        <v>901</v>
      </c>
    </row>
    <row r="741" spans="1:33" ht="20" customHeight="1">
      <c r="A741" s="3" t="s">
        <v>1142</v>
      </c>
      <c r="B741" s="2">
        <v>46290</v>
      </c>
      <c r="C741" s="3">
        <v>22</v>
      </c>
      <c r="D741" s="3" t="s">
        <v>944</v>
      </c>
      <c r="E741" s="3" t="s">
        <v>91</v>
      </c>
      <c r="F741" s="3" t="s">
        <v>98</v>
      </c>
      <c r="G741" s="3" t="s">
        <v>110</v>
      </c>
      <c r="H741" s="3" t="s">
        <v>206</v>
      </c>
      <c r="I741" s="3">
        <v>6</v>
      </c>
      <c r="J741" s="11">
        <v>220</v>
      </c>
      <c r="K741" s="4">
        <v>0</v>
      </c>
      <c r="L741" s="3" t="s">
        <v>95</v>
      </c>
      <c r="M741" s="3">
        <v>18</v>
      </c>
      <c r="N741" s="3">
        <v>11</v>
      </c>
      <c r="O741" s="3">
        <v>3</v>
      </c>
      <c r="P741" s="11">
        <f>Clean_Data[[#This Row],[Quantity]]*Clean_Data[[#This Row],[UnitPrice]]</f>
        <v>1320</v>
      </c>
      <c r="Q741" s="11">
        <f>ROUND(Clean_Data[[#This Row],[GrossSales]]*Clean_Data[[#This Row],[DiscountPct]],2)</f>
        <v>0</v>
      </c>
      <c r="R741" s="11">
        <f>IF(Clean_Data[[#This Row],[Status]]="Delivered",ROUND(Clean_Data[[#This Row],[GrossSales]]-Clean_Data[[#This Row],[DiscountAmount]],2),0)</f>
        <v>1320</v>
      </c>
      <c r="S741" s="3" t="str">
        <f>IF(Clean_Data[[#This Row],[OrderHour]]&lt;6,"Night",IF(Clean_Data[[#This Row],[OrderHour]]&lt;12,"Morning",IF(Clean_Data[[#This Row],[OrderHour]]&lt;18,"Afternoon","Evening")))</f>
        <v>Evening</v>
      </c>
      <c r="T741" s="3" t="str">
        <f>TEXT(Clean_Data[[#This Row],[OrderDate]],"[$-409]ddd")</f>
        <v>Fri</v>
      </c>
      <c r="U741" s="3">
        <f>WEEKDAY(Clean_Data[[#This Row],[OrderDate]],2)</f>
        <v>5</v>
      </c>
      <c r="V741" s="3">
        <f>INT(Clean_Data[[#This Row],[OrderHour]]/6)+1</f>
        <v>4</v>
      </c>
      <c r="W741" s="3">
        <f>IF(Clean_Data[[#This Row],[Status]]="Delivered",1,0)</f>
        <v>1</v>
      </c>
      <c r="X741" s="3">
        <f>IF(Clean_Data[[#This Row],[Status]]="Delivered",IF(Clean_Data[[#This Row],[DeliveryMinutes]]&lt;=Dashboard!$X$5,1,0),0)</f>
        <v>1</v>
      </c>
      <c r="Y7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1" s="3">
        <f>IF(AND(Clean_Data[[#This Row],[Include]]=1,Clean_Data[[#This Row],[DeliveredFlag]]=1),1,0)</f>
        <v>1</v>
      </c>
      <c r="AA741" s="1">
        <f>IF(COUNTIF($D$2:D741,D741)=1,ROW()-1,ROWS(Clean_Data[OrderID])+1)</f>
        <v>901</v>
      </c>
      <c r="AB741" s="1">
        <f>IF(COUNTIF($F$2:F741,F741)=1,ROW()-1,ROWS(Clean_Data[OrderID])+1)</f>
        <v>901</v>
      </c>
      <c r="AC741" s="1">
        <f>IF(COUNTIF($G$2:G741,G741)=1,ROW()-1,ROWS(Clean_Data[OrderID])+1)</f>
        <v>901</v>
      </c>
      <c r="AD741" s="1">
        <f>IF(COUNTIF($H$2:H741,H741)=1,ROW()-1,ROWS(Clean_Data[OrderID])+1)</f>
        <v>901</v>
      </c>
      <c r="AE741" s="1">
        <f>IF(COUNTIF($V$2:V741,V741)=1,V741,ROWS(Clean_Data[OrderID])+1)</f>
        <v>901</v>
      </c>
      <c r="AF741" s="1">
        <f>IF(COUNTIF($U$2:U741,U741)=1,U741,ROWS(Clean_Data[OrderID])+1)</f>
        <v>901</v>
      </c>
      <c r="AG741" s="1">
        <f>IF(COUNTIF($E$2:E741,E741)=1,ROW()-1,ROWS(Clean_Data[OrderID])+1)</f>
        <v>901</v>
      </c>
    </row>
    <row r="742" spans="1:33" ht="20" customHeight="1">
      <c r="A742" s="3" t="s">
        <v>1143</v>
      </c>
      <c r="B742" s="2">
        <v>46290</v>
      </c>
      <c r="C742" s="3">
        <v>12</v>
      </c>
      <c r="D742" s="3" t="s">
        <v>320</v>
      </c>
      <c r="E742" s="3" t="s">
        <v>91</v>
      </c>
      <c r="F742" s="3" t="s">
        <v>139</v>
      </c>
      <c r="G742" s="3" t="s">
        <v>122</v>
      </c>
      <c r="H742" s="3" t="s">
        <v>153</v>
      </c>
      <c r="I742" s="3">
        <v>6</v>
      </c>
      <c r="J742" s="11">
        <v>130</v>
      </c>
      <c r="K742" s="4">
        <v>0</v>
      </c>
      <c r="L742" s="3" t="s">
        <v>95</v>
      </c>
      <c r="M742" s="3">
        <v>14</v>
      </c>
      <c r="N742" s="3">
        <v>9</v>
      </c>
      <c r="O742" s="3">
        <v>5</v>
      </c>
      <c r="P742" s="11">
        <f>Clean_Data[[#This Row],[Quantity]]*Clean_Data[[#This Row],[UnitPrice]]</f>
        <v>780</v>
      </c>
      <c r="Q742" s="11">
        <f>ROUND(Clean_Data[[#This Row],[GrossSales]]*Clean_Data[[#This Row],[DiscountPct]],2)</f>
        <v>0</v>
      </c>
      <c r="R742" s="11">
        <f>IF(Clean_Data[[#This Row],[Status]]="Delivered",ROUND(Clean_Data[[#This Row],[GrossSales]]-Clean_Data[[#This Row],[DiscountAmount]],2),0)</f>
        <v>780</v>
      </c>
      <c r="S742" s="3" t="str">
        <f>IF(Clean_Data[[#This Row],[OrderHour]]&lt;6,"Night",IF(Clean_Data[[#This Row],[OrderHour]]&lt;12,"Morning",IF(Clean_Data[[#This Row],[OrderHour]]&lt;18,"Afternoon","Evening")))</f>
        <v>Afternoon</v>
      </c>
      <c r="T742" s="3" t="str">
        <f>TEXT(Clean_Data[[#This Row],[OrderDate]],"[$-409]ddd")</f>
        <v>Fri</v>
      </c>
      <c r="U742" s="3">
        <f>WEEKDAY(Clean_Data[[#This Row],[OrderDate]],2)</f>
        <v>5</v>
      </c>
      <c r="V742" s="3">
        <f>INT(Clean_Data[[#This Row],[OrderHour]]/6)+1</f>
        <v>3</v>
      </c>
      <c r="W742" s="3">
        <f>IF(Clean_Data[[#This Row],[Status]]="Delivered",1,0)</f>
        <v>1</v>
      </c>
      <c r="X742" s="3">
        <f>IF(Clean_Data[[#This Row],[Status]]="Delivered",IF(Clean_Data[[#This Row],[DeliveryMinutes]]&lt;=Dashboard!$X$5,1,0),0)</f>
        <v>1</v>
      </c>
      <c r="Y7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2" s="3">
        <f>IF(AND(Clean_Data[[#This Row],[Include]]=1,Clean_Data[[#This Row],[DeliveredFlag]]=1),1,0)</f>
        <v>1</v>
      </c>
      <c r="AA742" s="1">
        <f>IF(COUNTIF($D$2:D742,D742)=1,ROW()-1,ROWS(Clean_Data[OrderID])+1)</f>
        <v>901</v>
      </c>
      <c r="AB742" s="1">
        <f>IF(COUNTIF($F$2:F742,F742)=1,ROW()-1,ROWS(Clean_Data[OrderID])+1)</f>
        <v>901</v>
      </c>
      <c r="AC742" s="1">
        <f>IF(COUNTIF($G$2:G742,G742)=1,ROW()-1,ROWS(Clean_Data[OrderID])+1)</f>
        <v>901</v>
      </c>
      <c r="AD742" s="1">
        <f>IF(COUNTIF($H$2:H742,H742)=1,ROW()-1,ROWS(Clean_Data[OrderID])+1)</f>
        <v>901</v>
      </c>
      <c r="AE742" s="1">
        <f>IF(COUNTIF($V$2:V742,V742)=1,V742,ROWS(Clean_Data[OrderID])+1)</f>
        <v>901</v>
      </c>
      <c r="AF742" s="1">
        <f>IF(COUNTIF($U$2:U742,U742)=1,U742,ROWS(Clean_Data[OrderID])+1)</f>
        <v>901</v>
      </c>
      <c r="AG742" s="1">
        <f>IF(COUNTIF($E$2:E742,E742)=1,ROW()-1,ROWS(Clean_Data[OrderID])+1)</f>
        <v>901</v>
      </c>
    </row>
    <row r="743" spans="1:33" ht="20" customHeight="1">
      <c r="A743" s="3" t="s">
        <v>1144</v>
      </c>
      <c r="B743" s="2">
        <v>46290</v>
      </c>
      <c r="C743" s="3">
        <v>16</v>
      </c>
      <c r="D743" s="3" t="s">
        <v>303</v>
      </c>
      <c r="E743" s="3" t="s">
        <v>91</v>
      </c>
      <c r="F743" s="3" t="s">
        <v>121</v>
      </c>
      <c r="G743" s="3" t="s">
        <v>110</v>
      </c>
      <c r="H743" s="3" t="s">
        <v>111</v>
      </c>
      <c r="I743" s="3">
        <v>3</v>
      </c>
      <c r="J743" s="11">
        <v>115</v>
      </c>
      <c r="K743" s="4">
        <v>0.15</v>
      </c>
      <c r="L743" s="3" t="s">
        <v>95</v>
      </c>
      <c r="M743" s="3">
        <v>24</v>
      </c>
      <c r="N743" s="3">
        <v>6</v>
      </c>
      <c r="O743" s="3">
        <v>3</v>
      </c>
      <c r="P743" s="11">
        <f>Clean_Data[[#This Row],[Quantity]]*Clean_Data[[#This Row],[UnitPrice]]</f>
        <v>345</v>
      </c>
      <c r="Q743" s="11">
        <f>ROUND(Clean_Data[[#This Row],[GrossSales]]*Clean_Data[[#This Row],[DiscountPct]],2)</f>
        <v>51.75</v>
      </c>
      <c r="R743" s="11">
        <f>IF(Clean_Data[[#This Row],[Status]]="Delivered",ROUND(Clean_Data[[#This Row],[GrossSales]]-Clean_Data[[#This Row],[DiscountAmount]],2),0)</f>
        <v>293.25</v>
      </c>
      <c r="S743" s="3" t="str">
        <f>IF(Clean_Data[[#This Row],[OrderHour]]&lt;6,"Night",IF(Clean_Data[[#This Row],[OrderHour]]&lt;12,"Morning",IF(Clean_Data[[#This Row],[OrderHour]]&lt;18,"Afternoon","Evening")))</f>
        <v>Afternoon</v>
      </c>
      <c r="T743" s="3" t="str">
        <f>TEXT(Clean_Data[[#This Row],[OrderDate]],"[$-409]ddd")</f>
        <v>Fri</v>
      </c>
      <c r="U743" s="3">
        <f>WEEKDAY(Clean_Data[[#This Row],[OrderDate]],2)</f>
        <v>5</v>
      </c>
      <c r="V743" s="3">
        <f>INT(Clean_Data[[#This Row],[OrderHour]]/6)+1</f>
        <v>3</v>
      </c>
      <c r="W743" s="3">
        <f>IF(Clean_Data[[#This Row],[Status]]="Delivered",1,0)</f>
        <v>1</v>
      </c>
      <c r="X743" s="3">
        <f>IF(Clean_Data[[#This Row],[Status]]="Delivered",IF(Clean_Data[[#This Row],[DeliveryMinutes]]&lt;=Dashboard!$X$5,1,0),0)</f>
        <v>1</v>
      </c>
      <c r="Y7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3" s="3">
        <f>IF(AND(Clean_Data[[#This Row],[Include]]=1,Clean_Data[[#This Row],[DeliveredFlag]]=1),1,0)</f>
        <v>1</v>
      </c>
      <c r="AA743" s="1">
        <f>IF(COUNTIF($D$2:D743,D743)=1,ROW()-1,ROWS(Clean_Data[OrderID])+1)</f>
        <v>901</v>
      </c>
      <c r="AB743" s="1">
        <f>IF(COUNTIF($F$2:F743,F743)=1,ROW()-1,ROWS(Clean_Data[OrderID])+1)</f>
        <v>901</v>
      </c>
      <c r="AC743" s="1">
        <f>IF(COUNTIF($G$2:G743,G743)=1,ROW()-1,ROWS(Clean_Data[OrderID])+1)</f>
        <v>901</v>
      </c>
      <c r="AD743" s="1">
        <f>IF(COUNTIF($H$2:H743,H743)=1,ROW()-1,ROWS(Clean_Data[OrderID])+1)</f>
        <v>901</v>
      </c>
      <c r="AE743" s="1">
        <f>IF(COUNTIF($V$2:V743,V743)=1,V743,ROWS(Clean_Data[OrderID])+1)</f>
        <v>901</v>
      </c>
      <c r="AF743" s="1">
        <f>IF(COUNTIF($U$2:U743,U743)=1,U743,ROWS(Clean_Data[OrderID])+1)</f>
        <v>901</v>
      </c>
      <c r="AG743" s="1">
        <f>IF(COUNTIF($E$2:E743,E743)=1,ROW()-1,ROWS(Clean_Data[OrderID])+1)</f>
        <v>901</v>
      </c>
    </row>
    <row r="744" spans="1:33" ht="20" customHeight="1">
      <c r="A744" s="3" t="s">
        <v>1145</v>
      </c>
      <c r="B744" s="2">
        <v>46290</v>
      </c>
      <c r="C744" s="3">
        <v>9</v>
      </c>
      <c r="D744" s="3" t="s">
        <v>894</v>
      </c>
      <c r="E744" s="3" t="s">
        <v>117</v>
      </c>
      <c r="F744" s="3" t="s">
        <v>98</v>
      </c>
      <c r="G744" s="3" t="s">
        <v>110</v>
      </c>
      <c r="H744" s="3" t="s">
        <v>206</v>
      </c>
      <c r="I744" s="3">
        <v>2</v>
      </c>
      <c r="J744" s="11">
        <v>220</v>
      </c>
      <c r="K744" s="4">
        <v>0.15</v>
      </c>
      <c r="L744" s="3" t="s">
        <v>95</v>
      </c>
      <c r="M744" s="3">
        <v>34</v>
      </c>
      <c r="N744" s="3">
        <v>7</v>
      </c>
      <c r="O744" s="3">
        <v>5</v>
      </c>
      <c r="P744" s="11">
        <f>Clean_Data[[#This Row],[Quantity]]*Clean_Data[[#This Row],[UnitPrice]]</f>
        <v>440</v>
      </c>
      <c r="Q744" s="11">
        <f>ROUND(Clean_Data[[#This Row],[GrossSales]]*Clean_Data[[#This Row],[DiscountPct]],2)</f>
        <v>66</v>
      </c>
      <c r="R744" s="11">
        <f>IF(Clean_Data[[#This Row],[Status]]="Delivered",ROUND(Clean_Data[[#This Row],[GrossSales]]-Clean_Data[[#This Row],[DiscountAmount]],2),0)</f>
        <v>374</v>
      </c>
      <c r="S744" s="3" t="str">
        <f>IF(Clean_Data[[#This Row],[OrderHour]]&lt;6,"Night",IF(Clean_Data[[#This Row],[OrderHour]]&lt;12,"Morning",IF(Clean_Data[[#This Row],[OrderHour]]&lt;18,"Afternoon","Evening")))</f>
        <v>Morning</v>
      </c>
      <c r="T744" s="3" t="str">
        <f>TEXT(Clean_Data[[#This Row],[OrderDate]],"[$-409]ddd")</f>
        <v>Fri</v>
      </c>
      <c r="U744" s="3">
        <f>WEEKDAY(Clean_Data[[#This Row],[OrderDate]],2)</f>
        <v>5</v>
      </c>
      <c r="V744" s="3">
        <f>INT(Clean_Data[[#This Row],[OrderHour]]/6)+1</f>
        <v>2</v>
      </c>
      <c r="W744" s="3">
        <f>IF(Clean_Data[[#This Row],[Status]]="Delivered",1,0)</f>
        <v>1</v>
      </c>
      <c r="X744" s="3">
        <f>IF(Clean_Data[[#This Row],[Status]]="Delivered",IF(Clean_Data[[#This Row],[DeliveryMinutes]]&lt;=Dashboard!$X$5,1,0),0)</f>
        <v>0</v>
      </c>
      <c r="Y7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4" s="3">
        <f>IF(AND(Clean_Data[[#This Row],[Include]]=1,Clean_Data[[#This Row],[DeliveredFlag]]=1),1,0)</f>
        <v>1</v>
      </c>
      <c r="AA744" s="1">
        <f>IF(COUNTIF($D$2:D744,D744)=1,ROW()-1,ROWS(Clean_Data[OrderID])+1)</f>
        <v>901</v>
      </c>
      <c r="AB744" s="1">
        <f>IF(COUNTIF($F$2:F744,F744)=1,ROW()-1,ROWS(Clean_Data[OrderID])+1)</f>
        <v>901</v>
      </c>
      <c r="AC744" s="1">
        <f>IF(COUNTIF($G$2:G744,G744)=1,ROW()-1,ROWS(Clean_Data[OrderID])+1)</f>
        <v>901</v>
      </c>
      <c r="AD744" s="1">
        <f>IF(COUNTIF($H$2:H744,H744)=1,ROW()-1,ROWS(Clean_Data[OrderID])+1)</f>
        <v>901</v>
      </c>
      <c r="AE744" s="1">
        <f>IF(COUNTIF($V$2:V744,V744)=1,V744,ROWS(Clean_Data[OrderID])+1)</f>
        <v>901</v>
      </c>
      <c r="AF744" s="1">
        <f>IF(COUNTIF($U$2:U744,U744)=1,U744,ROWS(Clean_Data[OrderID])+1)</f>
        <v>901</v>
      </c>
      <c r="AG744" s="1">
        <f>IF(COUNTIF($E$2:E744,E744)=1,ROW()-1,ROWS(Clean_Data[OrderID])+1)</f>
        <v>901</v>
      </c>
    </row>
    <row r="745" spans="1:33" ht="20" customHeight="1">
      <c r="A745" s="3" t="s">
        <v>1146</v>
      </c>
      <c r="B745" s="2">
        <v>46290</v>
      </c>
      <c r="C745" s="3">
        <v>10</v>
      </c>
      <c r="D745" s="3" t="s">
        <v>250</v>
      </c>
      <c r="E745" s="3" t="s">
        <v>91</v>
      </c>
      <c r="F745" s="3" t="s">
        <v>109</v>
      </c>
      <c r="G745" s="3" t="s">
        <v>135</v>
      </c>
      <c r="H745" s="3" t="s">
        <v>136</v>
      </c>
      <c r="I745" s="3">
        <v>5</v>
      </c>
      <c r="J745" s="11">
        <v>40</v>
      </c>
      <c r="K745" s="4">
        <v>0</v>
      </c>
      <c r="L745" s="3" t="s">
        <v>95</v>
      </c>
      <c r="M745" s="3">
        <v>16</v>
      </c>
      <c r="N745" s="3">
        <v>10</v>
      </c>
      <c r="O745" s="3">
        <v>4</v>
      </c>
      <c r="P745" s="11">
        <f>Clean_Data[[#This Row],[Quantity]]*Clean_Data[[#This Row],[UnitPrice]]</f>
        <v>200</v>
      </c>
      <c r="Q745" s="11">
        <f>ROUND(Clean_Data[[#This Row],[GrossSales]]*Clean_Data[[#This Row],[DiscountPct]],2)</f>
        <v>0</v>
      </c>
      <c r="R745" s="11">
        <f>IF(Clean_Data[[#This Row],[Status]]="Delivered",ROUND(Clean_Data[[#This Row],[GrossSales]]-Clean_Data[[#This Row],[DiscountAmount]],2),0)</f>
        <v>200</v>
      </c>
      <c r="S745" s="3" t="str">
        <f>IF(Clean_Data[[#This Row],[OrderHour]]&lt;6,"Night",IF(Clean_Data[[#This Row],[OrderHour]]&lt;12,"Morning",IF(Clean_Data[[#This Row],[OrderHour]]&lt;18,"Afternoon","Evening")))</f>
        <v>Morning</v>
      </c>
      <c r="T745" s="3" t="str">
        <f>TEXT(Clean_Data[[#This Row],[OrderDate]],"[$-409]ddd")</f>
        <v>Fri</v>
      </c>
      <c r="U745" s="3">
        <f>WEEKDAY(Clean_Data[[#This Row],[OrderDate]],2)</f>
        <v>5</v>
      </c>
      <c r="V745" s="3">
        <f>INT(Clean_Data[[#This Row],[OrderHour]]/6)+1</f>
        <v>2</v>
      </c>
      <c r="W745" s="3">
        <f>IF(Clean_Data[[#This Row],[Status]]="Delivered",1,0)</f>
        <v>1</v>
      </c>
      <c r="X745" s="3">
        <f>IF(Clean_Data[[#This Row],[Status]]="Delivered",IF(Clean_Data[[#This Row],[DeliveryMinutes]]&lt;=Dashboard!$X$5,1,0),0)</f>
        <v>1</v>
      </c>
      <c r="Y7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5" s="3">
        <f>IF(AND(Clean_Data[[#This Row],[Include]]=1,Clean_Data[[#This Row],[DeliveredFlag]]=1),1,0)</f>
        <v>1</v>
      </c>
      <c r="AA745" s="1">
        <f>IF(COUNTIF($D$2:D745,D745)=1,ROW()-1,ROWS(Clean_Data[OrderID])+1)</f>
        <v>901</v>
      </c>
      <c r="AB745" s="1">
        <f>IF(COUNTIF($F$2:F745,F745)=1,ROW()-1,ROWS(Clean_Data[OrderID])+1)</f>
        <v>901</v>
      </c>
      <c r="AC745" s="1">
        <f>IF(COUNTIF($G$2:G745,G745)=1,ROW()-1,ROWS(Clean_Data[OrderID])+1)</f>
        <v>901</v>
      </c>
      <c r="AD745" s="1">
        <f>IF(COUNTIF($H$2:H745,H745)=1,ROW()-1,ROWS(Clean_Data[OrderID])+1)</f>
        <v>901</v>
      </c>
      <c r="AE745" s="1">
        <f>IF(COUNTIF($V$2:V745,V745)=1,V745,ROWS(Clean_Data[OrderID])+1)</f>
        <v>901</v>
      </c>
      <c r="AF745" s="1">
        <f>IF(COUNTIF($U$2:U745,U745)=1,U745,ROWS(Clean_Data[OrderID])+1)</f>
        <v>901</v>
      </c>
      <c r="AG745" s="1">
        <f>IF(COUNTIF($E$2:E745,E745)=1,ROW()-1,ROWS(Clean_Data[OrderID])+1)</f>
        <v>901</v>
      </c>
    </row>
    <row r="746" spans="1:33" ht="20" customHeight="1">
      <c r="A746" s="3" t="s">
        <v>1147</v>
      </c>
      <c r="B746" s="2">
        <v>46290</v>
      </c>
      <c r="C746" s="3">
        <v>14</v>
      </c>
      <c r="D746" s="3" t="s">
        <v>353</v>
      </c>
      <c r="E746" s="3" t="s">
        <v>91</v>
      </c>
      <c r="F746" s="3" t="s">
        <v>109</v>
      </c>
      <c r="G746" s="3" t="s">
        <v>122</v>
      </c>
      <c r="H746" s="3" t="s">
        <v>153</v>
      </c>
      <c r="I746" s="3">
        <v>4</v>
      </c>
      <c r="J746" s="11">
        <v>130</v>
      </c>
      <c r="K746" s="4">
        <v>0</v>
      </c>
      <c r="L746" s="3" t="s">
        <v>95</v>
      </c>
      <c r="M746" s="3">
        <v>18</v>
      </c>
      <c r="N746" s="3">
        <v>13</v>
      </c>
      <c r="O746" s="3">
        <v>4</v>
      </c>
      <c r="P746" s="11">
        <f>Clean_Data[[#This Row],[Quantity]]*Clean_Data[[#This Row],[UnitPrice]]</f>
        <v>520</v>
      </c>
      <c r="Q746" s="11">
        <f>ROUND(Clean_Data[[#This Row],[GrossSales]]*Clean_Data[[#This Row],[DiscountPct]],2)</f>
        <v>0</v>
      </c>
      <c r="R746" s="11">
        <f>IF(Clean_Data[[#This Row],[Status]]="Delivered",ROUND(Clean_Data[[#This Row],[GrossSales]]-Clean_Data[[#This Row],[DiscountAmount]],2),0)</f>
        <v>520</v>
      </c>
      <c r="S746" s="3" t="str">
        <f>IF(Clean_Data[[#This Row],[OrderHour]]&lt;6,"Night",IF(Clean_Data[[#This Row],[OrderHour]]&lt;12,"Morning",IF(Clean_Data[[#This Row],[OrderHour]]&lt;18,"Afternoon","Evening")))</f>
        <v>Afternoon</v>
      </c>
      <c r="T746" s="3" t="str">
        <f>TEXT(Clean_Data[[#This Row],[OrderDate]],"[$-409]ddd")</f>
        <v>Fri</v>
      </c>
      <c r="U746" s="3">
        <f>WEEKDAY(Clean_Data[[#This Row],[OrderDate]],2)</f>
        <v>5</v>
      </c>
      <c r="V746" s="3">
        <f>INT(Clean_Data[[#This Row],[OrderHour]]/6)+1</f>
        <v>3</v>
      </c>
      <c r="W746" s="3">
        <f>IF(Clean_Data[[#This Row],[Status]]="Delivered",1,0)</f>
        <v>1</v>
      </c>
      <c r="X746" s="3">
        <f>IF(Clean_Data[[#This Row],[Status]]="Delivered",IF(Clean_Data[[#This Row],[DeliveryMinutes]]&lt;=Dashboard!$X$5,1,0),0)</f>
        <v>1</v>
      </c>
      <c r="Y7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6" s="3">
        <f>IF(AND(Clean_Data[[#This Row],[Include]]=1,Clean_Data[[#This Row],[DeliveredFlag]]=1),1,0)</f>
        <v>1</v>
      </c>
      <c r="AA746" s="1">
        <f>IF(COUNTIF($D$2:D746,D746)=1,ROW()-1,ROWS(Clean_Data[OrderID])+1)</f>
        <v>901</v>
      </c>
      <c r="AB746" s="1">
        <f>IF(COUNTIF($F$2:F746,F746)=1,ROW()-1,ROWS(Clean_Data[OrderID])+1)</f>
        <v>901</v>
      </c>
      <c r="AC746" s="1">
        <f>IF(COUNTIF($G$2:G746,G746)=1,ROW()-1,ROWS(Clean_Data[OrderID])+1)</f>
        <v>901</v>
      </c>
      <c r="AD746" s="1">
        <f>IF(COUNTIF($H$2:H746,H746)=1,ROW()-1,ROWS(Clean_Data[OrderID])+1)</f>
        <v>901</v>
      </c>
      <c r="AE746" s="1">
        <f>IF(COUNTIF($V$2:V746,V746)=1,V746,ROWS(Clean_Data[OrderID])+1)</f>
        <v>901</v>
      </c>
      <c r="AF746" s="1">
        <f>IF(COUNTIF($U$2:U746,U746)=1,U746,ROWS(Clean_Data[OrderID])+1)</f>
        <v>901</v>
      </c>
      <c r="AG746" s="1">
        <f>IF(COUNTIF($E$2:E746,E746)=1,ROW()-1,ROWS(Clean_Data[OrderID])+1)</f>
        <v>901</v>
      </c>
    </row>
    <row r="747" spans="1:33" ht="20" customHeight="1">
      <c r="A747" s="3" t="s">
        <v>1148</v>
      </c>
      <c r="B747" s="2">
        <v>46290</v>
      </c>
      <c r="C747" s="3">
        <v>9</v>
      </c>
      <c r="D747" s="3" t="s">
        <v>664</v>
      </c>
      <c r="E747" s="3" t="s">
        <v>91</v>
      </c>
      <c r="F747" s="3" t="s">
        <v>109</v>
      </c>
      <c r="G747" s="3" t="s">
        <v>99</v>
      </c>
      <c r="H747" s="3" t="s">
        <v>100</v>
      </c>
      <c r="I747" s="3">
        <v>3</v>
      </c>
      <c r="J747" s="11">
        <v>120</v>
      </c>
      <c r="K747" s="4">
        <v>0</v>
      </c>
      <c r="L747" s="3" t="s">
        <v>95</v>
      </c>
      <c r="M747" s="3">
        <v>15</v>
      </c>
      <c r="N747" s="3">
        <v>10</v>
      </c>
      <c r="O747" s="3">
        <v>5</v>
      </c>
      <c r="P747" s="11">
        <f>Clean_Data[[#This Row],[Quantity]]*Clean_Data[[#This Row],[UnitPrice]]</f>
        <v>360</v>
      </c>
      <c r="Q747" s="11">
        <f>ROUND(Clean_Data[[#This Row],[GrossSales]]*Clean_Data[[#This Row],[DiscountPct]],2)</f>
        <v>0</v>
      </c>
      <c r="R747" s="11">
        <f>IF(Clean_Data[[#This Row],[Status]]="Delivered",ROUND(Clean_Data[[#This Row],[GrossSales]]-Clean_Data[[#This Row],[DiscountAmount]],2),0)</f>
        <v>360</v>
      </c>
      <c r="S747" s="3" t="str">
        <f>IF(Clean_Data[[#This Row],[OrderHour]]&lt;6,"Night",IF(Clean_Data[[#This Row],[OrderHour]]&lt;12,"Morning",IF(Clean_Data[[#This Row],[OrderHour]]&lt;18,"Afternoon","Evening")))</f>
        <v>Morning</v>
      </c>
      <c r="T747" s="3" t="str">
        <f>TEXT(Clean_Data[[#This Row],[OrderDate]],"[$-409]ddd")</f>
        <v>Fri</v>
      </c>
      <c r="U747" s="3">
        <f>WEEKDAY(Clean_Data[[#This Row],[OrderDate]],2)</f>
        <v>5</v>
      </c>
      <c r="V747" s="3">
        <f>INT(Clean_Data[[#This Row],[OrderHour]]/6)+1</f>
        <v>2</v>
      </c>
      <c r="W747" s="3">
        <f>IF(Clean_Data[[#This Row],[Status]]="Delivered",1,0)</f>
        <v>1</v>
      </c>
      <c r="X747" s="3">
        <f>IF(Clean_Data[[#This Row],[Status]]="Delivered",IF(Clean_Data[[#This Row],[DeliveryMinutes]]&lt;=Dashboard!$X$5,1,0),0)</f>
        <v>1</v>
      </c>
      <c r="Y7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7" s="3">
        <f>IF(AND(Clean_Data[[#This Row],[Include]]=1,Clean_Data[[#This Row],[DeliveredFlag]]=1),1,0)</f>
        <v>1</v>
      </c>
      <c r="AA747" s="1">
        <f>IF(COUNTIF($D$2:D747,D747)=1,ROW()-1,ROWS(Clean_Data[OrderID])+1)</f>
        <v>901</v>
      </c>
      <c r="AB747" s="1">
        <f>IF(COUNTIF($F$2:F747,F747)=1,ROW()-1,ROWS(Clean_Data[OrderID])+1)</f>
        <v>901</v>
      </c>
      <c r="AC747" s="1">
        <f>IF(COUNTIF($G$2:G747,G747)=1,ROW()-1,ROWS(Clean_Data[OrderID])+1)</f>
        <v>901</v>
      </c>
      <c r="AD747" s="1">
        <f>IF(COUNTIF($H$2:H747,H747)=1,ROW()-1,ROWS(Clean_Data[OrderID])+1)</f>
        <v>901</v>
      </c>
      <c r="AE747" s="1">
        <f>IF(COUNTIF($V$2:V747,V747)=1,V747,ROWS(Clean_Data[OrderID])+1)</f>
        <v>901</v>
      </c>
      <c r="AF747" s="1">
        <f>IF(COUNTIF($U$2:U747,U747)=1,U747,ROWS(Clean_Data[OrderID])+1)</f>
        <v>901</v>
      </c>
      <c r="AG747" s="1">
        <f>IF(COUNTIF($E$2:E747,E747)=1,ROW()-1,ROWS(Clean_Data[OrderID])+1)</f>
        <v>901</v>
      </c>
    </row>
    <row r="748" spans="1:33" ht="20" customHeight="1">
      <c r="A748" s="3" t="s">
        <v>1149</v>
      </c>
      <c r="B748" s="2">
        <v>46290</v>
      </c>
      <c r="C748" s="3">
        <v>21</v>
      </c>
      <c r="D748" s="3" t="s">
        <v>216</v>
      </c>
      <c r="E748" s="3" t="s">
        <v>91</v>
      </c>
      <c r="F748" s="3" t="s">
        <v>98</v>
      </c>
      <c r="G748" s="3" t="s">
        <v>99</v>
      </c>
      <c r="H748" s="3" t="s">
        <v>130</v>
      </c>
      <c r="I748" s="3">
        <v>4</v>
      </c>
      <c r="J748" s="11">
        <v>85</v>
      </c>
      <c r="K748" s="4">
        <v>0</v>
      </c>
      <c r="L748" s="3" t="s">
        <v>95</v>
      </c>
      <c r="M748" s="3">
        <v>27</v>
      </c>
      <c r="N748" s="3">
        <v>10</v>
      </c>
      <c r="O748" s="3">
        <v>3</v>
      </c>
      <c r="P748" s="11">
        <f>Clean_Data[[#This Row],[Quantity]]*Clean_Data[[#This Row],[UnitPrice]]</f>
        <v>340</v>
      </c>
      <c r="Q748" s="11">
        <f>ROUND(Clean_Data[[#This Row],[GrossSales]]*Clean_Data[[#This Row],[DiscountPct]],2)</f>
        <v>0</v>
      </c>
      <c r="R748" s="11">
        <f>IF(Clean_Data[[#This Row],[Status]]="Delivered",ROUND(Clean_Data[[#This Row],[GrossSales]]-Clean_Data[[#This Row],[DiscountAmount]],2),0)</f>
        <v>340</v>
      </c>
      <c r="S748" s="3" t="str">
        <f>IF(Clean_Data[[#This Row],[OrderHour]]&lt;6,"Night",IF(Clean_Data[[#This Row],[OrderHour]]&lt;12,"Morning",IF(Clean_Data[[#This Row],[OrderHour]]&lt;18,"Afternoon","Evening")))</f>
        <v>Evening</v>
      </c>
      <c r="T748" s="3" t="str">
        <f>TEXT(Clean_Data[[#This Row],[OrderDate]],"[$-409]ddd")</f>
        <v>Fri</v>
      </c>
      <c r="U748" s="3">
        <f>WEEKDAY(Clean_Data[[#This Row],[OrderDate]],2)</f>
        <v>5</v>
      </c>
      <c r="V748" s="3">
        <f>INT(Clean_Data[[#This Row],[OrderHour]]/6)+1</f>
        <v>4</v>
      </c>
      <c r="W748" s="3">
        <f>IF(Clean_Data[[#This Row],[Status]]="Delivered",1,0)</f>
        <v>1</v>
      </c>
      <c r="X748" s="3">
        <f>IF(Clean_Data[[#This Row],[Status]]="Delivered",IF(Clean_Data[[#This Row],[DeliveryMinutes]]&lt;=Dashboard!$X$5,1,0),0)</f>
        <v>1</v>
      </c>
      <c r="Y7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8" s="3">
        <f>IF(AND(Clean_Data[[#This Row],[Include]]=1,Clean_Data[[#This Row],[DeliveredFlag]]=1),1,0)</f>
        <v>1</v>
      </c>
      <c r="AA748" s="1">
        <f>IF(COUNTIF($D$2:D748,D748)=1,ROW()-1,ROWS(Clean_Data[OrderID])+1)</f>
        <v>901</v>
      </c>
      <c r="AB748" s="1">
        <f>IF(COUNTIF($F$2:F748,F748)=1,ROW()-1,ROWS(Clean_Data[OrderID])+1)</f>
        <v>901</v>
      </c>
      <c r="AC748" s="1">
        <f>IF(COUNTIF($G$2:G748,G748)=1,ROW()-1,ROWS(Clean_Data[OrderID])+1)</f>
        <v>901</v>
      </c>
      <c r="AD748" s="1">
        <f>IF(COUNTIF($H$2:H748,H748)=1,ROW()-1,ROWS(Clean_Data[OrderID])+1)</f>
        <v>901</v>
      </c>
      <c r="AE748" s="1">
        <f>IF(COUNTIF($V$2:V748,V748)=1,V748,ROWS(Clean_Data[OrderID])+1)</f>
        <v>901</v>
      </c>
      <c r="AF748" s="1">
        <f>IF(COUNTIF($U$2:U748,U748)=1,U748,ROWS(Clean_Data[OrderID])+1)</f>
        <v>901</v>
      </c>
      <c r="AG748" s="1">
        <f>IF(COUNTIF($E$2:E748,E748)=1,ROW()-1,ROWS(Clean_Data[OrderID])+1)</f>
        <v>901</v>
      </c>
    </row>
    <row r="749" spans="1:33" ht="20" customHeight="1">
      <c r="A749" s="3" t="s">
        <v>1150</v>
      </c>
      <c r="B749" s="2">
        <v>46290</v>
      </c>
      <c r="C749" s="3">
        <v>12</v>
      </c>
      <c r="D749" s="3" t="s">
        <v>365</v>
      </c>
      <c r="E749" s="3" t="s">
        <v>91</v>
      </c>
      <c r="F749" s="3" t="s">
        <v>92</v>
      </c>
      <c r="G749" s="3" t="s">
        <v>135</v>
      </c>
      <c r="H749" s="3" t="s">
        <v>136</v>
      </c>
      <c r="I749" s="3">
        <v>5</v>
      </c>
      <c r="J749" s="11">
        <v>40</v>
      </c>
      <c r="K749" s="4">
        <v>0</v>
      </c>
      <c r="L749" s="3" t="s">
        <v>101</v>
      </c>
      <c r="M749" s="3"/>
      <c r="N749" s="3"/>
      <c r="O749" s="3"/>
      <c r="P749" s="11">
        <f>Clean_Data[[#This Row],[Quantity]]*Clean_Data[[#This Row],[UnitPrice]]</f>
        <v>200</v>
      </c>
      <c r="Q749" s="11">
        <f>ROUND(Clean_Data[[#This Row],[GrossSales]]*Clean_Data[[#This Row],[DiscountPct]],2)</f>
        <v>0</v>
      </c>
      <c r="R749" s="11">
        <f>IF(Clean_Data[[#This Row],[Status]]="Delivered",ROUND(Clean_Data[[#This Row],[GrossSales]]-Clean_Data[[#This Row],[DiscountAmount]],2),0)</f>
        <v>0</v>
      </c>
      <c r="S749" s="3" t="str">
        <f>IF(Clean_Data[[#This Row],[OrderHour]]&lt;6,"Night",IF(Clean_Data[[#This Row],[OrderHour]]&lt;12,"Morning",IF(Clean_Data[[#This Row],[OrderHour]]&lt;18,"Afternoon","Evening")))</f>
        <v>Afternoon</v>
      </c>
      <c r="T749" s="3" t="str">
        <f>TEXT(Clean_Data[[#This Row],[OrderDate]],"[$-409]ddd")</f>
        <v>Fri</v>
      </c>
      <c r="U749" s="3">
        <f>WEEKDAY(Clean_Data[[#This Row],[OrderDate]],2)</f>
        <v>5</v>
      </c>
      <c r="V749" s="3">
        <f>INT(Clean_Data[[#This Row],[OrderHour]]/6)+1</f>
        <v>3</v>
      </c>
      <c r="W749" s="3">
        <f>IF(Clean_Data[[#This Row],[Status]]="Delivered",1,0)</f>
        <v>0</v>
      </c>
      <c r="X749" s="3">
        <f>IF(Clean_Data[[#This Row],[Status]]="Delivered",IF(Clean_Data[[#This Row],[DeliveryMinutes]]&lt;=Dashboard!$X$5,1,0),0)</f>
        <v>0</v>
      </c>
      <c r="Y7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49" s="3">
        <f>IF(AND(Clean_Data[[#This Row],[Include]]=1,Clean_Data[[#This Row],[DeliveredFlag]]=1),1,0)</f>
        <v>0</v>
      </c>
      <c r="AA749" s="1">
        <f>IF(COUNTIF($D$2:D749,D749)=1,ROW()-1,ROWS(Clean_Data[OrderID])+1)</f>
        <v>901</v>
      </c>
      <c r="AB749" s="1">
        <f>IF(COUNTIF($F$2:F749,F749)=1,ROW()-1,ROWS(Clean_Data[OrderID])+1)</f>
        <v>901</v>
      </c>
      <c r="AC749" s="1">
        <f>IF(COUNTIF($G$2:G749,G749)=1,ROW()-1,ROWS(Clean_Data[OrderID])+1)</f>
        <v>901</v>
      </c>
      <c r="AD749" s="1">
        <f>IF(COUNTIF($H$2:H749,H749)=1,ROW()-1,ROWS(Clean_Data[OrderID])+1)</f>
        <v>901</v>
      </c>
      <c r="AE749" s="1">
        <f>IF(COUNTIF($V$2:V749,V749)=1,V749,ROWS(Clean_Data[OrderID])+1)</f>
        <v>901</v>
      </c>
      <c r="AF749" s="1">
        <f>IF(COUNTIF($U$2:U749,U749)=1,U749,ROWS(Clean_Data[OrderID])+1)</f>
        <v>901</v>
      </c>
      <c r="AG749" s="1">
        <f>IF(COUNTIF($E$2:E749,E749)=1,ROW()-1,ROWS(Clean_Data[OrderID])+1)</f>
        <v>901</v>
      </c>
    </row>
    <row r="750" spans="1:33" ht="20" customHeight="1">
      <c r="A750" s="3" t="s">
        <v>1151</v>
      </c>
      <c r="B750" s="2">
        <v>46290</v>
      </c>
      <c r="C750" s="3">
        <v>11</v>
      </c>
      <c r="D750" s="3" t="s">
        <v>592</v>
      </c>
      <c r="E750" s="3" t="s">
        <v>91</v>
      </c>
      <c r="F750" s="3" t="s">
        <v>92</v>
      </c>
      <c r="G750" s="3" t="s">
        <v>110</v>
      </c>
      <c r="H750" s="3" t="s">
        <v>114</v>
      </c>
      <c r="I750" s="3">
        <v>2</v>
      </c>
      <c r="J750" s="11">
        <v>145</v>
      </c>
      <c r="K750" s="4">
        <v>0.1</v>
      </c>
      <c r="L750" s="3" t="s">
        <v>95</v>
      </c>
      <c r="M750" s="3">
        <v>23</v>
      </c>
      <c r="N750" s="3">
        <v>5</v>
      </c>
      <c r="O750" s="3">
        <v>5</v>
      </c>
      <c r="P750" s="11">
        <f>Clean_Data[[#This Row],[Quantity]]*Clean_Data[[#This Row],[UnitPrice]]</f>
        <v>290</v>
      </c>
      <c r="Q750" s="11">
        <f>ROUND(Clean_Data[[#This Row],[GrossSales]]*Clean_Data[[#This Row],[DiscountPct]],2)</f>
        <v>29</v>
      </c>
      <c r="R750" s="11">
        <f>IF(Clean_Data[[#This Row],[Status]]="Delivered",ROUND(Clean_Data[[#This Row],[GrossSales]]-Clean_Data[[#This Row],[DiscountAmount]],2),0)</f>
        <v>261</v>
      </c>
      <c r="S750" s="3" t="str">
        <f>IF(Clean_Data[[#This Row],[OrderHour]]&lt;6,"Night",IF(Clean_Data[[#This Row],[OrderHour]]&lt;12,"Morning",IF(Clean_Data[[#This Row],[OrderHour]]&lt;18,"Afternoon","Evening")))</f>
        <v>Morning</v>
      </c>
      <c r="T750" s="3" t="str">
        <f>TEXT(Clean_Data[[#This Row],[OrderDate]],"[$-409]ddd")</f>
        <v>Fri</v>
      </c>
      <c r="U750" s="3">
        <f>WEEKDAY(Clean_Data[[#This Row],[OrderDate]],2)</f>
        <v>5</v>
      </c>
      <c r="V750" s="3">
        <f>INT(Clean_Data[[#This Row],[OrderHour]]/6)+1</f>
        <v>2</v>
      </c>
      <c r="W750" s="3">
        <f>IF(Clean_Data[[#This Row],[Status]]="Delivered",1,0)</f>
        <v>1</v>
      </c>
      <c r="X750" s="3">
        <f>IF(Clean_Data[[#This Row],[Status]]="Delivered",IF(Clean_Data[[#This Row],[DeliveryMinutes]]&lt;=Dashboard!$X$5,1,0),0)</f>
        <v>1</v>
      </c>
      <c r="Y7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0" s="3">
        <f>IF(AND(Clean_Data[[#This Row],[Include]]=1,Clean_Data[[#This Row],[DeliveredFlag]]=1),1,0)</f>
        <v>1</v>
      </c>
      <c r="AA750" s="1">
        <f>IF(COUNTIF($D$2:D750,D750)=1,ROW()-1,ROWS(Clean_Data[OrderID])+1)</f>
        <v>901</v>
      </c>
      <c r="AB750" s="1">
        <f>IF(COUNTIF($F$2:F750,F750)=1,ROW()-1,ROWS(Clean_Data[OrderID])+1)</f>
        <v>901</v>
      </c>
      <c r="AC750" s="1">
        <f>IF(COUNTIF($G$2:G750,G750)=1,ROW()-1,ROWS(Clean_Data[OrderID])+1)</f>
        <v>901</v>
      </c>
      <c r="AD750" s="1">
        <f>IF(COUNTIF($H$2:H750,H750)=1,ROW()-1,ROWS(Clean_Data[OrderID])+1)</f>
        <v>901</v>
      </c>
      <c r="AE750" s="1">
        <f>IF(COUNTIF($V$2:V750,V750)=1,V750,ROWS(Clean_Data[OrderID])+1)</f>
        <v>901</v>
      </c>
      <c r="AF750" s="1">
        <f>IF(COUNTIF($U$2:U750,U750)=1,U750,ROWS(Clean_Data[OrderID])+1)</f>
        <v>901</v>
      </c>
      <c r="AG750" s="1">
        <f>IF(COUNTIF($E$2:E750,E750)=1,ROW()-1,ROWS(Clean_Data[OrderID])+1)</f>
        <v>901</v>
      </c>
    </row>
    <row r="751" spans="1:33" ht="20" customHeight="1">
      <c r="A751" s="3" t="s">
        <v>1152</v>
      </c>
      <c r="B751" s="2">
        <v>46290</v>
      </c>
      <c r="C751" s="3">
        <v>7</v>
      </c>
      <c r="D751" s="3" t="s">
        <v>125</v>
      </c>
      <c r="E751" s="3" t="s">
        <v>91</v>
      </c>
      <c r="F751" s="3" t="s">
        <v>92</v>
      </c>
      <c r="G751" s="3" t="s">
        <v>110</v>
      </c>
      <c r="H751" s="3" t="s">
        <v>206</v>
      </c>
      <c r="I751" s="3">
        <v>2</v>
      </c>
      <c r="J751" s="11">
        <v>220</v>
      </c>
      <c r="K751" s="4">
        <v>0</v>
      </c>
      <c r="L751" s="3" t="s">
        <v>95</v>
      </c>
      <c r="M751" s="3">
        <v>26</v>
      </c>
      <c r="N751" s="3">
        <v>6</v>
      </c>
      <c r="O751" s="3">
        <v>3</v>
      </c>
      <c r="P751" s="11">
        <f>Clean_Data[[#This Row],[Quantity]]*Clean_Data[[#This Row],[UnitPrice]]</f>
        <v>440</v>
      </c>
      <c r="Q751" s="11">
        <f>ROUND(Clean_Data[[#This Row],[GrossSales]]*Clean_Data[[#This Row],[DiscountPct]],2)</f>
        <v>0</v>
      </c>
      <c r="R751" s="11">
        <f>IF(Clean_Data[[#This Row],[Status]]="Delivered",ROUND(Clean_Data[[#This Row],[GrossSales]]-Clean_Data[[#This Row],[DiscountAmount]],2),0)</f>
        <v>440</v>
      </c>
      <c r="S751" s="3" t="str">
        <f>IF(Clean_Data[[#This Row],[OrderHour]]&lt;6,"Night",IF(Clean_Data[[#This Row],[OrderHour]]&lt;12,"Morning",IF(Clean_Data[[#This Row],[OrderHour]]&lt;18,"Afternoon","Evening")))</f>
        <v>Morning</v>
      </c>
      <c r="T751" s="3" t="str">
        <f>TEXT(Clean_Data[[#This Row],[OrderDate]],"[$-409]ddd")</f>
        <v>Fri</v>
      </c>
      <c r="U751" s="3">
        <f>WEEKDAY(Clean_Data[[#This Row],[OrderDate]],2)</f>
        <v>5</v>
      </c>
      <c r="V751" s="3">
        <f>INT(Clean_Data[[#This Row],[OrderHour]]/6)+1</f>
        <v>2</v>
      </c>
      <c r="W751" s="3">
        <f>IF(Clean_Data[[#This Row],[Status]]="Delivered",1,0)</f>
        <v>1</v>
      </c>
      <c r="X751" s="3">
        <f>IF(Clean_Data[[#This Row],[Status]]="Delivered",IF(Clean_Data[[#This Row],[DeliveryMinutes]]&lt;=Dashboard!$X$5,1,0),0)</f>
        <v>1</v>
      </c>
      <c r="Y7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1" s="3">
        <f>IF(AND(Clean_Data[[#This Row],[Include]]=1,Clean_Data[[#This Row],[DeliveredFlag]]=1),1,0)</f>
        <v>1</v>
      </c>
      <c r="AA751" s="1">
        <f>IF(COUNTIF($D$2:D751,D751)=1,ROW()-1,ROWS(Clean_Data[OrderID])+1)</f>
        <v>901</v>
      </c>
      <c r="AB751" s="1">
        <f>IF(COUNTIF($F$2:F751,F751)=1,ROW()-1,ROWS(Clean_Data[OrderID])+1)</f>
        <v>901</v>
      </c>
      <c r="AC751" s="1">
        <f>IF(COUNTIF($G$2:G751,G751)=1,ROW()-1,ROWS(Clean_Data[OrderID])+1)</f>
        <v>901</v>
      </c>
      <c r="AD751" s="1">
        <f>IF(COUNTIF($H$2:H751,H751)=1,ROW()-1,ROWS(Clean_Data[OrderID])+1)</f>
        <v>901</v>
      </c>
      <c r="AE751" s="1">
        <f>IF(COUNTIF($V$2:V751,V751)=1,V751,ROWS(Clean_Data[OrderID])+1)</f>
        <v>901</v>
      </c>
      <c r="AF751" s="1">
        <f>IF(COUNTIF($U$2:U751,U751)=1,U751,ROWS(Clean_Data[OrderID])+1)</f>
        <v>901</v>
      </c>
      <c r="AG751" s="1">
        <f>IF(COUNTIF($E$2:E751,E751)=1,ROW()-1,ROWS(Clean_Data[OrderID])+1)</f>
        <v>901</v>
      </c>
    </row>
    <row r="752" spans="1:33" ht="20" customHeight="1">
      <c r="A752" s="3" t="s">
        <v>1153</v>
      </c>
      <c r="B752" s="2">
        <v>46291</v>
      </c>
      <c r="C752" s="3">
        <v>6</v>
      </c>
      <c r="D752" s="3" t="s">
        <v>460</v>
      </c>
      <c r="E752" s="3" t="s">
        <v>117</v>
      </c>
      <c r="F752" s="3" t="s">
        <v>121</v>
      </c>
      <c r="G752" s="3" t="s">
        <v>99</v>
      </c>
      <c r="H752" s="3" t="s">
        <v>130</v>
      </c>
      <c r="I752" s="3">
        <v>6</v>
      </c>
      <c r="J752" s="11">
        <v>85</v>
      </c>
      <c r="K752" s="4">
        <v>0.1</v>
      </c>
      <c r="L752" s="3" t="s">
        <v>101</v>
      </c>
      <c r="M752" s="3"/>
      <c r="N752" s="3"/>
      <c r="O752" s="3"/>
      <c r="P752" s="11">
        <f>Clean_Data[[#This Row],[Quantity]]*Clean_Data[[#This Row],[UnitPrice]]</f>
        <v>510</v>
      </c>
      <c r="Q752" s="11">
        <f>ROUND(Clean_Data[[#This Row],[GrossSales]]*Clean_Data[[#This Row],[DiscountPct]],2)</f>
        <v>51</v>
      </c>
      <c r="R752" s="11">
        <f>IF(Clean_Data[[#This Row],[Status]]="Delivered",ROUND(Clean_Data[[#This Row],[GrossSales]]-Clean_Data[[#This Row],[DiscountAmount]],2),0)</f>
        <v>0</v>
      </c>
      <c r="S752" s="3" t="str">
        <f>IF(Clean_Data[[#This Row],[OrderHour]]&lt;6,"Night",IF(Clean_Data[[#This Row],[OrderHour]]&lt;12,"Morning",IF(Clean_Data[[#This Row],[OrderHour]]&lt;18,"Afternoon","Evening")))</f>
        <v>Morning</v>
      </c>
      <c r="T752" s="3" t="str">
        <f>TEXT(Clean_Data[[#This Row],[OrderDate]],"[$-409]ddd")</f>
        <v>Sat</v>
      </c>
      <c r="U752" s="3">
        <f>WEEKDAY(Clean_Data[[#This Row],[OrderDate]],2)</f>
        <v>6</v>
      </c>
      <c r="V752" s="3">
        <f>INT(Clean_Data[[#This Row],[OrderHour]]/6)+1</f>
        <v>2</v>
      </c>
      <c r="W752" s="3">
        <f>IF(Clean_Data[[#This Row],[Status]]="Delivered",1,0)</f>
        <v>0</v>
      </c>
      <c r="X752" s="3">
        <f>IF(Clean_Data[[#This Row],[Status]]="Delivered",IF(Clean_Data[[#This Row],[DeliveryMinutes]]&lt;=Dashboard!$X$5,1,0),0)</f>
        <v>0</v>
      </c>
      <c r="Y7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2" s="3">
        <f>IF(AND(Clean_Data[[#This Row],[Include]]=1,Clean_Data[[#This Row],[DeliveredFlag]]=1),1,0)</f>
        <v>0</v>
      </c>
      <c r="AA752" s="1">
        <f>IF(COUNTIF($D$2:D752,D752)=1,ROW()-1,ROWS(Clean_Data[OrderID])+1)</f>
        <v>901</v>
      </c>
      <c r="AB752" s="1">
        <f>IF(COUNTIF($F$2:F752,F752)=1,ROW()-1,ROWS(Clean_Data[OrderID])+1)</f>
        <v>901</v>
      </c>
      <c r="AC752" s="1">
        <f>IF(COUNTIF($G$2:G752,G752)=1,ROW()-1,ROWS(Clean_Data[OrderID])+1)</f>
        <v>901</v>
      </c>
      <c r="AD752" s="1">
        <f>IF(COUNTIF($H$2:H752,H752)=1,ROW()-1,ROWS(Clean_Data[OrderID])+1)</f>
        <v>901</v>
      </c>
      <c r="AE752" s="1">
        <f>IF(COUNTIF($V$2:V752,V752)=1,V752,ROWS(Clean_Data[OrderID])+1)</f>
        <v>901</v>
      </c>
      <c r="AF752" s="1">
        <f>IF(COUNTIF($U$2:U752,U752)=1,U752,ROWS(Clean_Data[OrderID])+1)</f>
        <v>901</v>
      </c>
      <c r="AG752" s="1">
        <f>IF(COUNTIF($E$2:E752,E752)=1,ROW()-1,ROWS(Clean_Data[OrderID])+1)</f>
        <v>901</v>
      </c>
    </row>
    <row r="753" spans="1:33" ht="20" customHeight="1">
      <c r="A753" s="3" t="s">
        <v>1154</v>
      </c>
      <c r="B753" s="2">
        <v>46291</v>
      </c>
      <c r="C753" s="3">
        <v>10</v>
      </c>
      <c r="D753" s="3" t="s">
        <v>423</v>
      </c>
      <c r="E753" s="3" t="s">
        <v>91</v>
      </c>
      <c r="F753" s="3" t="s">
        <v>98</v>
      </c>
      <c r="G753" s="3" t="s">
        <v>99</v>
      </c>
      <c r="H753" s="3" t="s">
        <v>130</v>
      </c>
      <c r="I753" s="3">
        <v>1</v>
      </c>
      <c r="J753" s="11">
        <v>85</v>
      </c>
      <c r="K753" s="4">
        <v>0</v>
      </c>
      <c r="L753" s="3" t="s">
        <v>95</v>
      </c>
      <c r="M753" s="3">
        <v>16</v>
      </c>
      <c r="N753" s="3">
        <v>15</v>
      </c>
      <c r="O753" s="3">
        <v>3</v>
      </c>
      <c r="P753" s="11">
        <f>Clean_Data[[#This Row],[Quantity]]*Clean_Data[[#This Row],[UnitPrice]]</f>
        <v>85</v>
      </c>
      <c r="Q753" s="11">
        <f>ROUND(Clean_Data[[#This Row],[GrossSales]]*Clean_Data[[#This Row],[DiscountPct]],2)</f>
        <v>0</v>
      </c>
      <c r="R753" s="11">
        <f>IF(Clean_Data[[#This Row],[Status]]="Delivered",ROUND(Clean_Data[[#This Row],[GrossSales]]-Clean_Data[[#This Row],[DiscountAmount]],2),0)</f>
        <v>85</v>
      </c>
      <c r="S753" s="3" t="str">
        <f>IF(Clean_Data[[#This Row],[OrderHour]]&lt;6,"Night",IF(Clean_Data[[#This Row],[OrderHour]]&lt;12,"Morning",IF(Clean_Data[[#This Row],[OrderHour]]&lt;18,"Afternoon","Evening")))</f>
        <v>Morning</v>
      </c>
      <c r="T753" s="3" t="str">
        <f>TEXT(Clean_Data[[#This Row],[OrderDate]],"[$-409]ddd")</f>
        <v>Sat</v>
      </c>
      <c r="U753" s="3">
        <f>WEEKDAY(Clean_Data[[#This Row],[OrderDate]],2)</f>
        <v>6</v>
      </c>
      <c r="V753" s="3">
        <f>INT(Clean_Data[[#This Row],[OrderHour]]/6)+1</f>
        <v>2</v>
      </c>
      <c r="W753" s="3">
        <f>IF(Clean_Data[[#This Row],[Status]]="Delivered",1,0)</f>
        <v>1</v>
      </c>
      <c r="X753" s="3">
        <f>IF(Clean_Data[[#This Row],[Status]]="Delivered",IF(Clean_Data[[#This Row],[DeliveryMinutes]]&lt;=Dashboard!$X$5,1,0),0)</f>
        <v>1</v>
      </c>
      <c r="Y7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3" s="3">
        <f>IF(AND(Clean_Data[[#This Row],[Include]]=1,Clean_Data[[#This Row],[DeliveredFlag]]=1),1,0)</f>
        <v>1</v>
      </c>
      <c r="AA753" s="1">
        <f>IF(COUNTIF($D$2:D753,D753)=1,ROW()-1,ROWS(Clean_Data[OrderID])+1)</f>
        <v>901</v>
      </c>
      <c r="AB753" s="1">
        <f>IF(COUNTIF($F$2:F753,F753)=1,ROW()-1,ROWS(Clean_Data[OrderID])+1)</f>
        <v>901</v>
      </c>
      <c r="AC753" s="1">
        <f>IF(COUNTIF($G$2:G753,G753)=1,ROW()-1,ROWS(Clean_Data[OrderID])+1)</f>
        <v>901</v>
      </c>
      <c r="AD753" s="1">
        <f>IF(COUNTIF($H$2:H753,H753)=1,ROW()-1,ROWS(Clean_Data[OrderID])+1)</f>
        <v>901</v>
      </c>
      <c r="AE753" s="1">
        <f>IF(COUNTIF($V$2:V753,V753)=1,V753,ROWS(Clean_Data[OrderID])+1)</f>
        <v>901</v>
      </c>
      <c r="AF753" s="1">
        <f>IF(COUNTIF($U$2:U753,U753)=1,U753,ROWS(Clean_Data[OrderID])+1)</f>
        <v>901</v>
      </c>
      <c r="AG753" s="1">
        <f>IF(COUNTIF($E$2:E753,E753)=1,ROW()-1,ROWS(Clean_Data[OrderID])+1)</f>
        <v>901</v>
      </c>
    </row>
    <row r="754" spans="1:33" ht="20" customHeight="1">
      <c r="A754" s="3" t="s">
        <v>1155</v>
      </c>
      <c r="B754" s="2">
        <v>46291</v>
      </c>
      <c r="C754" s="3">
        <v>13</v>
      </c>
      <c r="D754" s="3" t="s">
        <v>353</v>
      </c>
      <c r="E754" s="3" t="s">
        <v>91</v>
      </c>
      <c r="F754" s="3" t="s">
        <v>98</v>
      </c>
      <c r="G754" s="3" t="s">
        <v>110</v>
      </c>
      <c r="H754" s="3" t="s">
        <v>114</v>
      </c>
      <c r="I754" s="3">
        <v>5</v>
      </c>
      <c r="J754" s="11">
        <v>145</v>
      </c>
      <c r="K754" s="4">
        <v>0.05</v>
      </c>
      <c r="L754" s="3" t="s">
        <v>95</v>
      </c>
      <c r="M754" s="3">
        <v>22</v>
      </c>
      <c r="N754" s="3">
        <v>14</v>
      </c>
      <c r="O754" s="3">
        <v>4</v>
      </c>
      <c r="P754" s="11">
        <f>Clean_Data[[#This Row],[Quantity]]*Clean_Data[[#This Row],[UnitPrice]]</f>
        <v>725</v>
      </c>
      <c r="Q754" s="11">
        <f>ROUND(Clean_Data[[#This Row],[GrossSales]]*Clean_Data[[#This Row],[DiscountPct]],2)</f>
        <v>36.25</v>
      </c>
      <c r="R754" s="11">
        <f>IF(Clean_Data[[#This Row],[Status]]="Delivered",ROUND(Clean_Data[[#This Row],[GrossSales]]-Clean_Data[[#This Row],[DiscountAmount]],2),0)</f>
        <v>688.75</v>
      </c>
      <c r="S754" s="3" t="str">
        <f>IF(Clean_Data[[#This Row],[OrderHour]]&lt;6,"Night",IF(Clean_Data[[#This Row],[OrderHour]]&lt;12,"Morning",IF(Clean_Data[[#This Row],[OrderHour]]&lt;18,"Afternoon","Evening")))</f>
        <v>Afternoon</v>
      </c>
      <c r="T754" s="3" t="str">
        <f>TEXT(Clean_Data[[#This Row],[OrderDate]],"[$-409]ddd")</f>
        <v>Sat</v>
      </c>
      <c r="U754" s="3">
        <f>WEEKDAY(Clean_Data[[#This Row],[OrderDate]],2)</f>
        <v>6</v>
      </c>
      <c r="V754" s="3">
        <f>INT(Clean_Data[[#This Row],[OrderHour]]/6)+1</f>
        <v>3</v>
      </c>
      <c r="W754" s="3">
        <f>IF(Clean_Data[[#This Row],[Status]]="Delivered",1,0)</f>
        <v>1</v>
      </c>
      <c r="X754" s="3">
        <f>IF(Clean_Data[[#This Row],[Status]]="Delivered",IF(Clean_Data[[#This Row],[DeliveryMinutes]]&lt;=Dashboard!$X$5,1,0),0)</f>
        <v>1</v>
      </c>
      <c r="Y7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4" s="3">
        <f>IF(AND(Clean_Data[[#This Row],[Include]]=1,Clean_Data[[#This Row],[DeliveredFlag]]=1),1,0)</f>
        <v>1</v>
      </c>
      <c r="AA754" s="1">
        <f>IF(COUNTIF($D$2:D754,D754)=1,ROW()-1,ROWS(Clean_Data[OrderID])+1)</f>
        <v>901</v>
      </c>
      <c r="AB754" s="1">
        <f>IF(COUNTIF($F$2:F754,F754)=1,ROW()-1,ROWS(Clean_Data[OrderID])+1)</f>
        <v>901</v>
      </c>
      <c r="AC754" s="1">
        <f>IF(COUNTIF($G$2:G754,G754)=1,ROW()-1,ROWS(Clean_Data[OrderID])+1)</f>
        <v>901</v>
      </c>
      <c r="AD754" s="1">
        <f>IF(COUNTIF($H$2:H754,H754)=1,ROW()-1,ROWS(Clean_Data[OrderID])+1)</f>
        <v>901</v>
      </c>
      <c r="AE754" s="1">
        <f>IF(COUNTIF($V$2:V754,V754)=1,V754,ROWS(Clean_Data[OrderID])+1)</f>
        <v>901</v>
      </c>
      <c r="AF754" s="1">
        <f>IF(COUNTIF($U$2:U754,U754)=1,U754,ROWS(Clean_Data[OrderID])+1)</f>
        <v>901</v>
      </c>
      <c r="AG754" s="1">
        <f>IF(COUNTIF($E$2:E754,E754)=1,ROW()-1,ROWS(Clean_Data[OrderID])+1)</f>
        <v>901</v>
      </c>
    </row>
    <row r="755" spans="1:33" ht="20" customHeight="1">
      <c r="A755" s="3" t="s">
        <v>1156</v>
      </c>
      <c r="B755" s="2">
        <v>46291</v>
      </c>
      <c r="C755" s="3">
        <v>8</v>
      </c>
      <c r="D755" s="3" t="s">
        <v>1157</v>
      </c>
      <c r="E755" s="3" t="s">
        <v>117</v>
      </c>
      <c r="F755" s="3" t="s">
        <v>139</v>
      </c>
      <c r="G755" s="3" t="s">
        <v>110</v>
      </c>
      <c r="H755" s="3" t="s">
        <v>206</v>
      </c>
      <c r="I755" s="3">
        <v>5</v>
      </c>
      <c r="J755" s="11">
        <v>220</v>
      </c>
      <c r="K755" s="4">
        <v>0</v>
      </c>
      <c r="L755" s="3" t="s">
        <v>95</v>
      </c>
      <c r="M755" s="3">
        <v>14</v>
      </c>
      <c r="N755" s="3">
        <v>14</v>
      </c>
      <c r="O755" s="3">
        <v>5</v>
      </c>
      <c r="P755" s="11">
        <f>Clean_Data[[#This Row],[Quantity]]*Clean_Data[[#This Row],[UnitPrice]]</f>
        <v>1100</v>
      </c>
      <c r="Q755" s="11">
        <f>ROUND(Clean_Data[[#This Row],[GrossSales]]*Clean_Data[[#This Row],[DiscountPct]],2)</f>
        <v>0</v>
      </c>
      <c r="R755" s="11">
        <f>IF(Clean_Data[[#This Row],[Status]]="Delivered",ROUND(Clean_Data[[#This Row],[GrossSales]]-Clean_Data[[#This Row],[DiscountAmount]],2),0)</f>
        <v>1100</v>
      </c>
      <c r="S755" s="3" t="str">
        <f>IF(Clean_Data[[#This Row],[OrderHour]]&lt;6,"Night",IF(Clean_Data[[#This Row],[OrderHour]]&lt;12,"Morning",IF(Clean_Data[[#This Row],[OrderHour]]&lt;18,"Afternoon","Evening")))</f>
        <v>Morning</v>
      </c>
      <c r="T755" s="3" t="str">
        <f>TEXT(Clean_Data[[#This Row],[OrderDate]],"[$-409]ddd")</f>
        <v>Sat</v>
      </c>
      <c r="U755" s="3">
        <f>WEEKDAY(Clean_Data[[#This Row],[OrderDate]],2)</f>
        <v>6</v>
      </c>
      <c r="V755" s="3">
        <f>INT(Clean_Data[[#This Row],[OrderHour]]/6)+1</f>
        <v>2</v>
      </c>
      <c r="W755" s="3">
        <f>IF(Clean_Data[[#This Row],[Status]]="Delivered",1,0)</f>
        <v>1</v>
      </c>
      <c r="X755" s="3">
        <f>IF(Clean_Data[[#This Row],[Status]]="Delivered",IF(Clean_Data[[#This Row],[DeliveryMinutes]]&lt;=Dashboard!$X$5,1,0),0)</f>
        <v>1</v>
      </c>
      <c r="Y7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5" s="3">
        <f>IF(AND(Clean_Data[[#This Row],[Include]]=1,Clean_Data[[#This Row],[DeliveredFlag]]=1),1,0)</f>
        <v>1</v>
      </c>
      <c r="AA755" s="1">
        <f>IF(COUNTIF($D$2:D755,D755)=1,ROW()-1,ROWS(Clean_Data[OrderID])+1)</f>
        <v>754</v>
      </c>
      <c r="AB755" s="1">
        <f>IF(COUNTIF($F$2:F755,F755)=1,ROW()-1,ROWS(Clean_Data[OrderID])+1)</f>
        <v>901</v>
      </c>
      <c r="AC755" s="1">
        <f>IF(COUNTIF($G$2:G755,G755)=1,ROW()-1,ROWS(Clean_Data[OrderID])+1)</f>
        <v>901</v>
      </c>
      <c r="AD755" s="1">
        <f>IF(COUNTIF($H$2:H755,H755)=1,ROW()-1,ROWS(Clean_Data[OrderID])+1)</f>
        <v>901</v>
      </c>
      <c r="AE755" s="1">
        <f>IF(COUNTIF($V$2:V755,V755)=1,V755,ROWS(Clean_Data[OrderID])+1)</f>
        <v>901</v>
      </c>
      <c r="AF755" s="1">
        <f>IF(COUNTIF($U$2:U755,U755)=1,U755,ROWS(Clean_Data[OrderID])+1)</f>
        <v>901</v>
      </c>
      <c r="AG755" s="1">
        <f>IF(COUNTIF($E$2:E755,E755)=1,ROW()-1,ROWS(Clean_Data[OrderID])+1)</f>
        <v>901</v>
      </c>
    </row>
    <row r="756" spans="1:33" ht="20" customHeight="1">
      <c r="A756" s="3" t="s">
        <v>1158</v>
      </c>
      <c r="B756" s="2">
        <v>46291</v>
      </c>
      <c r="C756" s="3">
        <v>6</v>
      </c>
      <c r="D756" s="3" t="s">
        <v>1159</v>
      </c>
      <c r="E756" s="3" t="s">
        <v>91</v>
      </c>
      <c r="F756" s="3" t="s">
        <v>139</v>
      </c>
      <c r="G756" s="3" t="s">
        <v>174</v>
      </c>
      <c r="H756" s="3" t="s">
        <v>184</v>
      </c>
      <c r="I756" s="3">
        <v>3</v>
      </c>
      <c r="J756" s="11">
        <v>62</v>
      </c>
      <c r="K756" s="4">
        <v>0</v>
      </c>
      <c r="L756" s="3" t="s">
        <v>95</v>
      </c>
      <c r="M756" s="3">
        <v>28</v>
      </c>
      <c r="N756" s="3">
        <v>4</v>
      </c>
      <c r="O756" s="3">
        <v>4</v>
      </c>
      <c r="P756" s="11">
        <f>Clean_Data[[#This Row],[Quantity]]*Clean_Data[[#This Row],[UnitPrice]]</f>
        <v>186</v>
      </c>
      <c r="Q756" s="11">
        <f>ROUND(Clean_Data[[#This Row],[GrossSales]]*Clean_Data[[#This Row],[DiscountPct]],2)</f>
        <v>0</v>
      </c>
      <c r="R756" s="11">
        <f>IF(Clean_Data[[#This Row],[Status]]="Delivered",ROUND(Clean_Data[[#This Row],[GrossSales]]-Clean_Data[[#This Row],[DiscountAmount]],2),0)</f>
        <v>186</v>
      </c>
      <c r="S756" s="3" t="str">
        <f>IF(Clean_Data[[#This Row],[OrderHour]]&lt;6,"Night",IF(Clean_Data[[#This Row],[OrderHour]]&lt;12,"Morning",IF(Clean_Data[[#This Row],[OrderHour]]&lt;18,"Afternoon","Evening")))</f>
        <v>Morning</v>
      </c>
      <c r="T756" s="3" t="str">
        <f>TEXT(Clean_Data[[#This Row],[OrderDate]],"[$-409]ddd")</f>
        <v>Sat</v>
      </c>
      <c r="U756" s="3">
        <f>WEEKDAY(Clean_Data[[#This Row],[OrderDate]],2)</f>
        <v>6</v>
      </c>
      <c r="V756" s="3">
        <f>INT(Clean_Data[[#This Row],[OrderHour]]/6)+1</f>
        <v>2</v>
      </c>
      <c r="W756" s="3">
        <f>IF(Clean_Data[[#This Row],[Status]]="Delivered",1,0)</f>
        <v>1</v>
      </c>
      <c r="X756" s="3">
        <f>IF(Clean_Data[[#This Row],[Status]]="Delivered",IF(Clean_Data[[#This Row],[DeliveryMinutes]]&lt;=Dashboard!$X$5,1,0),0)</f>
        <v>1</v>
      </c>
      <c r="Y7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6" s="3">
        <f>IF(AND(Clean_Data[[#This Row],[Include]]=1,Clean_Data[[#This Row],[DeliveredFlag]]=1),1,0)</f>
        <v>1</v>
      </c>
      <c r="AA756" s="1">
        <f>IF(COUNTIF($D$2:D756,D756)=1,ROW()-1,ROWS(Clean_Data[OrderID])+1)</f>
        <v>755</v>
      </c>
      <c r="AB756" s="1">
        <f>IF(COUNTIF($F$2:F756,F756)=1,ROW()-1,ROWS(Clean_Data[OrderID])+1)</f>
        <v>901</v>
      </c>
      <c r="AC756" s="1">
        <f>IF(COUNTIF($G$2:G756,G756)=1,ROW()-1,ROWS(Clean_Data[OrderID])+1)</f>
        <v>901</v>
      </c>
      <c r="AD756" s="1">
        <f>IF(COUNTIF($H$2:H756,H756)=1,ROW()-1,ROWS(Clean_Data[OrderID])+1)</f>
        <v>901</v>
      </c>
      <c r="AE756" s="1">
        <f>IF(COUNTIF($V$2:V756,V756)=1,V756,ROWS(Clean_Data[OrderID])+1)</f>
        <v>901</v>
      </c>
      <c r="AF756" s="1">
        <f>IF(COUNTIF($U$2:U756,U756)=1,U756,ROWS(Clean_Data[OrderID])+1)</f>
        <v>901</v>
      </c>
      <c r="AG756" s="1">
        <f>IF(COUNTIF($E$2:E756,E756)=1,ROW()-1,ROWS(Clean_Data[OrderID])+1)</f>
        <v>901</v>
      </c>
    </row>
    <row r="757" spans="1:33" ht="20" customHeight="1">
      <c r="A757" s="3" t="s">
        <v>1160</v>
      </c>
      <c r="B757" s="2">
        <v>46291</v>
      </c>
      <c r="C757" s="3">
        <v>20</v>
      </c>
      <c r="D757" s="3" t="s">
        <v>683</v>
      </c>
      <c r="E757" s="3" t="s">
        <v>117</v>
      </c>
      <c r="F757" s="3" t="s">
        <v>109</v>
      </c>
      <c r="G757" s="3" t="s">
        <v>93</v>
      </c>
      <c r="H757" s="3" t="s">
        <v>118</v>
      </c>
      <c r="I757" s="3">
        <v>2</v>
      </c>
      <c r="J757" s="11">
        <v>45</v>
      </c>
      <c r="K757" s="4">
        <v>0</v>
      </c>
      <c r="L757" s="3" t="s">
        <v>95</v>
      </c>
      <c r="M757" s="3">
        <v>13</v>
      </c>
      <c r="N757" s="3">
        <v>10</v>
      </c>
      <c r="O757" s="3">
        <v>4</v>
      </c>
      <c r="P757" s="11">
        <f>Clean_Data[[#This Row],[Quantity]]*Clean_Data[[#This Row],[UnitPrice]]</f>
        <v>90</v>
      </c>
      <c r="Q757" s="11">
        <f>ROUND(Clean_Data[[#This Row],[GrossSales]]*Clean_Data[[#This Row],[DiscountPct]],2)</f>
        <v>0</v>
      </c>
      <c r="R757" s="11">
        <f>IF(Clean_Data[[#This Row],[Status]]="Delivered",ROUND(Clean_Data[[#This Row],[GrossSales]]-Clean_Data[[#This Row],[DiscountAmount]],2),0)</f>
        <v>90</v>
      </c>
      <c r="S757" s="3" t="str">
        <f>IF(Clean_Data[[#This Row],[OrderHour]]&lt;6,"Night",IF(Clean_Data[[#This Row],[OrderHour]]&lt;12,"Morning",IF(Clean_Data[[#This Row],[OrderHour]]&lt;18,"Afternoon","Evening")))</f>
        <v>Evening</v>
      </c>
      <c r="T757" s="3" t="str">
        <f>TEXT(Clean_Data[[#This Row],[OrderDate]],"[$-409]ddd")</f>
        <v>Sat</v>
      </c>
      <c r="U757" s="3">
        <f>WEEKDAY(Clean_Data[[#This Row],[OrderDate]],2)</f>
        <v>6</v>
      </c>
      <c r="V757" s="3">
        <f>INT(Clean_Data[[#This Row],[OrderHour]]/6)+1</f>
        <v>4</v>
      </c>
      <c r="W757" s="3">
        <f>IF(Clean_Data[[#This Row],[Status]]="Delivered",1,0)</f>
        <v>1</v>
      </c>
      <c r="X757" s="3">
        <f>IF(Clean_Data[[#This Row],[Status]]="Delivered",IF(Clean_Data[[#This Row],[DeliveryMinutes]]&lt;=Dashboard!$X$5,1,0),0)</f>
        <v>1</v>
      </c>
      <c r="Y7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7" s="3">
        <f>IF(AND(Clean_Data[[#This Row],[Include]]=1,Clean_Data[[#This Row],[DeliveredFlag]]=1),1,0)</f>
        <v>1</v>
      </c>
      <c r="AA757" s="1">
        <f>IF(COUNTIF($D$2:D757,D757)=1,ROW()-1,ROWS(Clean_Data[OrderID])+1)</f>
        <v>901</v>
      </c>
      <c r="AB757" s="1">
        <f>IF(COUNTIF($F$2:F757,F757)=1,ROW()-1,ROWS(Clean_Data[OrderID])+1)</f>
        <v>901</v>
      </c>
      <c r="AC757" s="1">
        <f>IF(COUNTIF($G$2:G757,G757)=1,ROW()-1,ROWS(Clean_Data[OrderID])+1)</f>
        <v>901</v>
      </c>
      <c r="AD757" s="1">
        <f>IF(COUNTIF($H$2:H757,H757)=1,ROW()-1,ROWS(Clean_Data[OrderID])+1)</f>
        <v>901</v>
      </c>
      <c r="AE757" s="1">
        <f>IF(COUNTIF($V$2:V757,V757)=1,V757,ROWS(Clean_Data[OrderID])+1)</f>
        <v>901</v>
      </c>
      <c r="AF757" s="1">
        <f>IF(COUNTIF($U$2:U757,U757)=1,U757,ROWS(Clean_Data[OrderID])+1)</f>
        <v>901</v>
      </c>
      <c r="AG757" s="1">
        <f>IF(COUNTIF($E$2:E757,E757)=1,ROW()-1,ROWS(Clean_Data[OrderID])+1)</f>
        <v>901</v>
      </c>
    </row>
    <row r="758" spans="1:33" ht="20" customHeight="1">
      <c r="A758" s="3" t="s">
        <v>1161</v>
      </c>
      <c r="B758" s="2">
        <v>46291</v>
      </c>
      <c r="C758" s="3">
        <v>18</v>
      </c>
      <c r="D758" s="3" t="s">
        <v>425</v>
      </c>
      <c r="E758" s="3" t="s">
        <v>91</v>
      </c>
      <c r="F758" s="3" t="s">
        <v>139</v>
      </c>
      <c r="G758" s="3" t="s">
        <v>174</v>
      </c>
      <c r="H758" s="3" t="s">
        <v>184</v>
      </c>
      <c r="I758" s="3">
        <v>6</v>
      </c>
      <c r="J758" s="11">
        <v>62</v>
      </c>
      <c r="K758" s="4">
        <v>0</v>
      </c>
      <c r="L758" s="3" t="s">
        <v>95</v>
      </c>
      <c r="M758" s="3">
        <v>35</v>
      </c>
      <c r="N758" s="3">
        <v>12</v>
      </c>
      <c r="O758" s="3">
        <v>4</v>
      </c>
      <c r="P758" s="11">
        <f>Clean_Data[[#This Row],[Quantity]]*Clean_Data[[#This Row],[UnitPrice]]</f>
        <v>372</v>
      </c>
      <c r="Q758" s="11">
        <f>ROUND(Clean_Data[[#This Row],[GrossSales]]*Clean_Data[[#This Row],[DiscountPct]],2)</f>
        <v>0</v>
      </c>
      <c r="R758" s="11">
        <f>IF(Clean_Data[[#This Row],[Status]]="Delivered",ROUND(Clean_Data[[#This Row],[GrossSales]]-Clean_Data[[#This Row],[DiscountAmount]],2),0)</f>
        <v>372</v>
      </c>
      <c r="S758" s="3" t="str">
        <f>IF(Clean_Data[[#This Row],[OrderHour]]&lt;6,"Night",IF(Clean_Data[[#This Row],[OrderHour]]&lt;12,"Morning",IF(Clean_Data[[#This Row],[OrderHour]]&lt;18,"Afternoon","Evening")))</f>
        <v>Evening</v>
      </c>
      <c r="T758" s="3" t="str">
        <f>TEXT(Clean_Data[[#This Row],[OrderDate]],"[$-409]ddd")</f>
        <v>Sat</v>
      </c>
      <c r="U758" s="3">
        <f>WEEKDAY(Clean_Data[[#This Row],[OrderDate]],2)</f>
        <v>6</v>
      </c>
      <c r="V758" s="3">
        <f>INT(Clean_Data[[#This Row],[OrderHour]]/6)+1</f>
        <v>4</v>
      </c>
      <c r="W758" s="3">
        <f>IF(Clean_Data[[#This Row],[Status]]="Delivered",1,0)</f>
        <v>1</v>
      </c>
      <c r="X758" s="3">
        <f>IF(Clean_Data[[#This Row],[Status]]="Delivered",IF(Clean_Data[[#This Row],[DeliveryMinutes]]&lt;=Dashboard!$X$5,1,0),0)</f>
        <v>0</v>
      </c>
      <c r="Y7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8" s="3">
        <f>IF(AND(Clean_Data[[#This Row],[Include]]=1,Clean_Data[[#This Row],[DeliveredFlag]]=1),1,0)</f>
        <v>1</v>
      </c>
      <c r="AA758" s="1">
        <f>IF(COUNTIF($D$2:D758,D758)=1,ROW()-1,ROWS(Clean_Data[OrderID])+1)</f>
        <v>901</v>
      </c>
      <c r="AB758" s="1">
        <f>IF(COUNTIF($F$2:F758,F758)=1,ROW()-1,ROWS(Clean_Data[OrderID])+1)</f>
        <v>901</v>
      </c>
      <c r="AC758" s="1">
        <f>IF(COUNTIF($G$2:G758,G758)=1,ROW()-1,ROWS(Clean_Data[OrderID])+1)</f>
        <v>901</v>
      </c>
      <c r="AD758" s="1">
        <f>IF(COUNTIF($H$2:H758,H758)=1,ROW()-1,ROWS(Clean_Data[OrderID])+1)</f>
        <v>901</v>
      </c>
      <c r="AE758" s="1">
        <f>IF(COUNTIF($V$2:V758,V758)=1,V758,ROWS(Clean_Data[OrderID])+1)</f>
        <v>901</v>
      </c>
      <c r="AF758" s="1">
        <f>IF(COUNTIF($U$2:U758,U758)=1,U758,ROWS(Clean_Data[OrderID])+1)</f>
        <v>901</v>
      </c>
      <c r="AG758" s="1">
        <f>IF(COUNTIF($E$2:E758,E758)=1,ROW()-1,ROWS(Clean_Data[OrderID])+1)</f>
        <v>901</v>
      </c>
    </row>
    <row r="759" spans="1:33" ht="20" customHeight="1">
      <c r="A759" s="3" t="s">
        <v>1162</v>
      </c>
      <c r="B759" s="2">
        <v>46291</v>
      </c>
      <c r="C759" s="3">
        <v>20</v>
      </c>
      <c r="D759" s="3" t="s">
        <v>860</v>
      </c>
      <c r="E759" s="3" t="s">
        <v>91</v>
      </c>
      <c r="F759" s="3" t="s">
        <v>139</v>
      </c>
      <c r="G759" s="3" t="s">
        <v>122</v>
      </c>
      <c r="H759" s="3" t="s">
        <v>214</v>
      </c>
      <c r="I759" s="3">
        <v>3</v>
      </c>
      <c r="J759" s="11">
        <v>55</v>
      </c>
      <c r="K759" s="4">
        <v>0</v>
      </c>
      <c r="L759" s="3" t="s">
        <v>101</v>
      </c>
      <c r="M759" s="3"/>
      <c r="N759" s="3"/>
      <c r="O759" s="3"/>
      <c r="P759" s="11">
        <f>Clean_Data[[#This Row],[Quantity]]*Clean_Data[[#This Row],[UnitPrice]]</f>
        <v>165</v>
      </c>
      <c r="Q759" s="11">
        <f>ROUND(Clean_Data[[#This Row],[GrossSales]]*Clean_Data[[#This Row],[DiscountPct]],2)</f>
        <v>0</v>
      </c>
      <c r="R759" s="11">
        <f>IF(Clean_Data[[#This Row],[Status]]="Delivered",ROUND(Clean_Data[[#This Row],[GrossSales]]-Clean_Data[[#This Row],[DiscountAmount]],2),0)</f>
        <v>0</v>
      </c>
      <c r="S759" s="3" t="str">
        <f>IF(Clean_Data[[#This Row],[OrderHour]]&lt;6,"Night",IF(Clean_Data[[#This Row],[OrderHour]]&lt;12,"Morning",IF(Clean_Data[[#This Row],[OrderHour]]&lt;18,"Afternoon","Evening")))</f>
        <v>Evening</v>
      </c>
      <c r="T759" s="3" t="str">
        <f>TEXT(Clean_Data[[#This Row],[OrderDate]],"[$-409]ddd")</f>
        <v>Sat</v>
      </c>
      <c r="U759" s="3">
        <f>WEEKDAY(Clean_Data[[#This Row],[OrderDate]],2)</f>
        <v>6</v>
      </c>
      <c r="V759" s="3">
        <f>INT(Clean_Data[[#This Row],[OrderHour]]/6)+1</f>
        <v>4</v>
      </c>
      <c r="W759" s="3">
        <f>IF(Clean_Data[[#This Row],[Status]]="Delivered",1,0)</f>
        <v>0</v>
      </c>
      <c r="X759" s="3">
        <f>IF(Clean_Data[[#This Row],[Status]]="Delivered",IF(Clean_Data[[#This Row],[DeliveryMinutes]]&lt;=Dashboard!$X$5,1,0),0)</f>
        <v>0</v>
      </c>
      <c r="Y7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59" s="3">
        <f>IF(AND(Clean_Data[[#This Row],[Include]]=1,Clean_Data[[#This Row],[DeliveredFlag]]=1),1,0)</f>
        <v>0</v>
      </c>
      <c r="AA759" s="1">
        <f>IF(COUNTIF($D$2:D759,D759)=1,ROW()-1,ROWS(Clean_Data[OrderID])+1)</f>
        <v>901</v>
      </c>
      <c r="AB759" s="1">
        <f>IF(COUNTIF($F$2:F759,F759)=1,ROW()-1,ROWS(Clean_Data[OrderID])+1)</f>
        <v>901</v>
      </c>
      <c r="AC759" s="1">
        <f>IF(COUNTIF($G$2:G759,G759)=1,ROW()-1,ROWS(Clean_Data[OrderID])+1)</f>
        <v>901</v>
      </c>
      <c r="AD759" s="1">
        <f>IF(COUNTIF($H$2:H759,H759)=1,ROW()-1,ROWS(Clean_Data[OrderID])+1)</f>
        <v>901</v>
      </c>
      <c r="AE759" s="1">
        <f>IF(COUNTIF($V$2:V759,V759)=1,V759,ROWS(Clean_Data[OrderID])+1)</f>
        <v>901</v>
      </c>
      <c r="AF759" s="1">
        <f>IF(COUNTIF($U$2:U759,U759)=1,U759,ROWS(Clean_Data[OrderID])+1)</f>
        <v>901</v>
      </c>
      <c r="AG759" s="1">
        <f>IF(COUNTIF($E$2:E759,E759)=1,ROW()-1,ROWS(Clean_Data[OrderID])+1)</f>
        <v>901</v>
      </c>
    </row>
    <row r="760" spans="1:33" ht="20" customHeight="1">
      <c r="A760" s="3" t="s">
        <v>1163</v>
      </c>
      <c r="B760" s="2">
        <v>46291</v>
      </c>
      <c r="C760" s="3">
        <v>17</v>
      </c>
      <c r="D760" s="3" t="s">
        <v>813</v>
      </c>
      <c r="E760" s="3" t="s">
        <v>117</v>
      </c>
      <c r="F760" s="3" t="s">
        <v>109</v>
      </c>
      <c r="G760" s="3" t="s">
        <v>99</v>
      </c>
      <c r="H760" s="3" t="s">
        <v>100</v>
      </c>
      <c r="I760" s="3">
        <v>6</v>
      </c>
      <c r="J760" s="11">
        <v>120</v>
      </c>
      <c r="K760" s="4">
        <v>0</v>
      </c>
      <c r="L760" s="3" t="s">
        <v>95</v>
      </c>
      <c r="M760" s="3">
        <v>12</v>
      </c>
      <c r="N760" s="3">
        <v>8</v>
      </c>
      <c r="O760" s="3">
        <v>5</v>
      </c>
      <c r="P760" s="11">
        <f>Clean_Data[[#This Row],[Quantity]]*Clean_Data[[#This Row],[UnitPrice]]</f>
        <v>720</v>
      </c>
      <c r="Q760" s="11">
        <f>ROUND(Clean_Data[[#This Row],[GrossSales]]*Clean_Data[[#This Row],[DiscountPct]],2)</f>
        <v>0</v>
      </c>
      <c r="R760" s="11">
        <f>IF(Clean_Data[[#This Row],[Status]]="Delivered",ROUND(Clean_Data[[#This Row],[GrossSales]]-Clean_Data[[#This Row],[DiscountAmount]],2),0)</f>
        <v>720</v>
      </c>
      <c r="S760" s="3" t="str">
        <f>IF(Clean_Data[[#This Row],[OrderHour]]&lt;6,"Night",IF(Clean_Data[[#This Row],[OrderHour]]&lt;12,"Morning",IF(Clean_Data[[#This Row],[OrderHour]]&lt;18,"Afternoon","Evening")))</f>
        <v>Afternoon</v>
      </c>
      <c r="T760" s="3" t="str">
        <f>TEXT(Clean_Data[[#This Row],[OrderDate]],"[$-409]ddd")</f>
        <v>Sat</v>
      </c>
      <c r="U760" s="3">
        <f>WEEKDAY(Clean_Data[[#This Row],[OrderDate]],2)</f>
        <v>6</v>
      </c>
      <c r="V760" s="3">
        <f>INT(Clean_Data[[#This Row],[OrderHour]]/6)+1</f>
        <v>3</v>
      </c>
      <c r="W760" s="3">
        <f>IF(Clean_Data[[#This Row],[Status]]="Delivered",1,0)</f>
        <v>1</v>
      </c>
      <c r="X760" s="3">
        <f>IF(Clean_Data[[#This Row],[Status]]="Delivered",IF(Clean_Data[[#This Row],[DeliveryMinutes]]&lt;=Dashboard!$X$5,1,0),0)</f>
        <v>1</v>
      </c>
      <c r="Y7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0" s="3">
        <f>IF(AND(Clean_Data[[#This Row],[Include]]=1,Clean_Data[[#This Row],[DeliveredFlag]]=1),1,0)</f>
        <v>1</v>
      </c>
      <c r="AA760" s="1">
        <f>IF(COUNTIF($D$2:D760,D760)=1,ROW()-1,ROWS(Clean_Data[OrderID])+1)</f>
        <v>901</v>
      </c>
      <c r="AB760" s="1">
        <f>IF(COUNTIF($F$2:F760,F760)=1,ROW()-1,ROWS(Clean_Data[OrderID])+1)</f>
        <v>901</v>
      </c>
      <c r="AC760" s="1">
        <f>IF(COUNTIF($G$2:G760,G760)=1,ROW()-1,ROWS(Clean_Data[OrderID])+1)</f>
        <v>901</v>
      </c>
      <c r="AD760" s="1">
        <f>IF(COUNTIF($H$2:H760,H760)=1,ROW()-1,ROWS(Clean_Data[OrderID])+1)</f>
        <v>901</v>
      </c>
      <c r="AE760" s="1">
        <f>IF(COUNTIF($V$2:V760,V760)=1,V760,ROWS(Clean_Data[OrderID])+1)</f>
        <v>901</v>
      </c>
      <c r="AF760" s="1">
        <f>IF(COUNTIF($U$2:U760,U760)=1,U760,ROWS(Clean_Data[OrderID])+1)</f>
        <v>901</v>
      </c>
      <c r="AG760" s="1">
        <f>IF(COUNTIF($E$2:E760,E760)=1,ROW()-1,ROWS(Clean_Data[OrderID])+1)</f>
        <v>901</v>
      </c>
    </row>
    <row r="761" spans="1:33" ht="20" customHeight="1">
      <c r="A761" s="3" t="s">
        <v>1164</v>
      </c>
      <c r="B761" s="2">
        <v>46291</v>
      </c>
      <c r="C761" s="3">
        <v>16</v>
      </c>
      <c r="D761" s="3" t="s">
        <v>148</v>
      </c>
      <c r="E761" s="3" t="s">
        <v>91</v>
      </c>
      <c r="F761" s="3" t="s">
        <v>139</v>
      </c>
      <c r="G761" s="3" t="s">
        <v>110</v>
      </c>
      <c r="H761" s="3" t="s">
        <v>206</v>
      </c>
      <c r="I761" s="3">
        <v>2</v>
      </c>
      <c r="J761" s="11">
        <v>220</v>
      </c>
      <c r="K761" s="4">
        <v>0.1</v>
      </c>
      <c r="L761" s="3" t="s">
        <v>95</v>
      </c>
      <c r="M761" s="3">
        <v>20</v>
      </c>
      <c r="N761" s="3">
        <v>7</v>
      </c>
      <c r="O761" s="3">
        <v>5</v>
      </c>
      <c r="P761" s="11">
        <f>Clean_Data[[#This Row],[Quantity]]*Clean_Data[[#This Row],[UnitPrice]]</f>
        <v>440</v>
      </c>
      <c r="Q761" s="11">
        <f>ROUND(Clean_Data[[#This Row],[GrossSales]]*Clean_Data[[#This Row],[DiscountPct]],2)</f>
        <v>44</v>
      </c>
      <c r="R761" s="11">
        <f>IF(Clean_Data[[#This Row],[Status]]="Delivered",ROUND(Clean_Data[[#This Row],[GrossSales]]-Clean_Data[[#This Row],[DiscountAmount]],2),0)</f>
        <v>396</v>
      </c>
      <c r="S761" s="3" t="str">
        <f>IF(Clean_Data[[#This Row],[OrderHour]]&lt;6,"Night",IF(Clean_Data[[#This Row],[OrderHour]]&lt;12,"Morning",IF(Clean_Data[[#This Row],[OrderHour]]&lt;18,"Afternoon","Evening")))</f>
        <v>Afternoon</v>
      </c>
      <c r="T761" s="3" t="str">
        <f>TEXT(Clean_Data[[#This Row],[OrderDate]],"[$-409]ddd")</f>
        <v>Sat</v>
      </c>
      <c r="U761" s="3">
        <f>WEEKDAY(Clean_Data[[#This Row],[OrderDate]],2)</f>
        <v>6</v>
      </c>
      <c r="V761" s="3">
        <f>INT(Clean_Data[[#This Row],[OrderHour]]/6)+1</f>
        <v>3</v>
      </c>
      <c r="W761" s="3">
        <f>IF(Clean_Data[[#This Row],[Status]]="Delivered",1,0)</f>
        <v>1</v>
      </c>
      <c r="X761" s="3">
        <f>IF(Clean_Data[[#This Row],[Status]]="Delivered",IF(Clean_Data[[#This Row],[DeliveryMinutes]]&lt;=Dashboard!$X$5,1,0),0)</f>
        <v>1</v>
      </c>
      <c r="Y7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1" s="3">
        <f>IF(AND(Clean_Data[[#This Row],[Include]]=1,Clean_Data[[#This Row],[DeliveredFlag]]=1),1,0)</f>
        <v>1</v>
      </c>
      <c r="AA761" s="1">
        <f>IF(COUNTIF($D$2:D761,D761)=1,ROW()-1,ROWS(Clean_Data[OrderID])+1)</f>
        <v>901</v>
      </c>
      <c r="AB761" s="1">
        <f>IF(COUNTIF($F$2:F761,F761)=1,ROW()-1,ROWS(Clean_Data[OrderID])+1)</f>
        <v>901</v>
      </c>
      <c r="AC761" s="1">
        <f>IF(COUNTIF($G$2:G761,G761)=1,ROW()-1,ROWS(Clean_Data[OrderID])+1)</f>
        <v>901</v>
      </c>
      <c r="AD761" s="1">
        <f>IF(COUNTIF($H$2:H761,H761)=1,ROW()-1,ROWS(Clean_Data[OrderID])+1)</f>
        <v>901</v>
      </c>
      <c r="AE761" s="1">
        <f>IF(COUNTIF($V$2:V761,V761)=1,V761,ROWS(Clean_Data[OrderID])+1)</f>
        <v>901</v>
      </c>
      <c r="AF761" s="1">
        <f>IF(COUNTIF($U$2:U761,U761)=1,U761,ROWS(Clean_Data[OrderID])+1)</f>
        <v>901</v>
      </c>
      <c r="AG761" s="1">
        <f>IF(COUNTIF($E$2:E761,E761)=1,ROW()-1,ROWS(Clean_Data[OrderID])+1)</f>
        <v>901</v>
      </c>
    </row>
    <row r="762" spans="1:33" ht="20" customHeight="1">
      <c r="A762" s="3" t="s">
        <v>1165</v>
      </c>
      <c r="B762" s="2">
        <v>46291</v>
      </c>
      <c r="C762" s="3">
        <v>18</v>
      </c>
      <c r="D762" s="3" t="s">
        <v>285</v>
      </c>
      <c r="E762" s="3" t="s">
        <v>91</v>
      </c>
      <c r="F762" s="3" t="s">
        <v>98</v>
      </c>
      <c r="G762" s="3" t="s">
        <v>99</v>
      </c>
      <c r="H762" s="3" t="s">
        <v>130</v>
      </c>
      <c r="I762" s="3">
        <v>6</v>
      </c>
      <c r="J762" s="11">
        <v>85</v>
      </c>
      <c r="K762" s="4">
        <v>0.05</v>
      </c>
      <c r="L762" s="3" t="s">
        <v>95</v>
      </c>
      <c r="M762" s="3">
        <v>21</v>
      </c>
      <c r="N762" s="3">
        <v>12</v>
      </c>
      <c r="O762" s="3">
        <v>4</v>
      </c>
      <c r="P762" s="11">
        <f>Clean_Data[[#This Row],[Quantity]]*Clean_Data[[#This Row],[UnitPrice]]</f>
        <v>510</v>
      </c>
      <c r="Q762" s="11">
        <f>ROUND(Clean_Data[[#This Row],[GrossSales]]*Clean_Data[[#This Row],[DiscountPct]],2)</f>
        <v>25.5</v>
      </c>
      <c r="R762" s="11">
        <f>IF(Clean_Data[[#This Row],[Status]]="Delivered",ROUND(Clean_Data[[#This Row],[GrossSales]]-Clean_Data[[#This Row],[DiscountAmount]],2),0)</f>
        <v>484.5</v>
      </c>
      <c r="S762" s="3" t="str">
        <f>IF(Clean_Data[[#This Row],[OrderHour]]&lt;6,"Night",IF(Clean_Data[[#This Row],[OrderHour]]&lt;12,"Morning",IF(Clean_Data[[#This Row],[OrderHour]]&lt;18,"Afternoon","Evening")))</f>
        <v>Evening</v>
      </c>
      <c r="T762" s="3" t="str">
        <f>TEXT(Clean_Data[[#This Row],[OrderDate]],"[$-409]ddd")</f>
        <v>Sat</v>
      </c>
      <c r="U762" s="3">
        <f>WEEKDAY(Clean_Data[[#This Row],[OrderDate]],2)</f>
        <v>6</v>
      </c>
      <c r="V762" s="3">
        <f>INT(Clean_Data[[#This Row],[OrderHour]]/6)+1</f>
        <v>4</v>
      </c>
      <c r="W762" s="3">
        <f>IF(Clean_Data[[#This Row],[Status]]="Delivered",1,0)</f>
        <v>1</v>
      </c>
      <c r="X762" s="3">
        <f>IF(Clean_Data[[#This Row],[Status]]="Delivered",IF(Clean_Data[[#This Row],[DeliveryMinutes]]&lt;=Dashboard!$X$5,1,0),0)</f>
        <v>1</v>
      </c>
      <c r="Y7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2" s="3">
        <f>IF(AND(Clean_Data[[#This Row],[Include]]=1,Clean_Data[[#This Row],[DeliveredFlag]]=1),1,0)</f>
        <v>1</v>
      </c>
      <c r="AA762" s="1">
        <f>IF(COUNTIF($D$2:D762,D762)=1,ROW()-1,ROWS(Clean_Data[OrderID])+1)</f>
        <v>901</v>
      </c>
      <c r="AB762" s="1">
        <f>IF(COUNTIF($F$2:F762,F762)=1,ROW()-1,ROWS(Clean_Data[OrderID])+1)</f>
        <v>901</v>
      </c>
      <c r="AC762" s="1">
        <f>IF(COUNTIF($G$2:G762,G762)=1,ROW()-1,ROWS(Clean_Data[OrderID])+1)</f>
        <v>901</v>
      </c>
      <c r="AD762" s="1">
        <f>IF(COUNTIF($H$2:H762,H762)=1,ROW()-1,ROWS(Clean_Data[OrderID])+1)</f>
        <v>901</v>
      </c>
      <c r="AE762" s="1">
        <f>IF(COUNTIF($V$2:V762,V762)=1,V762,ROWS(Clean_Data[OrderID])+1)</f>
        <v>901</v>
      </c>
      <c r="AF762" s="1">
        <f>IF(COUNTIF($U$2:U762,U762)=1,U762,ROWS(Clean_Data[OrderID])+1)</f>
        <v>901</v>
      </c>
      <c r="AG762" s="1">
        <f>IF(COUNTIF($E$2:E762,E762)=1,ROW()-1,ROWS(Clean_Data[OrderID])+1)</f>
        <v>901</v>
      </c>
    </row>
    <row r="763" spans="1:33" ht="20" customHeight="1">
      <c r="A763" s="3" t="s">
        <v>1166</v>
      </c>
      <c r="B763" s="2">
        <v>46291</v>
      </c>
      <c r="C763" s="3">
        <v>18</v>
      </c>
      <c r="D763" s="3" t="s">
        <v>295</v>
      </c>
      <c r="E763" s="3" t="s">
        <v>117</v>
      </c>
      <c r="F763" s="3" t="s">
        <v>109</v>
      </c>
      <c r="G763" s="3" t="s">
        <v>135</v>
      </c>
      <c r="H763" s="3" t="s">
        <v>217</v>
      </c>
      <c r="I763" s="3">
        <v>1</v>
      </c>
      <c r="J763" s="11">
        <v>65</v>
      </c>
      <c r="K763" s="4">
        <v>0.15</v>
      </c>
      <c r="L763" s="3" t="s">
        <v>95</v>
      </c>
      <c r="M763" s="3">
        <v>19</v>
      </c>
      <c r="N763" s="3">
        <v>6</v>
      </c>
      <c r="O763" s="3">
        <v>4</v>
      </c>
      <c r="P763" s="11">
        <f>Clean_Data[[#This Row],[Quantity]]*Clean_Data[[#This Row],[UnitPrice]]</f>
        <v>65</v>
      </c>
      <c r="Q763" s="11">
        <f>ROUND(Clean_Data[[#This Row],[GrossSales]]*Clean_Data[[#This Row],[DiscountPct]],2)</f>
        <v>9.75</v>
      </c>
      <c r="R763" s="11">
        <f>IF(Clean_Data[[#This Row],[Status]]="Delivered",ROUND(Clean_Data[[#This Row],[GrossSales]]-Clean_Data[[#This Row],[DiscountAmount]],2),0)</f>
        <v>55.25</v>
      </c>
      <c r="S763" s="3" t="str">
        <f>IF(Clean_Data[[#This Row],[OrderHour]]&lt;6,"Night",IF(Clean_Data[[#This Row],[OrderHour]]&lt;12,"Morning",IF(Clean_Data[[#This Row],[OrderHour]]&lt;18,"Afternoon","Evening")))</f>
        <v>Evening</v>
      </c>
      <c r="T763" s="3" t="str">
        <f>TEXT(Clean_Data[[#This Row],[OrderDate]],"[$-409]ddd")</f>
        <v>Sat</v>
      </c>
      <c r="U763" s="3">
        <f>WEEKDAY(Clean_Data[[#This Row],[OrderDate]],2)</f>
        <v>6</v>
      </c>
      <c r="V763" s="3">
        <f>INT(Clean_Data[[#This Row],[OrderHour]]/6)+1</f>
        <v>4</v>
      </c>
      <c r="W763" s="3">
        <f>IF(Clean_Data[[#This Row],[Status]]="Delivered",1,0)</f>
        <v>1</v>
      </c>
      <c r="X763" s="3">
        <f>IF(Clean_Data[[#This Row],[Status]]="Delivered",IF(Clean_Data[[#This Row],[DeliveryMinutes]]&lt;=Dashboard!$X$5,1,0),0)</f>
        <v>1</v>
      </c>
      <c r="Y7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3" s="3">
        <f>IF(AND(Clean_Data[[#This Row],[Include]]=1,Clean_Data[[#This Row],[DeliveredFlag]]=1),1,0)</f>
        <v>1</v>
      </c>
      <c r="AA763" s="1">
        <f>IF(COUNTIF($D$2:D763,D763)=1,ROW()-1,ROWS(Clean_Data[OrderID])+1)</f>
        <v>901</v>
      </c>
      <c r="AB763" s="1">
        <f>IF(COUNTIF($F$2:F763,F763)=1,ROW()-1,ROWS(Clean_Data[OrderID])+1)</f>
        <v>901</v>
      </c>
      <c r="AC763" s="1">
        <f>IF(COUNTIF($G$2:G763,G763)=1,ROW()-1,ROWS(Clean_Data[OrderID])+1)</f>
        <v>901</v>
      </c>
      <c r="AD763" s="1">
        <f>IF(COUNTIF($H$2:H763,H763)=1,ROW()-1,ROWS(Clean_Data[OrderID])+1)</f>
        <v>901</v>
      </c>
      <c r="AE763" s="1">
        <f>IF(COUNTIF($V$2:V763,V763)=1,V763,ROWS(Clean_Data[OrderID])+1)</f>
        <v>901</v>
      </c>
      <c r="AF763" s="1">
        <f>IF(COUNTIF($U$2:U763,U763)=1,U763,ROWS(Clean_Data[OrderID])+1)</f>
        <v>901</v>
      </c>
      <c r="AG763" s="1">
        <f>IF(COUNTIF($E$2:E763,E763)=1,ROW()-1,ROWS(Clean_Data[OrderID])+1)</f>
        <v>901</v>
      </c>
    </row>
    <row r="764" spans="1:33" ht="20" customHeight="1">
      <c r="A764" s="3" t="s">
        <v>1167</v>
      </c>
      <c r="B764" s="2">
        <v>46291</v>
      </c>
      <c r="C764" s="3">
        <v>16</v>
      </c>
      <c r="D764" s="3" t="s">
        <v>717</v>
      </c>
      <c r="E764" s="3" t="s">
        <v>117</v>
      </c>
      <c r="F764" s="3" t="s">
        <v>98</v>
      </c>
      <c r="G764" s="3" t="s">
        <v>93</v>
      </c>
      <c r="H764" s="3" t="s">
        <v>146</v>
      </c>
      <c r="I764" s="3">
        <v>1</v>
      </c>
      <c r="J764" s="11">
        <v>110</v>
      </c>
      <c r="K764" s="4">
        <v>0</v>
      </c>
      <c r="L764" s="3" t="s">
        <v>101</v>
      </c>
      <c r="M764" s="3"/>
      <c r="N764" s="3"/>
      <c r="O764" s="3"/>
      <c r="P764" s="11">
        <f>Clean_Data[[#This Row],[Quantity]]*Clean_Data[[#This Row],[UnitPrice]]</f>
        <v>110</v>
      </c>
      <c r="Q764" s="11">
        <f>ROUND(Clean_Data[[#This Row],[GrossSales]]*Clean_Data[[#This Row],[DiscountPct]],2)</f>
        <v>0</v>
      </c>
      <c r="R764" s="11">
        <f>IF(Clean_Data[[#This Row],[Status]]="Delivered",ROUND(Clean_Data[[#This Row],[GrossSales]]-Clean_Data[[#This Row],[DiscountAmount]],2),0)</f>
        <v>0</v>
      </c>
      <c r="S764" s="3" t="str">
        <f>IF(Clean_Data[[#This Row],[OrderHour]]&lt;6,"Night",IF(Clean_Data[[#This Row],[OrderHour]]&lt;12,"Morning",IF(Clean_Data[[#This Row],[OrderHour]]&lt;18,"Afternoon","Evening")))</f>
        <v>Afternoon</v>
      </c>
      <c r="T764" s="3" t="str">
        <f>TEXT(Clean_Data[[#This Row],[OrderDate]],"[$-409]ddd")</f>
        <v>Sat</v>
      </c>
      <c r="U764" s="3">
        <f>WEEKDAY(Clean_Data[[#This Row],[OrderDate]],2)</f>
        <v>6</v>
      </c>
      <c r="V764" s="3">
        <f>INT(Clean_Data[[#This Row],[OrderHour]]/6)+1</f>
        <v>3</v>
      </c>
      <c r="W764" s="3">
        <f>IF(Clean_Data[[#This Row],[Status]]="Delivered",1,0)</f>
        <v>0</v>
      </c>
      <c r="X764" s="3">
        <f>IF(Clean_Data[[#This Row],[Status]]="Delivered",IF(Clean_Data[[#This Row],[DeliveryMinutes]]&lt;=Dashboard!$X$5,1,0),0)</f>
        <v>0</v>
      </c>
      <c r="Y7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4" s="3">
        <f>IF(AND(Clean_Data[[#This Row],[Include]]=1,Clean_Data[[#This Row],[DeliveredFlag]]=1),1,0)</f>
        <v>0</v>
      </c>
      <c r="AA764" s="1">
        <f>IF(COUNTIF($D$2:D764,D764)=1,ROW()-1,ROWS(Clean_Data[OrderID])+1)</f>
        <v>901</v>
      </c>
      <c r="AB764" s="1">
        <f>IF(COUNTIF($F$2:F764,F764)=1,ROW()-1,ROWS(Clean_Data[OrderID])+1)</f>
        <v>901</v>
      </c>
      <c r="AC764" s="1">
        <f>IF(COUNTIF($G$2:G764,G764)=1,ROW()-1,ROWS(Clean_Data[OrderID])+1)</f>
        <v>901</v>
      </c>
      <c r="AD764" s="1">
        <f>IF(COUNTIF($H$2:H764,H764)=1,ROW()-1,ROWS(Clean_Data[OrderID])+1)</f>
        <v>901</v>
      </c>
      <c r="AE764" s="1">
        <f>IF(COUNTIF($V$2:V764,V764)=1,V764,ROWS(Clean_Data[OrderID])+1)</f>
        <v>901</v>
      </c>
      <c r="AF764" s="1">
        <f>IF(COUNTIF($U$2:U764,U764)=1,U764,ROWS(Clean_Data[OrderID])+1)</f>
        <v>901</v>
      </c>
      <c r="AG764" s="1">
        <f>IF(COUNTIF($E$2:E764,E764)=1,ROW()-1,ROWS(Clean_Data[OrderID])+1)</f>
        <v>901</v>
      </c>
    </row>
    <row r="765" spans="1:33" ht="20" customHeight="1">
      <c r="A765" s="3" t="s">
        <v>1168</v>
      </c>
      <c r="B765" s="2">
        <v>46291</v>
      </c>
      <c r="C765" s="3">
        <v>7</v>
      </c>
      <c r="D765" s="3" t="s">
        <v>374</v>
      </c>
      <c r="E765" s="3" t="s">
        <v>91</v>
      </c>
      <c r="F765" s="3" t="s">
        <v>92</v>
      </c>
      <c r="G765" s="3" t="s">
        <v>122</v>
      </c>
      <c r="H765" s="3" t="s">
        <v>153</v>
      </c>
      <c r="I765" s="3">
        <v>1</v>
      </c>
      <c r="J765" s="11">
        <v>130</v>
      </c>
      <c r="K765" s="4">
        <v>0.15</v>
      </c>
      <c r="L765" s="3" t="s">
        <v>95</v>
      </c>
      <c r="M765" s="3">
        <v>37</v>
      </c>
      <c r="N765" s="3">
        <v>12</v>
      </c>
      <c r="O765" s="3">
        <v>3</v>
      </c>
      <c r="P765" s="11">
        <f>Clean_Data[[#This Row],[Quantity]]*Clean_Data[[#This Row],[UnitPrice]]</f>
        <v>130</v>
      </c>
      <c r="Q765" s="11">
        <f>ROUND(Clean_Data[[#This Row],[GrossSales]]*Clean_Data[[#This Row],[DiscountPct]],2)</f>
        <v>19.5</v>
      </c>
      <c r="R765" s="11">
        <f>IF(Clean_Data[[#This Row],[Status]]="Delivered",ROUND(Clean_Data[[#This Row],[GrossSales]]-Clean_Data[[#This Row],[DiscountAmount]],2),0)</f>
        <v>110.5</v>
      </c>
      <c r="S765" s="3" t="str">
        <f>IF(Clean_Data[[#This Row],[OrderHour]]&lt;6,"Night",IF(Clean_Data[[#This Row],[OrderHour]]&lt;12,"Morning",IF(Clean_Data[[#This Row],[OrderHour]]&lt;18,"Afternoon","Evening")))</f>
        <v>Morning</v>
      </c>
      <c r="T765" s="3" t="str">
        <f>TEXT(Clean_Data[[#This Row],[OrderDate]],"[$-409]ddd")</f>
        <v>Sat</v>
      </c>
      <c r="U765" s="3">
        <f>WEEKDAY(Clean_Data[[#This Row],[OrderDate]],2)</f>
        <v>6</v>
      </c>
      <c r="V765" s="3">
        <f>INT(Clean_Data[[#This Row],[OrderHour]]/6)+1</f>
        <v>2</v>
      </c>
      <c r="W765" s="3">
        <f>IF(Clean_Data[[#This Row],[Status]]="Delivered",1,0)</f>
        <v>1</v>
      </c>
      <c r="X765" s="3">
        <f>IF(Clean_Data[[#This Row],[Status]]="Delivered",IF(Clean_Data[[#This Row],[DeliveryMinutes]]&lt;=Dashboard!$X$5,1,0),0)</f>
        <v>0</v>
      </c>
      <c r="Y7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5" s="3">
        <f>IF(AND(Clean_Data[[#This Row],[Include]]=1,Clean_Data[[#This Row],[DeliveredFlag]]=1),1,0)</f>
        <v>1</v>
      </c>
      <c r="AA765" s="1">
        <f>IF(COUNTIF($D$2:D765,D765)=1,ROW()-1,ROWS(Clean_Data[OrderID])+1)</f>
        <v>901</v>
      </c>
      <c r="AB765" s="1">
        <f>IF(COUNTIF($F$2:F765,F765)=1,ROW()-1,ROWS(Clean_Data[OrderID])+1)</f>
        <v>901</v>
      </c>
      <c r="AC765" s="1">
        <f>IF(COUNTIF($G$2:G765,G765)=1,ROW()-1,ROWS(Clean_Data[OrderID])+1)</f>
        <v>901</v>
      </c>
      <c r="AD765" s="1">
        <f>IF(COUNTIF($H$2:H765,H765)=1,ROW()-1,ROWS(Clean_Data[OrderID])+1)</f>
        <v>901</v>
      </c>
      <c r="AE765" s="1">
        <f>IF(COUNTIF($V$2:V765,V765)=1,V765,ROWS(Clean_Data[OrderID])+1)</f>
        <v>901</v>
      </c>
      <c r="AF765" s="1">
        <f>IF(COUNTIF($U$2:U765,U765)=1,U765,ROWS(Clean_Data[OrderID])+1)</f>
        <v>901</v>
      </c>
      <c r="AG765" s="1">
        <f>IF(COUNTIF($E$2:E765,E765)=1,ROW()-1,ROWS(Clean_Data[OrderID])+1)</f>
        <v>901</v>
      </c>
    </row>
    <row r="766" spans="1:33" ht="20" customHeight="1">
      <c r="A766" s="3" t="s">
        <v>1169</v>
      </c>
      <c r="B766" s="2">
        <v>46291</v>
      </c>
      <c r="C766" s="3">
        <v>16</v>
      </c>
      <c r="D766" s="3" t="s">
        <v>308</v>
      </c>
      <c r="E766" s="3" t="s">
        <v>91</v>
      </c>
      <c r="F766" s="3" t="s">
        <v>92</v>
      </c>
      <c r="G766" s="3" t="s">
        <v>135</v>
      </c>
      <c r="H766" s="3" t="s">
        <v>162</v>
      </c>
      <c r="I766" s="3">
        <v>6</v>
      </c>
      <c r="J766" s="11">
        <v>180</v>
      </c>
      <c r="K766" s="4">
        <v>0</v>
      </c>
      <c r="L766" s="3" t="s">
        <v>101</v>
      </c>
      <c r="M766" s="3"/>
      <c r="N766" s="3"/>
      <c r="O766" s="3"/>
      <c r="P766" s="11">
        <f>Clean_Data[[#This Row],[Quantity]]*Clean_Data[[#This Row],[UnitPrice]]</f>
        <v>1080</v>
      </c>
      <c r="Q766" s="11">
        <f>ROUND(Clean_Data[[#This Row],[GrossSales]]*Clean_Data[[#This Row],[DiscountPct]],2)</f>
        <v>0</v>
      </c>
      <c r="R766" s="11">
        <f>IF(Clean_Data[[#This Row],[Status]]="Delivered",ROUND(Clean_Data[[#This Row],[GrossSales]]-Clean_Data[[#This Row],[DiscountAmount]],2),0)</f>
        <v>0</v>
      </c>
      <c r="S766" s="3" t="str">
        <f>IF(Clean_Data[[#This Row],[OrderHour]]&lt;6,"Night",IF(Clean_Data[[#This Row],[OrderHour]]&lt;12,"Morning",IF(Clean_Data[[#This Row],[OrderHour]]&lt;18,"Afternoon","Evening")))</f>
        <v>Afternoon</v>
      </c>
      <c r="T766" s="3" t="str">
        <f>TEXT(Clean_Data[[#This Row],[OrderDate]],"[$-409]ddd")</f>
        <v>Sat</v>
      </c>
      <c r="U766" s="3">
        <f>WEEKDAY(Clean_Data[[#This Row],[OrderDate]],2)</f>
        <v>6</v>
      </c>
      <c r="V766" s="3">
        <f>INT(Clean_Data[[#This Row],[OrderHour]]/6)+1</f>
        <v>3</v>
      </c>
      <c r="W766" s="3">
        <f>IF(Clean_Data[[#This Row],[Status]]="Delivered",1,0)</f>
        <v>0</v>
      </c>
      <c r="X766" s="3">
        <f>IF(Clean_Data[[#This Row],[Status]]="Delivered",IF(Clean_Data[[#This Row],[DeliveryMinutes]]&lt;=Dashboard!$X$5,1,0),0)</f>
        <v>0</v>
      </c>
      <c r="Y7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6" s="3">
        <f>IF(AND(Clean_Data[[#This Row],[Include]]=1,Clean_Data[[#This Row],[DeliveredFlag]]=1),1,0)</f>
        <v>0</v>
      </c>
      <c r="AA766" s="1">
        <f>IF(COUNTIF($D$2:D766,D766)=1,ROW()-1,ROWS(Clean_Data[OrderID])+1)</f>
        <v>901</v>
      </c>
      <c r="AB766" s="1">
        <f>IF(COUNTIF($F$2:F766,F766)=1,ROW()-1,ROWS(Clean_Data[OrderID])+1)</f>
        <v>901</v>
      </c>
      <c r="AC766" s="1">
        <f>IF(COUNTIF($G$2:G766,G766)=1,ROW()-1,ROWS(Clean_Data[OrderID])+1)</f>
        <v>901</v>
      </c>
      <c r="AD766" s="1">
        <f>IF(COUNTIF($H$2:H766,H766)=1,ROW()-1,ROWS(Clean_Data[OrderID])+1)</f>
        <v>901</v>
      </c>
      <c r="AE766" s="1">
        <f>IF(COUNTIF($V$2:V766,V766)=1,V766,ROWS(Clean_Data[OrderID])+1)</f>
        <v>901</v>
      </c>
      <c r="AF766" s="1">
        <f>IF(COUNTIF($U$2:U766,U766)=1,U766,ROWS(Clean_Data[OrderID])+1)</f>
        <v>901</v>
      </c>
      <c r="AG766" s="1">
        <f>IF(COUNTIF($E$2:E766,E766)=1,ROW()-1,ROWS(Clean_Data[OrderID])+1)</f>
        <v>901</v>
      </c>
    </row>
    <row r="767" spans="1:33" ht="20" customHeight="1">
      <c r="A767" s="3" t="s">
        <v>1170</v>
      </c>
      <c r="B767" s="2">
        <v>46291</v>
      </c>
      <c r="C767" s="3">
        <v>15</v>
      </c>
      <c r="D767" s="3" t="s">
        <v>959</v>
      </c>
      <c r="E767" s="3" t="s">
        <v>91</v>
      </c>
      <c r="F767" s="3" t="s">
        <v>109</v>
      </c>
      <c r="G767" s="3" t="s">
        <v>122</v>
      </c>
      <c r="H767" s="3" t="s">
        <v>214</v>
      </c>
      <c r="I767" s="3">
        <v>4</v>
      </c>
      <c r="J767" s="11">
        <v>55</v>
      </c>
      <c r="K767" s="4">
        <v>0</v>
      </c>
      <c r="L767" s="3" t="s">
        <v>95</v>
      </c>
      <c r="M767" s="3">
        <v>15</v>
      </c>
      <c r="N767" s="3">
        <v>15</v>
      </c>
      <c r="O767" s="3">
        <v>4</v>
      </c>
      <c r="P767" s="11">
        <f>Clean_Data[[#This Row],[Quantity]]*Clean_Data[[#This Row],[UnitPrice]]</f>
        <v>220</v>
      </c>
      <c r="Q767" s="11">
        <f>ROUND(Clean_Data[[#This Row],[GrossSales]]*Clean_Data[[#This Row],[DiscountPct]],2)</f>
        <v>0</v>
      </c>
      <c r="R767" s="11">
        <f>IF(Clean_Data[[#This Row],[Status]]="Delivered",ROUND(Clean_Data[[#This Row],[GrossSales]]-Clean_Data[[#This Row],[DiscountAmount]],2),0)</f>
        <v>220</v>
      </c>
      <c r="S767" s="3" t="str">
        <f>IF(Clean_Data[[#This Row],[OrderHour]]&lt;6,"Night",IF(Clean_Data[[#This Row],[OrderHour]]&lt;12,"Morning",IF(Clean_Data[[#This Row],[OrderHour]]&lt;18,"Afternoon","Evening")))</f>
        <v>Afternoon</v>
      </c>
      <c r="T767" s="3" t="str">
        <f>TEXT(Clean_Data[[#This Row],[OrderDate]],"[$-409]ddd")</f>
        <v>Sat</v>
      </c>
      <c r="U767" s="3">
        <f>WEEKDAY(Clean_Data[[#This Row],[OrderDate]],2)</f>
        <v>6</v>
      </c>
      <c r="V767" s="3">
        <f>INT(Clean_Data[[#This Row],[OrderHour]]/6)+1</f>
        <v>3</v>
      </c>
      <c r="W767" s="3">
        <f>IF(Clean_Data[[#This Row],[Status]]="Delivered",1,0)</f>
        <v>1</v>
      </c>
      <c r="X767" s="3">
        <f>IF(Clean_Data[[#This Row],[Status]]="Delivered",IF(Clean_Data[[#This Row],[DeliveryMinutes]]&lt;=Dashboard!$X$5,1,0),0)</f>
        <v>1</v>
      </c>
      <c r="Y7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7" s="3">
        <f>IF(AND(Clean_Data[[#This Row],[Include]]=1,Clean_Data[[#This Row],[DeliveredFlag]]=1),1,0)</f>
        <v>1</v>
      </c>
      <c r="AA767" s="1">
        <f>IF(COUNTIF($D$2:D767,D767)=1,ROW()-1,ROWS(Clean_Data[OrderID])+1)</f>
        <v>901</v>
      </c>
      <c r="AB767" s="1">
        <f>IF(COUNTIF($F$2:F767,F767)=1,ROW()-1,ROWS(Clean_Data[OrderID])+1)</f>
        <v>901</v>
      </c>
      <c r="AC767" s="1">
        <f>IF(COUNTIF($G$2:G767,G767)=1,ROW()-1,ROWS(Clean_Data[OrderID])+1)</f>
        <v>901</v>
      </c>
      <c r="AD767" s="1">
        <f>IF(COUNTIF($H$2:H767,H767)=1,ROW()-1,ROWS(Clean_Data[OrderID])+1)</f>
        <v>901</v>
      </c>
      <c r="AE767" s="1">
        <f>IF(COUNTIF($V$2:V767,V767)=1,V767,ROWS(Clean_Data[OrderID])+1)</f>
        <v>901</v>
      </c>
      <c r="AF767" s="1">
        <f>IF(COUNTIF($U$2:U767,U767)=1,U767,ROWS(Clean_Data[OrderID])+1)</f>
        <v>901</v>
      </c>
      <c r="AG767" s="1">
        <f>IF(COUNTIF($E$2:E767,E767)=1,ROW()-1,ROWS(Clean_Data[OrderID])+1)</f>
        <v>901</v>
      </c>
    </row>
    <row r="768" spans="1:33" ht="20" customHeight="1">
      <c r="A768" s="3" t="s">
        <v>1171</v>
      </c>
      <c r="B768" s="2">
        <v>46291</v>
      </c>
      <c r="C768" s="3">
        <v>17</v>
      </c>
      <c r="D768" s="3" t="s">
        <v>188</v>
      </c>
      <c r="E768" s="3" t="s">
        <v>117</v>
      </c>
      <c r="F768" s="3" t="s">
        <v>121</v>
      </c>
      <c r="G768" s="3" t="s">
        <v>110</v>
      </c>
      <c r="H768" s="3" t="s">
        <v>206</v>
      </c>
      <c r="I768" s="3">
        <v>5</v>
      </c>
      <c r="J768" s="11">
        <v>220</v>
      </c>
      <c r="K768" s="4">
        <v>0</v>
      </c>
      <c r="L768" s="3" t="s">
        <v>95</v>
      </c>
      <c r="M768" s="3">
        <v>32</v>
      </c>
      <c r="N768" s="3">
        <v>10</v>
      </c>
      <c r="O768" s="3">
        <v>4</v>
      </c>
      <c r="P768" s="11">
        <f>Clean_Data[[#This Row],[Quantity]]*Clean_Data[[#This Row],[UnitPrice]]</f>
        <v>1100</v>
      </c>
      <c r="Q768" s="11">
        <f>ROUND(Clean_Data[[#This Row],[GrossSales]]*Clean_Data[[#This Row],[DiscountPct]],2)</f>
        <v>0</v>
      </c>
      <c r="R768" s="11">
        <f>IF(Clean_Data[[#This Row],[Status]]="Delivered",ROUND(Clean_Data[[#This Row],[GrossSales]]-Clean_Data[[#This Row],[DiscountAmount]],2),0)</f>
        <v>1100</v>
      </c>
      <c r="S768" s="3" t="str">
        <f>IF(Clean_Data[[#This Row],[OrderHour]]&lt;6,"Night",IF(Clean_Data[[#This Row],[OrderHour]]&lt;12,"Morning",IF(Clean_Data[[#This Row],[OrderHour]]&lt;18,"Afternoon","Evening")))</f>
        <v>Afternoon</v>
      </c>
      <c r="T768" s="3" t="str">
        <f>TEXT(Clean_Data[[#This Row],[OrderDate]],"[$-409]ddd")</f>
        <v>Sat</v>
      </c>
      <c r="U768" s="3">
        <f>WEEKDAY(Clean_Data[[#This Row],[OrderDate]],2)</f>
        <v>6</v>
      </c>
      <c r="V768" s="3">
        <f>INT(Clean_Data[[#This Row],[OrderHour]]/6)+1</f>
        <v>3</v>
      </c>
      <c r="W768" s="3">
        <f>IF(Clean_Data[[#This Row],[Status]]="Delivered",1,0)</f>
        <v>1</v>
      </c>
      <c r="X768" s="3">
        <f>IF(Clean_Data[[#This Row],[Status]]="Delivered",IF(Clean_Data[[#This Row],[DeliveryMinutes]]&lt;=Dashboard!$X$5,1,0),0)</f>
        <v>0</v>
      </c>
      <c r="Y7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8" s="3">
        <f>IF(AND(Clean_Data[[#This Row],[Include]]=1,Clean_Data[[#This Row],[DeliveredFlag]]=1),1,0)</f>
        <v>1</v>
      </c>
      <c r="AA768" s="1">
        <f>IF(COUNTIF($D$2:D768,D768)=1,ROW()-1,ROWS(Clean_Data[OrderID])+1)</f>
        <v>901</v>
      </c>
      <c r="AB768" s="1">
        <f>IF(COUNTIF($F$2:F768,F768)=1,ROW()-1,ROWS(Clean_Data[OrderID])+1)</f>
        <v>901</v>
      </c>
      <c r="AC768" s="1">
        <f>IF(COUNTIF($G$2:G768,G768)=1,ROW()-1,ROWS(Clean_Data[OrderID])+1)</f>
        <v>901</v>
      </c>
      <c r="AD768" s="1">
        <f>IF(COUNTIF($H$2:H768,H768)=1,ROW()-1,ROWS(Clean_Data[OrderID])+1)</f>
        <v>901</v>
      </c>
      <c r="AE768" s="1">
        <f>IF(COUNTIF($V$2:V768,V768)=1,V768,ROWS(Clean_Data[OrderID])+1)</f>
        <v>901</v>
      </c>
      <c r="AF768" s="1">
        <f>IF(COUNTIF($U$2:U768,U768)=1,U768,ROWS(Clean_Data[OrderID])+1)</f>
        <v>901</v>
      </c>
      <c r="AG768" s="1">
        <f>IF(COUNTIF($E$2:E768,E768)=1,ROW()-1,ROWS(Clean_Data[OrderID])+1)</f>
        <v>901</v>
      </c>
    </row>
    <row r="769" spans="1:33" ht="20" customHeight="1">
      <c r="A769" s="3" t="s">
        <v>1172</v>
      </c>
      <c r="B769" s="2">
        <v>46291</v>
      </c>
      <c r="C769" s="3">
        <v>10</v>
      </c>
      <c r="D769" s="3" t="s">
        <v>228</v>
      </c>
      <c r="E769" s="3" t="s">
        <v>91</v>
      </c>
      <c r="F769" s="3" t="s">
        <v>98</v>
      </c>
      <c r="G769" s="3" t="s">
        <v>135</v>
      </c>
      <c r="H769" s="3" t="s">
        <v>136</v>
      </c>
      <c r="I769" s="3">
        <v>3</v>
      </c>
      <c r="J769" s="11">
        <v>40</v>
      </c>
      <c r="K769" s="4">
        <v>0.05</v>
      </c>
      <c r="L769" s="3" t="s">
        <v>95</v>
      </c>
      <c r="M769" s="3">
        <v>18</v>
      </c>
      <c r="N769" s="3">
        <v>7</v>
      </c>
      <c r="O769" s="3">
        <v>4</v>
      </c>
      <c r="P769" s="11">
        <f>Clean_Data[[#This Row],[Quantity]]*Clean_Data[[#This Row],[UnitPrice]]</f>
        <v>120</v>
      </c>
      <c r="Q769" s="11">
        <f>ROUND(Clean_Data[[#This Row],[GrossSales]]*Clean_Data[[#This Row],[DiscountPct]],2)</f>
        <v>6</v>
      </c>
      <c r="R769" s="11">
        <f>IF(Clean_Data[[#This Row],[Status]]="Delivered",ROUND(Clean_Data[[#This Row],[GrossSales]]-Clean_Data[[#This Row],[DiscountAmount]],2),0)</f>
        <v>114</v>
      </c>
      <c r="S769" s="3" t="str">
        <f>IF(Clean_Data[[#This Row],[OrderHour]]&lt;6,"Night",IF(Clean_Data[[#This Row],[OrderHour]]&lt;12,"Morning",IF(Clean_Data[[#This Row],[OrderHour]]&lt;18,"Afternoon","Evening")))</f>
        <v>Morning</v>
      </c>
      <c r="T769" s="3" t="str">
        <f>TEXT(Clean_Data[[#This Row],[OrderDate]],"[$-409]ddd")</f>
        <v>Sat</v>
      </c>
      <c r="U769" s="3">
        <f>WEEKDAY(Clean_Data[[#This Row],[OrderDate]],2)</f>
        <v>6</v>
      </c>
      <c r="V769" s="3">
        <f>INT(Clean_Data[[#This Row],[OrderHour]]/6)+1</f>
        <v>2</v>
      </c>
      <c r="W769" s="3">
        <f>IF(Clean_Data[[#This Row],[Status]]="Delivered",1,0)</f>
        <v>1</v>
      </c>
      <c r="X769" s="3">
        <f>IF(Clean_Data[[#This Row],[Status]]="Delivered",IF(Clean_Data[[#This Row],[DeliveryMinutes]]&lt;=Dashboard!$X$5,1,0),0)</f>
        <v>1</v>
      </c>
      <c r="Y7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69" s="3">
        <f>IF(AND(Clean_Data[[#This Row],[Include]]=1,Clean_Data[[#This Row],[DeliveredFlag]]=1),1,0)</f>
        <v>1</v>
      </c>
      <c r="AA769" s="1">
        <f>IF(COUNTIF($D$2:D769,D769)=1,ROW()-1,ROWS(Clean_Data[OrderID])+1)</f>
        <v>901</v>
      </c>
      <c r="AB769" s="1">
        <f>IF(COUNTIF($F$2:F769,F769)=1,ROW()-1,ROWS(Clean_Data[OrderID])+1)</f>
        <v>901</v>
      </c>
      <c r="AC769" s="1">
        <f>IF(COUNTIF($G$2:G769,G769)=1,ROW()-1,ROWS(Clean_Data[OrderID])+1)</f>
        <v>901</v>
      </c>
      <c r="AD769" s="1">
        <f>IF(COUNTIF($H$2:H769,H769)=1,ROW()-1,ROWS(Clean_Data[OrderID])+1)</f>
        <v>901</v>
      </c>
      <c r="AE769" s="1">
        <f>IF(COUNTIF($V$2:V769,V769)=1,V769,ROWS(Clean_Data[OrderID])+1)</f>
        <v>901</v>
      </c>
      <c r="AF769" s="1">
        <f>IF(COUNTIF($U$2:U769,U769)=1,U769,ROWS(Clean_Data[OrderID])+1)</f>
        <v>901</v>
      </c>
      <c r="AG769" s="1">
        <f>IF(COUNTIF($E$2:E769,E769)=1,ROW()-1,ROWS(Clean_Data[OrderID])+1)</f>
        <v>901</v>
      </c>
    </row>
    <row r="770" spans="1:33" ht="20" customHeight="1">
      <c r="A770" s="3" t="s">
        <v>1173</v>
      </c>
      <c r="B770" s="2">
        <v>46291</v>
      </c>
      <c r="C770" s="3">
        <v>20</v>
      </c>
      <c r="D770" s="3" t="s">
        <v>238</v>
      </c>
      <c r="E770" s="3" t="s">
        <v>91</v>
      </c>
      <c r="F770" s="3" t="s">
        <v>98</v>
      </c>
      <c r="G770" s="3" t="s">
        <v>110</v>
      </c>
      <c r="H770" s="3" t="s">
        <v>114</v>
      </c>
      <c r="I770" s="3">
        <v>6</v>
      </c>
      <c r="J770" s="11">
        <v>145</v>
      </c>
      <c r="K770" s="4">
        <v>0</v>
      </c>
      <c r="L770" s="3" t="s">
        <v>95</v>
      </c>
      <c r="M770" s="3">
        <v>19</v>
      </c>
      <c r="N770" s="3">
        <v>14</v>
      </c>
      <c r="O770" s="3">
        <v>4</v>
      </c>
      <c r="P770" s="11">
        <f>Clean_Data[[#This Row],[Quantity]]*Clean_Data[[#This Row],[UnitPrice]]</f>
        <v>870</v>
      </c>
      <c r="Q770" s="11">
        <f>ROUND(Clean_Data[[#This Row],[GrossSales]]*Clean_Data[[#This Row],[DiscountPct]],2)</f>
        <v>0</v>
      </c>
      <c r="R770" s="11">
        <f>IF(Clean_Data[[#This Row],[Status]]="Delivered",ROUND(Clean_Data[[#This Row],[GrossSales]]-Clean_Data[[#This Row],[DiscountAmount]],2),0)</f>
        <v>870</v>
      </c>
      <c r="S770" s="3" t="str">
        <f>IF(Clean_Data[[#This Row],[OrderHour]]&lt;6,"Night",IF(Clean_Data[[#This Row],[OrderHour]]&lt;12,"Morning",IF(Clean_Data[[#This Row],[OrderHour]]&lt;18,"Afternoon","Evening")))</f>
        <v>Evening</v>
      </c>
      <c r="T770" s="3" t="str">
        <f>TEXT(Clean_Data[[#This Row],[OrderDate]],"[$-409]ddd")</f>
        <v>Sat</v>
      </c>
      <c r="U770" s="3">
        <f>WEEKDAY(Clean_Data[[#This Row],[OrderDate]],2)</f>
        <v>6</v>
      </c>
      <c r="V770" s="3">
        <f>INT(Clean_Data[[#This Row],[OrderHour]]/6)+1</f>
        <v>4</v>
      </c>
      <c r="W770" s="3">
        <f>IF(Clean_Data[[#This Row],[Status]]="Delivered",1,0)</f>
        <v>1</v>
      </c>
      <c r="X770" s="3">
        <f>IF(Clean_Data[[#This Row],[Status]]="Delivered",IF(Clean_Data[[#This Row],[DeliveryMinutes]]&lt;=Dashboard!$X$5,1,0),0)</f>
        <v>1</v>
      </c>
      <c r="Y7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0" s="3">
        <f>IF(AND(Clean_Data[[#This Row],[Include]]=1,Clean_Data[[#This Row],[DeliveredFlag]]=1),1,0)</f>
        <v>1</v>
      </c>
      <c r="AA770" s="1">
        <f>IF(COUNTIF($D$2:D770,D770)=1,ROW()-1,ROWS(Clean_Data[OrderID])+1)</f>
        <v>901</v>
      </c>
      <c r="AB770" s="1">
        <f>IF(COUNTIF($F$2:F770,F770)=1,ROW()-1,ROWS(Clean_Data[OrderID])+1)</f>
        <v>901</v>
      </c>
      <c r="AC770" s="1">
        <f>IF(COUNTIF($G$2:G770,G770)=1,ROW()-1,ROWS(Clean_Data[OrderID])+1)</f>
        <v>901</v>
      </c>
      <c r="AD770" s="1">
        <f>IF(COUNTIF($H$2:H770,H770)=1,ROW()-1,ROWS(Clean_Data[OrderID])+1)</f>
        <v>901</v>
      </c>
      <c r="AE770" s="1">
        <f>IF(COUNTIF($V$2:V770,V770)=1,V770,ROWS(Clean_Data[OrderID])+1)</f>
        <v>901</v>
      </c>
      <c r="AF770" s="1">
        <f>IF(COUNTIF($U$2:U770,U770)=1,U770,ROWS(Clean_Data[OrderID])+1)</f>
        <v>901</v>
      </c>
      <c r="AG770" s="1">
        <f>IF(COUNTIF($E$2:E770,E770)=1,ROW()-1,ROWS(Clean_Data[OrderID])+1)</f>
        <v>901</v>
      </c>
    </row>
    <row r="771" spans="1:33" ht="20" customHeight="1">
      <c r="A771" s="3" t="s">
        <v>1174</v>
      </c>
      <c r="B771" s="2">
        <v>46291</v>
      </c>
      <c r="C771" s="3">
        <v>22</v>
      </c>
      <c r="D771" s="3" t="s">
        <v>262</v>
      </c>
      <c r="E771" s="3" t="s">
        <v>117</v>
      </c>
      <c r="F771" s="3" t="s">
        <v>139</v>
      </c>
      <c r="G771" s="3" t="s">
        <v>174</v>
      </c>
      <c r="H771" s="3" t="s">
        <v>184</v>
      </c>
      <c r="I771" s="3">
        <v>2</v>
      </c>
      <c r="J771" s="11">
        <v>62</v>
      </c>
      <c r="K771" s="4">
        <v>0</v>
      </c>
      <c r="L771" s="3" t="s">
        <v>95</v>
      </c>
      <c r="M771" s="3">
        <v>29</v>
      </c>
      <c r="N771" s="3">
        <v>10</v>
      </c>
      <c r="O771" s="3">
        <v>4</v>
      </c>
      <c r="P771" s="11">
        <f>Clean_Data[[#This Row],[Quantity]]*Clean_Data[[#This Row],[UnitPrice]]</f>
        <v>124</v>
      </c>
      <c r="Q771" s="11">
        <f>ROUND(Clean_Data[[#This Row],[GrossSales]]*Clean_Data[[#This Row],[DiscountPct]],2)</f>
        <v>0</v>
      </c>
      <c r="R771" s="11">
        <f>IF(Clean_Data[[#This Row],[Status]]="Delivered",ROUND(Clean_Data[[#This Row],[GrossSales]]-Clean_Data[[#This Row],[DiscountAmount]],2),0)</f>
        <v>124</v>
      </c>
      <c r="S771" s="3" t="str">
        <f>IF(Clean_Data[[#This Row],[OrderHour]]&lt;6,"Night",IF(Clean_Data[[#This Row],[OrderHour]]&lt;12,"Morning",IF(Clean_Data[[#This Row],[OrderHour]]&lt;18,"Afternoon","Evening")))</f>
        <v>Evening</v>
      </c>
      <c r="T771" s="3" t="str">
        <f>TEXT(Clean_Data[[#This Row],[OrderDate]],"[$-409]ddd")</f>
        <v>Sat</v>
      </c>
      <c r="U771" s="3">
        <f>WEEKDAY(Clean_Data[[#This Row],[OrderDate]],2)</f>
        <v>6</v>
      </c>
      <c r="V771" s="3">
        <f>INT(Clean_Data[[#This Row],[OrderHour]]/6)+1</f>
        <v>4</v>
      </c>
      <c r="W771" s="3">
        <f>IF(Clean_Data[[#This Row],[Status]]="Delivered",1,0)</f>
        <v>1</v>
      </c>
      <c r="X771" s="3">
        <f>IF(Clean_Data[[#This Row],[Status]]="Delivered",IF(Clean_Data[[#This Row],[DeliveryMinutes]]&lt;=Dashboard!$X$5,1,0),0)</f>
        <v>1</v>
      </c>
      <c r="Y7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1" s="3">
        <f>IF(AND(Clean_Data[[#This Row],[Include]]=1,Clean_Data[[#This Row],[DeliveredFlag]]=1),1,0)</f>
        <v>1</v>
      </c>
      <c r="AA771" s="1">
        <f>IF(COUNTIF($D$2:D771,D771)=1,ROW()-1,ROWS(Clean_Data[OrderID])+1)</f>
        <v>901</v>
      </c>
      <c r="AB771" s="1">
        <f>IF(COUNTIF($F$2:F771,F771)=1,ROW()-1,ROWS(Clean_Data[OrderID])+1)</f>
        <v>901</v>
      </c>
      <c r="AC771" s="1">
        <f>IF(COUNTIF($G$2:G771,G771)=1,ROW()-1,ROWS(Clean_Data[OrderID])+1)</f>
        <v>901</v>
      </c>
      <c r="AD771" s="1">
        <f>IF(COUNTIF($H$2:H771,H771)=1,ROW()-1,ROWS(Clean_Data[OrderID])+1)</f>
        <v>901</v>
      </c>
      <c r="AE771" s="1">
        <f>IF(COUNTIF($V$2:V771,V771)=1,V771,ROWS(Clean_Data[OrderID])+1)</f>
        <v>901</v>
      </c>
      <c r="AF771" s="1">
        <f>IF(COUNTIF($U$2:U771,U771)=1,U771,ROWS(Clean_Data[OrderID])+1)</f>
        <v>901</v>
      </c>
      <c r="AG771" s="1">
        <f>IF(COUNTIF($E$2:E771,E771)=1,ROW()-1,ROWS(Clean_Data[OrderID])+1)</f>
        <v>901</v>
      </c>
    </row>
    <row r="772" spans="1:33" ht="20" customHeight="1">
      <c r="A772" s="3" t="s">
        <v>1175</v>
      </c>
      <c r="B772" s="2">
        <v>46291</v>
      </c>
      <c r="C772" s="3">
        <v>19</v>
      </c>
      <c r="D772" s="3" t="s">
        <v>406</v>
      </c>
      <c r="E772" s="3" t="s">
        <v>91</v>
      </c>
      <c r="F772" s="3" t="s">
        <v>109</v>
      </c>
      <c r="G772" s="3" t="s">
        <v>135</v>
      </c>
      <c r="H772" s="3" t="s">
        <v>136</v>
      </c>
      <c r="I772" s="3">
        <v>3</v>
      </c>
      <c r="J772" s="11">
        <v>40</v>
      </c>
      <c r="K772" s="4">
        <v>0</v>
      </c>
      <c r="L772" s="3" t="s">
        <v>95</v>
      </c>
      <c r="M772" s="3">
        <v>22</v>
      </c>
      <c r="N772" s="3">
        <v>5</v>
      </c>
      <c r="O772" s="3">
        <v>4</v>
      </c>
      <c r="P772" s="11">
        <f>Clean_Data[[#This Row],[Quantity]]*Clean_Data[[#This Row],[UnitPrice]]</f>
        <v>120</v>
      </c>
      <c r="Q772" s="11">
        <f>ROUND(Clean_Data[[#This Row],[GrossSales]]*Clean_Data[[#This Row],[DiscountPct]],2)</f>
        <v>0</v>
      </c>
      <c r="R772" s="11">
        <f>IF(Clean_Data[[#This Row],[Status]]="Delivered",ROUND(Clean_Data[[#This Row],[GrossSales]]-Clean_Data[[#This Row],[DiscountAmount]],2),0)</f>
        <v>120</v>
      </c>
      <c r="S772" s="3" t="str">
        <f>IF(Clean_Data[[#This Row],[OrderHour]]&lt;6,"Night",IF(Clean_Data[[#This Row],[OrderHour]]&lt;12,"Morning",IF(Clean_Data[[#This Row],[OrderHour]]&lt;18,"Afternoon","Evening")))</f>
        <v>Evening</v>
      </c>
      <c r="T772" s="3" t="str">
        <f>TEXT(Clean_Data[[#This Row],[OrderDate]],"[$-409]ddd")</f>
        <v>Sat</v>
      </c>
      <c r="U772" s="3">
        <f>WEEKDAY(Clean_Data[[#This Row],[OrderDate]],2)</f>
        <v>6</v>
      </c>
      <c r="V772" s="3">
        <f>INT(Clean_Data[[#This Row],[OrderHour]]/6)+1</f>
        <v>4</v>
      </c>
      <c r="W772" s="3">
        <f>IF(Clean_Data[[#This Row],[Status]]="Delivered",1,0)</f>
        <v>1</v>
      </c>
      <c r="X772" s="3">
        <f>IF(Clean_Data[[#This Row],[Status]]="Delivered",IF(Clean_Data[[#This Row],[DeliveryMinutes]]&lt;=Dashboard!$X$5,1,0),0)</f>
        <v>1</v>
      </c>
      <c r="Y7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2" s="3">
        <f>IF(AND(Clean_Data[[#This Row],[Include]]=1,Clean_Data[[#This Row],[DeliveredFlag]]=1),1,0)</f>
        <v>1</v>
      </c>
      <c r="AA772" s="1">
        <f>IF(COUNTIF($D$2:D772,D772)=1,ROW()-1,ROWS(Clean_Data[OrderID])+1)</f>
        <v>901</v>
      </c>
      <c r="AB772" s="1">
        <f>IF(COUNTIF($F$2:F772,F772)=1,ROW()-1,ROWS(Clean_Data[OrderID])+1)</f>
        <v>901</v>
      </c>
      <c r="AC772" s="1">
        <f>IF(COUNTIF($G$2:G772,G772)=1,ROW()-1,ROWS(Clean_Data[OrderID])+1)</f>
        <v>901</v>
      </c>
      <c r="AD772" s="1">
        <f>IF(COUNTIF($H$2:H772,H772)=1,ROW()-1,ROWS(Clean_Data[OrderID])+1)</f>
        <v>901</v>
      </c>
      <c r="AE772" s="1">
        <f>IF(COUNTIF($V$2:V772,V772)=1,V772,ROWS(Clean_Data[OrderID])+1)</f>
        <v>901</v>
      </c>
      <c r="AF772" s="1">
        <f>IF(COUNTIF($U$2:U772,U772)=1,U772,ROWS(Clean_Data[OrderID])+1)</f>
        <v>901</v>
      </c>
      <c r="AG772" s="1">
        <f>IF(COUNTIF($E$2:E772,E772)=1,ROW()-1,ROWS(Clean_Data[OrderID])+1)</f>
        <v>901</v>
      </c>
    </row>
    <row r="773" spans="1:33" ht="20" customHeight="1">
      <c r="A773" s="3" t="s">
        <v>1176</v>
      </c>
      <c r="B773" s="2">
        <v>46291</v>
      </c>
      <c r="C773" s="3">
        <v>23</v>
      </c>
      <c r="D773" s="3" t="s">
        <v>992</v>
      </c>
      <c r="E773" s="3" t="s">
        <v>91</v>
      </c>
      <c r="F773" s="3" t="s">
        <v>92</v>
      </c>
      <c r="G773" s="3" t="s">
        <v>99</v>
      </c>
      <c r="H773" s="3" t="s">
        <v>104</v>
      </c>
      <c r="I773" s="3">
        <v>1</v>
      </c>
      <c r="J773" s="11">
        <v>240</v>
      </c>
      <c r="K773" s="4">
        <v>0.05</v>
      </c>
      <c r="L773" s="3" t="s">
        <v>95</v>
      </c>
      <c r="M773" s="3">
        <v>32</v>
      </c>
      <c r="N773" s="3">
        <v>7</v>
      </c>
      <c r="O773" s="3">
        <v>5</v>
      </c>
      <c r="P773" s="11">
        <f>Clean_Data[[#This Row],[Quantity]]*Clean_Data[[#This Row],[UnitPrice]]</f>
        <v>240</v>
      </c>
      <c r="Q773" s="11">
        <f>ROUND(Clean_Data[[#This Row],[GrossSales]]*Clean_Data[[#This Row],[DiscountPct]],2)</f>
        <v>12</v>
      </c>
      <c r="R773" s="11">
        <f>IF(Clean_Data[[#This Row],[Status]]="Delivered",ROUND(Clean_Data[[#This Row],[GrossSales]]-Clean_Data[[#This Row],[DiscountAmount]],2),0)</f>
        <v>228</v>
      </c>
      <c r="S773" s="3" t="str">
        <f>IF(Clean_Data[[#This Row],[OrderHour]]&lt;6,"Night",IF(Clean_Data[[#This Row],[OrderHour]]&lt;12,"Morning",IF(Clean_Data[[#This Row],[OrderHour]]&lt;18,"Afternoon","Evening")))</f>
        <v>Evening</v>
      </c>
      <c r="T773" s="3" t="str">
        <f>TEXT(Clean_Data[[#This Row],[OrderDate]],"[$-409]ddd")</f>
        <v>Sat</v>
      </c>
      <c r="U773" s="3">
        <f>WEEKDAY(Clean_Data[[#This Row],[OrderDate]],2)</f>
        <v>6</v>
      </c>
      <c r="V773" s="3">
        <f>INT(Clean_Data[[#This Row],[OrderHour]]/6)+1</f>
        <v>4</v>
      </c>
      <c r="W773" s="3">
        <f>IF(Clean_Data[[#This Row],[Status]]="Delivered",1,0)</f>
        <v>1</v>
      </c>
      <c r="X773" s="3">
        <f>IF(Clean_Data[[#This Row],[Status]]="Delivered",IF(Clean_Data[[#This Row],[DeliveryMinutes]]&lt;=Dashboard!$X$5,1,0),0)</f>
        <v>0</v>
      </c>
      <c r="Y7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3" s="3">
        <f>IF(AND(Clean_Data[[#This Row],[Include]]=1,Clean_Data[[#This Row],[DeliveredFlag]]=1),1,0)</f>
        <v>1</v>
      </c>
      <c r="AA773" s="1">
        <f>IF(COUNTIF($D$2:D773,D773)=1,ROW()-1,ROWS(Clean_Data[OrderID])+1)</f>
        <v>901</v>
      </c>
      <c r="AB773" s="1">
        <f>IF(COUNTIF($F$2:F773,F773)=1,ROW()-1,ROWS(Clean_Data[OrderID])+1)</f>
        <v>901</v>
      </c>
      <c r="AC773" s="1">
        <f>IF(COUNTIF($G$2:G773,G773)=1,ROW()-1,ROWS(Clean_Data[OrderID])+1)</f>
        <v>901</v>
      </c>
      <c r="AD773" s="1">
        <f>IF(COUNTIF($H$2:H773,H773)=1,ROW()-1,ROWS(Clean_Data[OrderID])+1)</f>
        <v>901</v>
      </c>
      <c r="AE773" s="1">
        <f>IF(COUNTIF($V$2:V773,V773)=1,V773,ROWS(Clean_Data[OrderID])+1)</f>
        <v>901</v>
      </c>
      <c r="AF773" s="1">
        <f>IF(COUNTIF($U$2:U773,U773)=1,U773,ROWS(Clean_Data[OrderID])+1)</f>
        <v>901</v>
      </c>
      <c r="AG773" s="1">
        <f>IF(COUNTIF($E$2:E773,E773)=1,ROW()-1,ROWS(Clean_Data[OrderID])+1)</f>
        <v>901</v>
      </c>
    </row>
    <row r="774" spans="1:33" ht="20" customHeight="1">
      <c r="A774" s="3" t="s">
        <v>1177</v>
      </c>
      <c r="B774" s="2">
        <v>46291</v>
      </c>
      <c r="C774" s="3">
        <v>17</v>
      </c>
      <c r="D774" s="3" t="s">
        <v>314</v>
      </c>
      <c r="E774" s="3" t="s">
        <v>117</v>
      </c>
      <c r="F774" s="3" t="s">
        <v>121</v>
      </c>
      <c r="G774" s="3" t="s">
        <v>135</v>
      </c>
      <c r="H774" s="3" t="s">
        <v>136</v>
      </c>
      <c r="I774" s="3">
        <v>4</v>
      </c>
      <c r="J774" s="11">
        <v>40</v>
      </c>
      <c r="K774" s="4">
        <v>0.05</v>
      </c>
      <c r="L774" s="3" t="s">
        <v>101</v>
      </c>
      <c r="M774" s="3"/>
      <c r="N774" s="3"/>
      <c r="O774" s="3"/>
      <c r="P774" s="11">
        <f>Clean_Data[[#This Row],[Quantity]]*Clean_Data[[#This Row],[UnitPrice]]</f>
        <v>160</v>
      </c>
      <c r="Q774" s="11">
        <f>ROUND(Clean_Data[[#This Row],[GrossSales]]*Clean_Data[[#This Row],[DiscountPct]],2)</f>
        <v>8</v>
      </c>
      <c r="R774" s="11">
        <f>IF(Clean_Data[[#This Row],[Status]]="Delivered",ROUND(Clean_Data[[#This Row],[GrossSales]]-Clean_Data[[#This Row],[DiscountAmount]],2),0)</f>
        <v>0</v>
      </c>
      <c r="S774" s="3" t="str">
        <f>IF(Clean_Data[[#This Row],[OrderHour]]&lt;6,"Night",IF(Clean_Data[[#This Row],[OrderHour]]&lt;12,"Morning",IF(Clean_Data[[#This Row],[OrderHour]]&lt;18,"Afternoon","Evening")))</f>
        <v>Afternoon</v>
      </c>
      <c r="T774" s="3" t="str">
        <f>TEXT(Clean_Data[[#This Row],[OrderDate]],"[$-409]ddd")</f>
        <v>Sat</v>
      </c>
      <c r="U774" s="3">
        <f>WEEKDAY(Clean_Data[[#This Row],[OrderDate]],2)</f>
        <v>6</v>
      </c>
      <c r="V774" s="3">
        <f>INT(Clean_Data[[#This Row],[OrderHour]]/6)+1</f>
        <v>3</v>
      </c>
      <c r="W774" s="3">
        <f>IF(Clean_Data[[#This Row],[Status]]="Delivered",1,0)</f>
        <v>0</v>
      </c>
      <c r="X774" s="3">
        <f>IF(Clean_Data[[#This Row],[Status]]="Delivered",IF(Clean_Data[[#This Row],[DeliveryMinutes]]&lt;=Dashboard!$X$5,1,0),0)</f>
        <v>0</v>
      </c>
      <c r="Y7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4" s="3">
        <f>IF(AND(Clean_Data[[#This Row],[Include]]=1,Clean_Data[[#This Row],[DeliveredFlag]]=1),1,0)</f>
        <v>0</v>
      </c>
      <c r="AA774" s="1">
        <f>IF(COUNTIF($D$2:D774,D774)=1,ROW()-1,ROWS(Clean_Data[OrderID])+1)</f>
        <v>901</v>
      </c>
      <c r="AB774" s="1">
        <f>IF(COUNTIF($F$2:F774,F774)=1,ROW()-1,ROWS(Clean_Data[OrderID])+1)</f>
        <v>901</v>
      </c>
      <c r="AC774" s="1">
        <f>IF(COUNTIF($G$2:G774,G774)=1,ROW()-1,ROWS(Clean_Data[OrderID])+1)</f>
        <v>901</v>
      </c>
      <c r="AD774" s="1">
        <f>IF(COUNTIF($H$2:H774,H774)=1,ROW()-1,ROWS(Clean_Data[OrderID])+1)</f>
        <v>901</v>
      </c>
      <c r="AE774" s="1">
        <f>IF(COUNTIF($V$2:V774,V774)=1,V774,ROWS(Clean_Data[OrderID])+1)</f>
        <v>901</v>
      </c>
      <c r="AF774" s="1">
        <f>IF(COUNTIF($U$2:U774,U774)=1,U774,ROWS(Clean_Data[OrderID])+1)</f>
        <v>901</v>
      </c>
      <c r="AG774" s="1">
        <f>IF(COUNTIF($E$2:E774,E774)=1,ROW()-1,ROWS(Clean_Data[OrderID])+1)</f>
        <v>901</v>
      </c>
    </row>
    <row r="775" spans="1:33" ht="20" customHeight="1">
      <c r="A775" s="3" t="s">
        <v>1178</v>
      </c>
      <c r="B775" s="2">
        <v>46291</v>
      </c>
      <c r="C775" s="3">
        <v>11</v>
      </c>
      <c r="D775" s="3" t="s">
        <v>677</v>
      </c>
      <c r="E775" s="3" t="s">
        <v>117</v>
      </c>
      <c r="F775" s="3" t="s">
        <v>139</v>
      </c>
      <c r="G775" s="3" t="s">
        <v>122</v>
      </c>
      <c r="H775" s="3" t="s">
        <v>153</v>
      </c>
      <c r="I775" s="3">
        <v>5</v>
      </c>
      <c r="J775" s="11">
        <v>130</v>
      </c>
      <c r="K775" s="4">
        <v>0.05</v>
      </c>
      <c r="L775" s="3" t="s">
        <v>95</v>
      </c>
      <c r="M775" s="3">
        <v>25</v>
      </c>
      <c r="N775" s="3">
        <v>12</v>
      </c>
      <c r="O775" s="3">
        <v>5</v>
      </c>
      <c r="P775" s="11">
        <f>Clean_Data[[#This Row],[Quantity]]*Clean_Data[[#This Row],[UnitPrice]]</f>
        <v>650</v>
      </c>
      <c r="Q775" s="11">
        <f>ROUND(Clean_Data[[#This Row],[GrossSales]]*Clean_Data[[#This Row],[DiscountPct]],2)</f>
        <v>32.5</v>
      </c>
      <c r="R775" s="11">
        <f>IF(Clean_Data[[#This Row],[Status]]="Delivered",ROUND(Clean_Data[[#This Row],[GrossSales]]-Clean_Data[[#This Row],[DiscountAmount]],2),0)</f>
        <v>617.5</v>
      </c>
      <c r="S775" s="3" t="str">
        <f>IF(Clean_Data[[#This Row],[OrderHour]]&lt;6,"Night",IF(Clean_Data[[#This Row],[OrderHour]]&lt;12,"Morning",IF(Clean_Data[[#This Row],[OrderHour]]&lt;18,"Afternoon","Evening")))</f>
        <v>Morning</v>
      </c>
      <c r="T775" s="3" t="str">
        <f>TEXT(Clean_Data[[#This Row],[OrderDate]],"[$-409]ddd")</f>
        <v>Sat</v>
      </c>
      <c r="U775" s="3">
        <f>WEEKDAY(Clean_Data[[#This Row],[OrderDate]],2)</f>
        <v>6</v>
      </c>
      <c r="V775" s="3">
        <f>INT(Clean_Data[[#This Row],[OrderHour]]/6)+1</f>
        <v>2</v>
      </c>
      <c r="W775" s="3">
        <f>IF(Clean_Data[[#This Row],[Status]]="Delivered",1,0)</f>
        <v>1</v>
      </c>
      <c r="X775" s="3">
        <f>IF(Clean_Data[[#This Row],[Status]]="Delivered",IF(Clean_Data[[#This Row],[DeliveryMinutes]]&lt;=Dashboard!$X$5,1,0),0)</f>
        <v>1</v>
      </c>
      <c r="Y7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5" s="3">
        <f>IF(AND(Clean_Data[[#This Row],[Include]]=1,Clean_Data[[#This Row],[DeliveredFlag]]=1),1,0)</f>
        <v>1</v>
      </c>
      <c r="AA775" s="1">
        <f>IF(COUNTIF($D$2:D775,D775)=1,ROW()-1,ROWS(Clean_Data[OrderID])+1)</f>
        <v>901</v>
      </c>
      <c r="AB775" s="1">
        <f>IF(COUNTIF($F$2:F775,F775)=1,ROW()-1,ROWS(Clean_Data[OrderID])+1)</f>
        <v>901</v>
      </c>
      <c r="AC775" s="1">
        <f>IF(COUNTIF($G$2:G775,G775)=1,ROW()-1,ROWS(Clean_Data[OrderID])+1)</f>
        <v>901</v>
      </c>
      <c r="AD775" s="1">
        <f>IF(COUNTIF($H$2:H775,H775)=1,ROW()-1,ROWS(Clean_Data[OrderID])+1)</f>
        <v>901</v>
      </c>
      <c r="AE775" s="1">
        <f>IF(COUNTIF($V$2:V775,V775)=1,V775,ROWS(Clean_Data[OrderID])+1)</f>
        <v>901</v>
      </c>
      <c r="AF775" s="1">
        <f>IF(COUNTIF($U$2:U775,U775)=1,U775,ROWS(Clean_Data[OrderID])+1)</f>
        <v>901</v>
      </c>
      <c r="AG775" s="1">
        <f>IF(COUNTIF($E$2:E775,E775)=1,ROW()-1,ROWS(Clean_Data[OrderID])+1)</f>
        <v>901</v>
      </c>
    </row>
    <row r="776" spans="1:33" ht="20" customHeight="1">
      <c r="A776" s="3" t="s">
        <v>1179</v>
      </c>
      <c r="B776" s="2">
        <v>46291</v>
      </c>
      <c r="C776" s="3">
        <v>18</v>
      </c>
      <c r="D776" s="3" t="s">
        <v>125</v>
      </c>
      <c r="E776" s="3" t="s">
        <v>91</v>
      </c>
      <c r="F776" s="3" t="s">
        <v>109</v>
      </c>
      <c r="G776" s="3" t="s">
        <v>93</v>
      </c>
      <c r="H776" s="3" t="s">
        <v>94</v>
      </c>
      <c r="I776" s="3">
        <v>6</v>
      </c>
      <c r="J776" s="11">
        <v>95</v>
      </c>
      <c r="K776" s="4">
        <v>0</v>
      </c>
      <c r="L776" s="3" t="s">
        <v>101</v>
      </c>
      <c r="M776" s="3"/>
      <c r="N776" s="3"/>
      <c r="O776" s="3"/>
      <c r="P776" s="11">
        <f>Clean_Data[[#This Row],[Quantity]]*Clean_Data[[#This Row],[UnitPrice]]</f>
        <v>570</v>
      </c>
      <c r="Q776" s="11">
        <f>ROUND(Clean_Data[[#This Row],[GrossSales]]*Clean_Data[[#This Row],[DiscountPct]],2)</f>
        <v>0</v>
      </c>
      <c r="R776" s="11">
        <f>IF(Clean_Data[[#This Row],[Status]]="Delivered",ROUND(Clean_Data[[#This Row],[GrossSales]]-Clean_Data[[#This Row],[DiscountAmount]],2),0)</f>
        <v>0</v>
      </c>
      <c r="S776" s="3" t="str">
        <f>IF(Clean_Data[[#This Row],[OrderHour]]&lt;6,"Night",IF(Clean_Data[[#This Row],[OrderHour]]&lt;12,"Morning",IF(Clean_Data[[#This Row],[OrderHour]]&lt;18,"Afternoon","Evening")))</f>
        <v>Evening</v>
      </c>
      <c r="T776" s="3" t="str">
        <f>TEXT(Clean_Data[[#This Row],[OrderDate]],"[$-409]ddd")</f>
        <v>Sat</v>
      </c>
      <c r="U776" s="3">
        <f>WEEKDAY(Clean_Data[[#This Row],[OrderDate]],2)</f>
        <v>6</v>
      </c>
      <c r="V776" s="3">
        <f>INT(Clean_Data[[#This Row],[OrderHour]]/6)+1</f>
        <v>4</v>
      </c>
      <c r="W776" s="3">
        <f>IF(Clean_Data[[#This Row],[Status]]="Delivered",1,0)</f>
        <v>0</v>
      </c>
      <c r="X776" s="3">
        <f>IF(Clean_Data[[#This Row],[Status]]="Delivered",IF(Clean_Data[[#This Row],[DeliveryMinutes]]&lt;=Dashboard!$X$5,1,0),0)</f>
        <v>0</v>
      </c>
      <c r="Y7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6" s="3">
        <f>IF(AND(Clean_Data[[#This Row],[Include]]=1,Clean_Data[[#This Row],[DeliveredFlag]]=1),1,0)</f>
        <v>0</v>
      </c>
      <c r="AA776" s="1">
        <f>IF(COUNTIF($D$2:D776,D776)=1,ROW()-1,ROWS(Clean_Data[OrderID])+1)</f>
        <v>901</v>
      </c>
      <c r="AB776" s="1">
        <f>IF(COUNTIF($F$2:F776,F776)=1,ROW()-1,ROWS(Clean_Data[OrderID])+1)</f>
        <v>901</v>
      </c>
      <c r="AC776" s="1">
        <f>IF(COUNTIF($G$2:G776,G776)=1,ROW()-1,ROWS(Clean_Data[OrderID])+1)</f>
        <v>901</v>
      </c>
      <c r="AD776" s="1">
        <f>IF(COUNTIF($H$2:H776,H776)=1,ROW()-1,ROWS(Clean_Data[OrderID])+1)</f>
        <v>901</v>
      </c>
      <c r="AE776" s="1">
        <f>IF(COUNTIF($V$2:V776,V776)=1,V776,ROWS(Clean_Data[OrderID])+1)</f>
        <v>901</v>
      </c>
      <c r="AF776" s="1">
        <f>IF(COUNTIF($U$2:U776,U776)=1,U776,ROWS(Clean_Data[OrderID])+1)</f>
        <v>901</v>
      </c>
      <c r="AG776" s="1">
        <f>IF(COUNTIF($E$2:E776,E776)=1,ROW()-1,ROWS(Clean_Data[OrderID])+1)</f>
        <v>901</v>
      </c>
    </row>
    <row r="777" spans="1:33" ht="20" customHeight="1">
      <c r="A777" s="3" t="s">
        <v>1180</v>
      </c>
      <c r="B777" s="2">
        <v>46291</v>
      </c>
      <c r="C777" s="3">
        <v>9</v>
      </c>
      <c r="D777" s="3" t="s">
        <v>1181</v>
      </c>
      <c r="E777" s="3" t="s">
        <v>91</v>
      </c>
      <c r="F777" s="3" t="s">
        <v>92</v>
      </c>
      <c r="G777" s="3" t="s">
        <v>110</v>
      </c>
      <c r="H777" s="3" t="s">
        <v>206</v>
      </c>
      <c r="I777" s="3">
        <v>5</v>
      </c>
      <c r="J777" s="11">
        <v>220</v>
      </c>
      <c r="K777" s="4">
        <v>0</v>
      </c>
      <c r="L777" s="3" t="s">
        <v>95</v>
      </c>
      <c r="M777" s="3">
        <v>34</v>
      </c>
      <c r="N777" s="3">
        <v>15</v>
      </c>
      <c r="O777" s="3">
        <v>5</v>
      </c>
      <c r="P777" s="11">
        <f>Clean_Data[[#This Row],[Quantity]]*Clean_Data[[#This Row],[UnitPrice]]</f>
        <v>1100</v>
      </c>
      <c r="Q777" s="11">
        <f>ROUND(Clean_Data[[#This Row],[GrossSales]]*Clean_Data[[#This Row],[DiscountPct]],2)</f>
        <v>0</v>
      </c>
      <c r="R777" s="11">
        <f>IF(Clean_Data[[#This Row],[Status]]="Delivered",ROUND(Clean_Data[[#This Row],[GrossSales]]-Clean_Data[[#This Row],[DiscountAmount]],2),0)</f>
        <v>1100</v>
      </c>
      <c r="S777" s="3" t="str">
        <f>IF(Clean_Data[[#This Row],[OrderHour]]&lt;6,"Night",IF(Clean_Data[[#This Row],[OrderHour]]&lt;12,"Morning",IF(Clean_Data[[#This Row],[OrderHour]]&lt;18,"Afternoon","Evening")))</f>
        <v>Morning</v>
      </c>
      <c r="T777" s="3" t="str">
        <f>TEXT(Clean_Data[[#This Row],[OrderDate]],"[$-409]ddd")</f>
        <v>Sat</v>
      </c>
      <c r="U777" s="3">
        <f>WEEKDAY(Clean_Data[[#This Row],[OrderDate]],2)</f>
        <v>6</v>
      </c>
      <c r="V777" s="3">
        <f>INT(Clean_Data[[#This Row],[OrderHour]]/6)+1</f>
        <v>2</v>
      </c>
      <c r="W777" s="3">
        <f>IF(Clean_Data[[#This Row],[Status]]="Delivered",1,0)</f>
        <v>1</v>
      </c>
      <c r="X777" s="3">
        <f>IF(Clean_Data[[#This Row],[Status]]="Delivered",IF(Clean_Data[[#This Row],[DeliveryMinutes]]&lt;=Dashboard!$X$5,1,0),0)</f>
        <v>0</v>
      </c>
      <c r="Y7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7" s="3">
        <f>IF(AND(Clean_Data[[#This Row],[Include]]=1,Clean_Data[[#This Row],[DeliveredFlag]]=1),1,0)</f>
        <v>1</v>
      </c>
      <c r="AA777" s="1">
        <f>IF(COUNTIF($D$2:D777,D777)=1,ROW()-1,ROWS(Clean_Data[OrderID])+1)</f>
        <v>776</v>
      </c>
      <c r="AB777" s="1">
        <f>IF(COUNTIF($F$2:F777,F777)=1,ROW()-1,ROWS(Clean_Data[OrderID])+1)</f>
        <v>901</v>
      </c>
      <c r="AC777" s="1">
        <f>IF(COUNTIF($G$2:G777,G777)=1,ROW()-1,ROWS(Clean_Data[OrderID])+1)</f>
        <v>901</v>
      </c>
      <c r="AD777" s="1">
        <f>IF(COUNTIF($H$2:H777,H777)=1,ROW()-1,ROWS(Clean_Data[OrderID])+1)</f>
        <v>901</v>
      </c>
      <c r="AE777" s="1">
        <f>IF(COUNTIF($V$2:V777,V777)=1,V777,ROWS(Clean_Data[OrderID])+1)</f>
        <v>901</v>
      </c>
      <c r="AF777" s="1">
        <f>IF(COUNTIF($U$2:U777,U777)=1,U777,ROWS(Clean_Data[OrderID])+1)</f>
        <v>901</v>
      </c>
      <c r="AG777" s="1">
        <f>IF(COUNTIF($E$2:E777,E777)=1,ROW()-1,ROWS(Clean_Data[OrderID])+1)</f>
        <v>901</v>
      </c>
    </row>
    <row r="778" spans="1:33" ht="20" customHeight="1">
      <c r="A778" s="3" t="s">
        <v>1182</v>
      </c>
      <c r="B778" s="2">
        <v>46291</v>
      </c>
      <c r="C778" s="3">
        <v>17</v>
      </c>
      <c r="D778" s="3" t="s">
        <v>492</v>
      </c>
      <c r="E778" s="3" t="s">
        <v>91</v>
      </c>
      <c r="F778" s="3" t="s">
        <v>139</v>
      </c>
      <c r="G778" s="3" t="s">
        <v>99</v>
      </c>
      <c r="H778" s="3" t="s">
        <v>130</v>
      </c>
      <c r="I778" s="3">
        <v>5</v>
      </c>
      <c r="J778" s="11">
        <v>85</v>
      </c>
      <c r="K778" s="4">
        <v>0.15</v>
      </c>
      <c r="L778" s="3" t="s">
        <v>95</v>
      </c>
      <c r="M778" s="3">
        <v>18</v>
      </c>
      <c r="N778" s="3">
        <v>12</v>
      </c>
      <c r="O778" s="3">
        <v>4</v>
      </c>
      <c r="P778" s="11">
        <f>Clean_Data[[#This Row],[Quantity]]*Clean_Data[[#This Row],[UnitPrice]]</f>
        <v>425</v>
      </c>
      <c r="Q778" s="11">
        <f>ROUND(Clean_Data[[#This Row],[GrossSales]]*Clean_Data[[#This Row],[DiscountPct]],2)</f>
        <v>63.75</v>
      </c>
      <c r="R778" s="11">
        <f>IF(Clean_Data[[#This Row],[Status]]="Delivered",ROUND(Clean_Data[[#This Row],[GrossSales]]-Clean_Data[[#This Row],[DiscountAmount]],2),0)</f>
        <v>361.25</v>
      </c>
      <c r="S778" s="3" t="str">
        <f>IF(Clean_Data[[#This Row],[OrderHour]]&lt;6,"Night",IF(Clean_Data[[#This Row],[OrderHour]]&lt;12,"Morning",IF(Clean_Data[[#This Row],[OrderHour]]&lt;18,"Afternoon","Evening")))</f>
        <v>Afternoon</v>
      </c>
      <c r="T778" s="3" t="str">
        <f>TEXT(Clean_Data[[#This Row],[OrderDate]],"[$-409]ddd")</f>
        <v>Sat</v>
      </c>
      <c r="U778" s="3">
        <f>WEEKDAY(Clean_Data[[#This Row],[OrderDate]],2)</f>
        <v>6</v>
      </c>
      <c r="V778" s="3">
        <f>INT(Clean_Data[[#This Row],[OrderHour]]/6)+1</f>
        <v>3</v>
      </c>
      <c r="W778" s="3">
        <f>IF(Clean_Data[[#This Row],[Status]]="Delivered",1,0)</f>
        <v>1</v>
      </c>
      <c r="X778" s="3">
        <f>IF(Clean_Data[[#This Row],[Status]]="Delivered",IF(Clean_Data[[#This Row],[DeliveryMinutes]]&lt;=Dashboard!$X$5,1,0),0)</f>
        <v>1</v>
      </c>
      <c r="Y7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8" s="3">
        <f>IF(AND(Clean_Data[[#This Row],[Include]]=1,Clean_Data[[#This Row],[DeliveredFlag]]=1),1,0)</f>
        <v>1</v>
      </c>
      <c r="AA778" s="1">
        <f>IF(COUNTIF($D$2:D778,D778)=1,ROW()-1,ROWS(Clean_Data[OrderID])+1)</f>
        <v>901</v>
      </c>
      <c r="AB778" s="1">
        <f>IF(COUNTIF($F$2:F778,F778)=1,ROW()-1,ROWS(Clean_Data[OrderID])+1)</f>
        <v>901</v>
      </c>
      <c r="AC778" s="1">
        <f>IF(COUNTIF($G$2:G778,G778)=1,ROW()-1,ROWS(Clean_Data[OrderID])+1)</f>
        <v>901</v>
      </c>
      <c r="AD778" s="1">
        <f>IF(COUNTIF($H$2:H778,H778)=1,ROW()-1,ROWS(Clean_Data[OrderID])+1)</f>
        <v>901</v>
      </c>
      <c r="AE778" s="1">
        <f>IF(COUNTIF($V$2:V778,V778)=1,V778,ROWS(Clean_Data[OrderID])+1)</f>
        <v>901</v>
      </c>
      <c r="AF778" s="1">
        <f>IF(COUNTIF($U$2:U778,U778)=1,U778,ROWS(Clean_Data[OrderID])+1)</f>
        <v>901</v>
      </c>
      <c r="AG778" s="1">
        <f>IF(COUNTIF($E$2:E778,E778)=1,ROW()-1,ROWS(Clean_Data[OrderID])+1)</f>
        <v>901</v>
      </c>
    </row>
    <row r="779" spans="1:33" ht="20" customHeight="1">
      <c r="A779" s="3" t="s">
        <v>1183</v>
      </c>
      <c r="B779" s="2">
        <v>46291</v>
      </c>
      <c r="C779" s="3">
        <v>12</v>
      </c>
      <c r="D779" s="3" t="s">
        <v>236</v>
      </c>
      <c r="E779" s="3" t="s">
        <v>91</v>
      </c>
      <c r="F779" s="3" t="s">
        <v>139</v>
      </c>
      <c r="G779" s="3" t="s">
        <v>93</v>
      </c>
      <c r="H779" s="3" t="s">
        <v>146</v>
      </c>
      <c r="I779" s="3">
        <v>2</v>
      </c>
      <c r="J779" s="11">
        <v>110</v>
      </c>
      <c r="K779" s="4">
        <v>0</v>
      </c>
      <c r="L779" s="3" t="s">
        <v>95</v>
      </c>
      <c r="M779" s="3">
        <v>22</v>
      </c>
      <c r="N779" s="3">
        <v>14</v>
      </c>
      <c r="O779" s="3">
        <v>5</v>
      </c>
      <c r="P779" s="11">
        <f>Clean_Data[[#This Row],[Quantity]]*Clean_Data[[#This Row],[UnitPrice]]</f>
        <v>220</v>
      </c>
      <c r="Q779" s="11">
        <f>ROUND(Clean_Data[[#This Row],[GrossSales]]*Clean_Data[[#This Row],[DiscountPct]],2)</f>
        <v>0</v>
      </c>
      <c r="R779" s="11">
        <f>IF(Clean_Data[[#This Row],[Status]]="Delivered",ROUND(Clean_Data[[#This Row],[GrossSales]]-Clean_Data[[#This Row],[DiscountAmount]],2),0)</f>
        <v>220</v>
      </c>
      <c r="S779" s="3" t="str">
        <f>IF(Clean_Data[[#This Row],[OrderHour]]&lt;6,"Night",IF(Clean_Data[[#This Row],[OrderHour]]&lt;12,"Morning",IF(Clean_Data[[#This Row],[OrderHour]]&lt;18,"Afternoon","Evening")))</f>
        <v>Afternoon</v>
      </c>
      <c r="T779" s="3" t="str">
        <f>TEXT(Clean_Data[[#This Row],[OrderDate]],"[$-409]ddd")</f>
        <v>Sat</v>
      </c>
      <c r="U779" s="3">
        <f>WEEKDAY(Clean_Data[[#This Row],[OrderDate]],2)</f>
        <v>6</v>
      </c>
      <c r="V779" s="3">
        <f>INT(Clean_Data[[#This Row],[OrderHour]]/6)+1</f>
        <v>3</v>
      </c>
      <c r="W779" s="3">
        <f>IF(Clean_Data[[#This Row],[Status]]="Delivered",1,0)</f>
        <v>1</v>
      </c>
      <c r="X779" s="3">
        <f>IF(Clean_Data[[#This Row],[Status]]="Delivered",IF(Clean_Data[[#This Row],[DeliveryMinutes]]&lt;=Dashboard!$X$5,1,0),0)</f>
        <v>1</v>
      </c>
      <c r="Y7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79" s="3">
        <f>IF(AND(Clean_Data[[#This Row],[Include]]=1,Clean_Data[[#This Row],[DeliveredFlag]]=1),1,0)</f>
        <v>1</v>
      </c>
      <c r="AA779" s="1">
        <f>IF(COUNTIF($D$2:D779,D779)=1,ROW()-1,ROWS(Clean_Data[OrderID])+1)</f>
        <v>901</v>
      </c>
      <c r="AB779" s="1">
        <f>IF(COUNTIF($F$2:F779,F779)=1,ROW()-1,ROWS(Clean_Data[OrderID])+1)</f>
        <v>901</v>
      </c>
      <c r="AC779" s="1">
        <f>IF(COUNTIF($G$2:G779,G779)=1,ROW()-1,ROWS(Clean_Data[OrderID])+1)</f>
        <v>901</v>
      </c>
      <c r="AD779" s="1">
        <f>IF(COUNTIF($H$2:H779,H779)=1,ROW()-1,ROWS(Clean_Data[OrderID])+1)</f>
        <v>901</v>
      </c>
      <c r="AE779" s="1">
        <f>IF(COUNTIF($V$2:V779,V779)=1,V779,ROWS(Clean_Data[OrderID])+1)</f>
        <v>901</v>
      </c>
      <c r="AF779" s="1">
        <f>IF(COUNTIF($U$2:U779,U779)=1,U779,ROWS(Clean_Data[OrderID])+1)</f>
        <v>901</v>
      </c>
      <c r="AG779" s="1">
        <f>IF(COUNTIF($E$2:E779,E779)=1,ROW()-1,ROWS(Clean_Data[OrderID])+1)</f>
        <v>901</v>
      </c>
    </row>
    <row r="780" spans="1:33" ht="20" customHeight="1">
      <c r="A780" s="3" t="s">
        <v>1184</v>
      </c>
      <c r="B780" s="2">
        <v>46291</v>
      </c>
      <c r="C780" s="3">
        <v>9</v>
      </c>
      <c r="D780" s="3" t="s">
        <v>788</v>
      </c>
      <c r="E780" s="3" t="s">
        <v>91</v>
      </c>
      <c r="F780" s="3" t="s">
        <v>121</v>
      </c>
      <c r="G780" s="3" t="s">
        <v>122</v>
      </c>
      <c r="H780" s="3" t="s">
        <v>153</v>
      </c>
      <c r="I780" s="3">
        <v>6</v>
      </c>
      <c r="J780" s="11">
        <v>130</v>
      </c>
      <c r="K780" s="4">
        <v>0</v>
      </c>
      <c r="L780" s="3" t="s">
        <v>95</v>
      </c>
      <c r="M780" s="3">
        <v>36</v>
      </c>
      <c r="N780" s="3">
        <v>6</v>
      </c>
      <c r="O780" s="3">
        <v>5</v>
      </c>
      <c r="P780" s="11">
        <f>Clean_Data[[#This Row],[Quantity]]*Clean_Data[[#This Row],[UnitPrice]]</f>
        <v>780</v>
      </c>
      <c r="Q780" s="11">
        <f>ROUND(Clean_Data[[#This Row],[GrossSales]]*Clean_Data[[#This Row],[DiscountPct]],2)</f>
        <v>0</v>
      </c>
      <c r="R780" s="11">
        <f>IF(Clean_Data[[#This Row],[Status]]="Delivered",ROUND(Clean_Data[[#This Row],[GrossSales]]-Clean_Data[[#This Row],[DiscountAmount]],2),0)</f>
        <v>780</v>
      </c>
      <c r="S780" s="3" t="str">
        <f>IF(Clean_Data[[#This Row],[OrderHour]]&lt;6,"Night",IF(Clean_Data[[#This Row],[OrderHour]]&lt;12,"Morning",IF(Clean_Data[[#This Row],[OrderHour]]&lt;18,"Afternoon","Evening")))</f>
        <v>Morning</v>
      </c>
      <c r="T780" s="3" t="str">
        <f>TEXT(Clean_Data[[#This Row],[OrderDate]],"[$-409]ddd")</f>
        <v>Sat</v>
      </c>
      <c r="U780" s="3">
        <f>WEEKDAY(Clean_Data[[#This Row],[OrderDate]],2)</f>
        <v>6</v>
      </c>
      <c r="V780" s="3">
        <f>INT(Clean_Data[[#This Row],[OrderHour]]/6)+1</f>
        <v>2</v>
      </c>
      <c r="W780" s="3">
        <f>IF(Clean_Data[[#This Row],[Status]]="Delivered",1,0)</f>
        <v>1</v>
      </c>
      <c r="X780" s="3">
        <f>IF(Clean_Data[[#This Row],[Status]]="Delivered",IF(Clean_Data[[#This Row],[DeliveryMinutes]]&lt;=Dashboard!$X$5,1,0),0)</f>
        <v>0</v>
      </c>
      <c r="Y7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0" s="3">
        <f>IF(AND(Clean_Data[[#This Row],[Include]]=1,Clean_Data[[#This Row],[DeliveredFlag]]=1),1,0)</f>
        <v>1</v>
      </c>
      <c r="AA780" s="1">
        <f>IF(COUNTIF($D$2:D780,D780)=1,ROW()-1,ROWS(Clean_Data[OrderID])+1)</f>
        <v>901</v>
      </c>
      <c r="AB780" s="1">
        <f>IF(COUNTIF($F$2:F780,F780)=1,ROW()-1,ROWS(Clean_Data[OrderID])+1)</f>
        <v>901</v>
      </c>
      <c r="AC780" s="1">
        <f>IF(COUNTIF($G$2:G780,G780)=1,ROW()-1,ROWS(Clean_Data[OrderID])+1)</f>
        <v>901</v>
      </c>
      <c r="AD780" s="1">
        <f>IF(COUNTIF($H$2:H780,H780)=1,ROW()-1,ROWS(Clean_Data[OrderID])+1)</f>
        <v>901</v>
      </c>
      <c r="AE780" s="1">
        <f>IF(COUNTIF($V$2:V780,V780)=1,V780,ROWS(Clean_Data[OrderID])+1)</f>
        <v>901</v>
      </c>
      <c r="AF780" s="1">
        <f>IF(COUNTIF($U$2:U780,U780)=1,U780,ROWS(Clean_Data[OrderID])+1)</f>
        <v>901</v>
      </c>
      <c r="AG780" s="1">
        <f>IF(COUNTIF($E$2:E780,E780)=1,ROW()-1,ROWS(Clean_Data[OrderID])+1)</f>
        <v>901</v>
      </c>
    </row>
    <row r="781" spans="1:33" ht="20" customHeight="1">
      <c r="A781" s="3" t="s">
        <v>1185</v>
      </c>
      <c r="B781" s="2">
        <v>46291</v>
      </c>
      <c r="C781" s="3">
        <v>22</v>
      </c>
      <c r="D781" s="3" t="s">
        <v>242</v>
      </c>
      <c r="E781" s="3" t="s">
        <v>91</v>
      </c>
      <c r="F781" s="3" t="s">
        <v>139</v>
      </c>
      <c r="G781" s="3" t="s">
        <v>110</v>
      </c>
      <c r="H781" s="3" t="s">
        <v>114</v>
      </c>
      <c r="I781" s="3">
        <v>1</v>
      </c>
      <c r="J781" s="11">
        <v>145</v>
      </c>
      <c r="K781" s="4">
        <v>0.05</v>
      </c>
      <c r="L781" s="3" t="s">
        <v>95</v>
      </c>
      <c r="M781" s="3">
        <v>32</v>
      </c>
      <c r="N781" s="3">
        <v>8</v>
      </c>
      <c r="O781" s="3">
        <v>5</v>
      </c>
      <c r="P781" s="11">
        <f>Clean_Data[[#This Row],[Quantity]]*Clean_Data[[#This Row],[UnitPrice]]</f>
        <v>145</v>
      </c>
      <c r="Q781" s="11">
        <f>ROUND(Clean_Data[[#This Row],[GrossSales]]*Clean_Data[[#This Row],[DiscountPct]],2)</f>
        <v>7.25</v>
      </c>
      <c r="R781" s="11">
        <f>IF(Clean_Data[[#This Row],[Status]]="Delivered",ROUND(Clean_Data[[#This Row],[GrossSales]]-Clean_Data[[#This Row],[DiscountAmount]],2),0)</f>
        <v>137.75</v>
      </c>
      <c r="S781" s="3" t="str">
        <f>IF(Clean_Data[[#This Row],[OrderHour]]&lt;6,"Night",IF(Clean_Data[[#This Row],[OrderHour]]&lt;12,"Morning",IF(Clean_Data[[#This Row],[OrderHour]]&lt;18,"Afternoon","Evening")))</f>
        <v>Evening</v>
      </c>
      <c r="T781" s="3" t="str">
        <f>TEXT(Clean_Data[[#This Row],[OrderDate]],"[$-409]ddd")</f>
        <v>Sat</v>
      </c>
      <c r="U781" s="3">
        <f>WEEKDAY(Clean_Data[[#This Row],[OrderDate]],2)</f>
        <v>6</v>
      </c>
      <c r="V781" s="3">
        <f>INT(Clean_Data[[#This Row],[OrderHour]]/6)+1</f>
        <v>4</v>
      </c>
      <c r="W781" s="3">
        <f>IF(Clean_Data[[#This Row],[Status]]="Delivered",1,0)</f>
        <v>1</v>
      </c>
      <c r="X781" s="3">
        <f>IF(Clean_Data[[#This Row],[Status]]="Delivered",IF(Clean_Data[[#This Row],[DeliveryMinutes]]&lt;=Dashboard!$X$5,1,0),0)</f>
        <v>0</v>
      </c>
      <c r="Y7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1" s="3">
        <f>IF(AND(Clean_Data[[#This Row],[Include]]=1,Clean_Data[[#This Row],[DeliveredFlag]]=1),1,0)</f>
        <v>1</v>
      </c>
      <c r="AA781" s="1">
        <f>IF(COUNTIF($D$2:D781,D781)=1,ROW()-1,ROWS(Clean_Data[OrderID])+1)</f>
        <v>901</v>
      </c>
      <c r="AB781" s="1">
        <f>IF(COUNTIF($F$2:F781,F781)=1,ROW()-1,ROWS(Clean_Data[OrderID])+1)</f>
        <v>901</v>
      </c>
      <c r="AC781" s="1">
        <f>IF(COUNTIF($G$2:G781,G781)=1,ROW()-1,ROWS(Clean_Data[OrderID])+1)</f>
        <v>901</v>
      </c>
      <c r="AD781" s="1">
        <f>IF(COUNTIF($H$2:H781,H781)=1,ROW()-1,ROWS(Clean_Data[OrderID])+1)</f>
        <v>901</v>
      </c>
      <c r="AE781" s="1">
        <f>IF(COUNTIF($V$2:V781,V781)=1,V781,ROWS(Clean_Data[OrderID])+1)</f>
        <v>901</v>
      </c>
      <c r="AF781" s="1">
        <f>IF(COUNTIF($U$2:U781,U781)=1,U781,ROWS(Clean_Data[OrderID])+1)</f>
        <v>901</v>
      </c>
      <c r="AG781" s="1">
        <f>IF(COUNTIF($E$2:E781,E781)=1,ROW()-1,ROWS(Clean_Data[OrderID])+1)</f>
        <v>901</v>
      </c>
    </row>
    <row r="782" spans="1:33" ht="20" customHeight="1">
      <c r="A782" s="3" t="s">
        <v>1186</v>
      </c>
      <c r="B782" s="2">
        <v>46292</v>
      </c>
      <c r="C782" s="3">
        <v>18</v>
      </c>
      <c r="D782" s="3" t="s">
        <v>181</v>
      </c>
      <c r="E782" s="3" t="s">
        <v>117</v>
      </c>
      <c r="F782" s="3" t="s">
        <v>98</v>
      </c>
      <c r="G782" s="3" t="s">
        <v>93</v>
      </c>
      <c r="H782" s="3" t="s">
        <v>94</v>
      </c>
      <c r="I782" s="3">
        <v>3</v>
      </c>
      <c r="J782" s="11">
        <v>95</v>
      </c>
      <c r="K782" s="4">
        <v>0</v>
      </c>
      <c r="L782" s="3" t="s">
        <v>95</v>
      </c>
      <c r="M782" s="3">
        <v>35</v>
      </c>
      <c r="N782" s="3">
        <v>14</v>
      </c>
      <c r="O782" s="3">
        <v>3</v>
      </c>
      <c r="P782" s="11">
        <f>Clean_Data[[#This Row],[Quantity]]*Clean_Data[[#This Row],[UnitPrice]]</f>
        <v>285</v>
      </c>
      <c r="Q782" s="11">
        <f>ROUND(Clean_Data[[#This Row],[GrossSales]]*Clean_Data[[#This Row],[DiscountPct]],2)</f>
        <v>0</v>
      </c>
      <c r="R782" s="11">
        <f>IF(Clean_Data[[#This Row],[Status]]="Delivered",ROUND(Clean_Data[[#This Row],[GrossSales]]-Clean_Data[[#This Row],[DiscountAmount]],2),0)</f>
        <v>285</v>
      </c>
      <c r="S782" s="3" t="str">
        <f>IF(Clean_Data[[#This Row],[OrderHour]]&lt;6,"Night",IF(Clean_Data[[#This Row],[OrderHour]]&lt;12,"Morning",IF(Clean_Data[[#This Row],[OrderHour]]&lt;18,"Afternoon","Evening")))</f>
        <v>Evening</v>
      </c>
      <c r="T782" s="3" t="str">
        <f>TEXT(Clean_Data[[#This Row],[OrderDate]],"[$-409]ddd")</f>
        <v>Sun</v>
      </c>
      <c r="U782" s="3">
        <f>WEEKDAY(Clean_Data[[#This Row],[OrderDate]],2)</f>
        <v>7</v>
      </c>
      <c r="V782" s="3">
        <f>INT(Clean_Data[[#This Row],[OrderHour]]/6)+1</f>
        <v>4</v>
      </c>
      <c r="W782" s="3">
        <f>IF(Clean_Data[[#This Row],[Status]]="Delivered",1,0)</f>
        <v>1</v>
      </c>
      <c r="X782" s="3">
        <f>IF(Clean_Data[[#This Row],[Status]]="Delivered",IF(Clean_Data[[#This Row],[DeliveryMinutes]]&lt;=Dashboard!$X$5,1,0),0)</f>
        <v>0</v>
      </c>
      <c r="Y7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2" s="3">
        <f>IF(AND(Clean_Data[[#This Row],[Include]]=1,Clean_Data[[#This Row],[DeliveredFlag]]=1),1,0)</f>
        <v>1</v>
      </c>
      <c r="AA782" s="1">
        <f>IF(COUNTIF($D$2:D782,D782)=1,ROW()-1,ROWS(Clean_Data[OrderID])+1)</f>
        <v>901</v>
      </c>
      <c r="AB782" s="1">
        <f>IF(COUNTIF($F$2:F782,F782)=1,ROW()-1,ROWS(Clean_Data[OrderID])+1)</f>
        <v>901</v>
      </c>
      <c r="AC782" s="1">
        <f>IF(COUNTIF($G$2:G782,G782)=1,ROW()-1,ROWS(Clean_Data[OrderID])+1)</f>
        <v>901</v>
      </c>
      <c r="AD782" s="1">
        <f>IF(COUNTIF($H$2:H782,H782)=1,ROW()-1,ROWS(Clean_Data[OrderID])+1)</f>
        <v>901</v>
      </c>
      <c r="AE782" s="1">
        <f>IF(COUNTIF($V$2:V782,V782)=1,V782,ROWS(Clean_Data[OrderID])+1)</f>
        <v>901</v>
      </c>
      <c r="AF782" s="1">
        <f>IF(COUNTIF($U$2:U782,U782)=1,U782,ROWS(Clean_Data[OrderID])+1)</f>
        <v>901</v>
      </c>
      <c r="AG782" s="1">
        <f>IF(COUNTIF($E$2:E782,E782)=1,ROW()-1,ROWS(Clean_Data[OrderID])+1)</f>
        <v>901</v>
      </c>
    </row>
    <row r="783" spans="1:33" ht="20" customHeight="1">
      <c r="A783" s="3" t="s">
        <v>1187</v>
      </c>
      <c r="B783" s="2">
        <v>46292</v>
      </c>
      <c r="C783" s="3">
        <v>19</v>
      </c>
      <c r="D783" s="3" t="s">
        <v>293</v>
      </c>
      <c r="E783" s="3" t="s">
        <v>91</v>
      </c>
      <c r="F783" s="3" t="s">
        <v>139</v>
      </c>
      <c r="G783" s="3" t="s">
        <v>110</v>
      </c>
      <c r="H783" s="3" t="s">
        <v>114</v>
      </c>
      <c r="I783" s="3">
        <v>6</v>
      </c>
      <c r="J783" s="11">
        <v>145</v>
      </c>
      <c r="K783" s="4">
        <v>0.05</v>
      </c>
      <c r="L783" s="3" t="s">
        <v>95</v>
      </c>
      <c r="M783" s="3">
        <v>15</v>
      </c>
      <c r="N783" s="3">
        <v>9</v>
      </c>
      <c r="O783" s="3">
        <v>5</v>
      </c>
      <c r="P783" s="11">
        <f>Clean_Data[[#This Row],[Quantity]]*Clean_Data[[#This Row],[UnitPrice]]</f>
        <v>870</v>
      </c>
      <c r="Q783" s="11">
        <f>ROUND(Clean_Data[[#This Row],[GrossSales]]*Clean_Data[[#This Row],[DiscountPct]],2)</f>
        <v>43.5</v>
      </c>
      <c r="R783" s="11">
        <f>IF(Clean_Data[[#This Row],[Status]]="Delivered",ROUND(Clean_Data[[#This Row],[GrossSales]]-Clean_Data[[#This Row],[DiscountAmount]],2),0)</f>
        <v>826.5</v>
      </c>
      <c r="S783" s="3" t="str">
        <f>IF(Clean_Data[[#This Row],[OrderHour]]&lt;6,"Night",IF(Clean_Data[[#This Row],[OrderHour]]&lt;12,"Morning",IF(Clean_Data[[#This Row],[OrderHour]]&lt;18,"Afternoon","Evening")))</f>
        <v>Evening</v>
      </c>
      <c r="T783" s="3" t="str">
        <f>TEXT(Clean_Data[[#This Row],[OrderDate]],"[$-409]ddd")</f>
        <v>Sun</v>
      </c>
      <c r="U783" s="3">
        <f>WEEKDAY(Clean_Data[[#This Row],[OrderDate]],2)</f>
        <v>7</v>
      </c>
      <c r="V783" s="3">
        <f>INT(Clean_Data[[#This Row],[OrderHour]]/6)+1</f>
        <v>4</v>
      </c>
      <c r="W783" s="3">
        <f>IF(Clean_Data[[#This Row],[Status]]="Delivered",1,0)</f>
        <v>1</v>
      </c>
      <c r="X783" s="3">
        <f>IF(Clean_Data[[#This Row],[Status]]="Delivered",IF(Clean_Data[[#This Row],[DeliveryMinutes]]&lt;=Dashboard!$X$5,1,0),0)</f>
        <v>1</v>
      </c>
      <c r="Y7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3" s="3">
        <f>IF(AND(Clean_Data[[#This Row],[Include]]=1,Clean_Data[[#This Row],[DeliveredFlag]]=1),1,0)</f>
        <v>1</v>
      </c>
      <c r="AA783" s="1">
        <f>IF(COUNTIF($D$2:D783,D783)=1,ROW()-1,ROWS(Clean_Data[OrderID])+1)</f>
        <v>901</v>
      </c>
      <c r="AB783" s="1">
        <f>IF(COUNTIF($F$2:F783,F783)=1,ROW()-1,ROWS(Clean_Data[OrderID])+1)</f>
        <v>901</v>
      </c>
      <c r="AC783" s="1">
        <f>IF(COUNTIF($G$2:G783,G783)=1,ROW()-1,ROWS(Clean_Data[OrderID])+1)</f>
        <v>901</v>
      </c>
      <c r="AD783" s="1">
        <f>IF(COUNTIF($H$2:H783,H783)=1,ROW()-1,ROWS(Clean_Data[OrderID])+1)</f>
        <v>901</v>
      </c>
      <c r="AE783" s="1">
        <f>IF(COUNTIF($V$2:V783,V783)=1,V783,ROWS(Clean_Data[OrderID])+1)</f>
        <v>901</v>
      </c>
      <c r="AF783" s="1">
        <f>IF(COUNTIF($U$2:U783,U783)=1,U783,ROWS(Clean_Data[OrderID])+1)</f>
        <v>901</v>
      </c>
      <c r="AG783" s="1">
        <f>IF(COUNTIF($E$2:E783,E783)=1,ROW()-1,ROWS(Clean_Data[OrderID])+1)</f>
        <v>901</v>
      </c>
    </row>
    <row r="784" spans="1:33" ht="20" customHeight="1">
      <c r="A784" s="3" t="s">
        <v>1188</v>
      </c>
      <c r="B784" s="2">
        <v>46292</v>
      </c>
      <c r="C784" s="3">
        <v>7</v>
      </c>
      <c r="D784" s="3" t="s">
        <v>134</v>
      </c>
      <c r="E784" s="3" t="s">
        <v>91</v>
      </c>
      <c r="F784" s="3" t="s">
        <v>98</v>
      </c>
      <c r="G784" s="3" t="s">
        <v>135</v>
      </c>
      <c r="H784" s="3" t="s">
        <v>136</v>
      </c>
      <c r="I784" s="3">
        <v>3</v>
      </c>
      <c r="J784" s="11">
        <v>40</v>
      </c>
      <c r="K784" s="4">
        <v>0.1</v>
      </c>
      <c r="L784" s="3" t="s">
        <v>95</v>
      </c>
      <c r="M784" s="3">
        <v>31</v>
      </c>
      <c r="N784" s="3">
        <v>12</v>
      </c>
      <c r="O784" s="3">
        <v>4</v>
      </c>
      <c r="P784" s="11">
        <f>Clean_Data[[#This Row],[Quantity]]*Clean_Data[[#This Row],[UnitPrice]]</f>
        <v>120</v>
      </c>
      <c r="Q784" s="11">
        <f>ROUND(Clean_Data[[#This Row],[GrossSales]]*Clean_Data[[#This Row],[DiscountPct]],2)</f>
        <v>12</v>
      </c>
      <c r="R784" s="11">
        <f>IF(Clean_Data[[#This Row],[Status]]="Delivered",ROUND(Clean_Data[[#This Row],[GrossSales]]-Clean_Data[[#This Row],[DiscountAmount]],2),0)</f>
        <v>108</v>
      </c>
      <c r="S784" s="3" t="str">
        <f>IF(Clean_Data[[#This Row],[OrderHour]]&lt;6,"Night",IF(Clean_Data[[#This Row],[OrderHour]]&lt;12,"Morning",IF(Clean_Data[[#This Row],[OrderHour]]&lt;18,"Afternoon","Evening")))</f>
        <v>Morning</v>
      </c>
      <c r="T784" s="3" t="str">
        <f>TEXT(Clean_Data[[#This Row],[OrderDate]],"[$-409]ddd")</f>
        <v>Sun</v>
      </c>
      <c r="U784" s="3">
        <f>WEEKDAY(Clean_Data[[#This Row],[OrderDate]],2)</f>
        <v>7</v>
      </c>
      <c r="V784" s="3">
        <f>INT(Clean_Data[[#This Row],[OrderHour]]/6)+1</f>
        <v>2</v>
      </c>
      <c r="W784" s="3">
        <f>IF(Clean_Data[[#This Row],[Status]]="Delivered",1,0)</f>
        <v>1</v>
      </c>
      <c r="X784" s="3">
        <f>IF(Clean_Data[[#This Row],[Status]]="Delivered",IF(Clean_Data[[#This Row],[DeliveryMinutes]]&lt;=Dashboard!$X$5,1,0),0)</f>
        <v>0</v>
      </c>
      <c r="Y7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4" s="3">
        <f>IF(AND(Clean_Data[[#This Row],[Include]]=1,Clean_Data[[#This Row],[DeliveredFlag]]=1),1,0)</f>
        <v>1</v>
      </c>
      <c r="AA784" s="1">
        <f>IF(COUNTIF($D$2:D784,D784)=1,ROW()-1,ROWS(Clean_Data[OrderID])+1)</f>
        <v>901</v>
      </c>
      <c r="AB784" s="1">
        <f>IF(COUNTIF($F$2:F784,F784)=1,ROW()-1,ROWS(Clean_Data[OrderID])+1)</f>
        <v>901</v>
      </c>
      <c r="AC784" s="1">
        <f>IF(COUNTIF($G$2:G784,G784)=1,ROW()-1,ROWS(Clean_Data[OrderID])+1)</f>
        <v>901</v>
      </c>
      <c r="AD784" s="1">
        <f>IF(COUNTIF($H$2:H784,H784)=1,ROW()-1,ROWS(Clean_Data[OrderID])+1)</f>
        <v>901</v>
      </c>
      <c r="AE784" s="1">
        <f>IF(COUNTIF($V$2:V784,V784)=1,V784,ROWS(Clean_Data[OrderID])+1)</f>
        <v>901</v>
      </c>
      <c r="AF784" s="1">
        <f>IF(COUNTIF($U$2:U784,U784)=1,U784,ROWS(Clean_Data[OrderID])+1)</f>
        <v>901</v>
      </c>
      <c r="AG784" s="1">
        <f>IF(COUNTIF($E$2:E784,E784)=1,ROW()-1,ROWS(Clean_Data[OrderID])+1)</f>
        <v>901</v>
      </c>
    </row>
    <row r="785" spans="1:33" ht="20" customHeight="1">
      <c r="A785" s="3" t="s">
        <v>1189</v>
      </c>
      <c r="B785" s="2">
        <v>46292</v>
      </c>
      <c r="C785" s="3">
        <v>13</v>
      </c>
      <c r="D785" s="3" t="s">
        <v>408</v>
      </c>
      <c r="E785" s="3" t="s">
        <v>117</v>
      </c>
      <c r="F785" s="3" t="s">
        <v>98</v>
      </c>
      <c r="G785" s="3" t="s">
        <v>110</v>
      </c>
      <c r="H785" s="3" t="s">
        <v>111</v>
      </c>
      <c r="I785" s="3">
        <v>3</v>
      </c>
      <c r="J785" s="11">
        <v>115</v>
      </c>
      <c r="K785" s="4">
        <v>0</v>
      </c>
      <c r="L785" s="3" t="s">
        <v>95</v>
      </c>
      <c r="M785" s="3">
        <v>20</v>
      </c>
      <c r="N785" s="3">
        <v>10</v>
      </c>
      <c r="O785" s="3">
        <v>4</v>
      </c>
      <c r="P785" s="11">
        <f>Clean_Data[[#This Row],[Quantity]]*Clean_Data[[#This Row],[UnitPrice]]</f>
        <v>345</v>
      </c>
      <c r="Q785" s="11">
        <f>ROUND(Clean_Data[[#This Row],[GrossSales]]*Clean_Data[[#This Row],[DiscountPct]],2)</f>
        <v>0</v>
      </c>
      <c r="R785" s="11">
        <f>IF(Clean_Data[[#This Row],[Status]]="Delivered",ROUND(Clean_Data[[#This Row],[GrossSales]]-Clean_Data[[#This Row],[DiscountAmount]],2),0)</f>
        <v>345</v>
      </c>
      <c r="S785" s="3" t="str">
        <f>IF(Clean_Data[[#This Row],[OrderHour]]&lt;6,"Night",IF(Clean_Data[[#This Row],[OrderHour]]&lt;12,"Morning",IF(Clean_Data[[#This Row],[OrderHour]]&lt;18,"Afternoon","Evening")))</f>
        <v>Afternoon</v>
      </c>
      <c r="T785" s="3" t="str">
        <f>TEXT(Clean_Data[[#This Row],[OrderDate]],"[$-409]ddd")</f>
        <v>Sun</v>
      </c>
      <c r="U785" s="3">
        <f>WEEKDAY(Clean_Data[[#This Row],[OrderDate]],2)</f>
        <v>7</v>
      </c>
      <c r="V785" s="3">
        <f>INT(Clean_Data[[#This Row],[OrderHour]]/6)+1</f>
        <v>3</v>
      </c>
      <c r="W785" s="3">
        <f>IF(Clean_Data[[#This Row],[Status]]="Delivered",1,0)</f>
        <v>1</v>
      </c>
      <c r="X785" s="3">
        <f>IF(Clean_Data[[#This Row],[Status]]="Delivered",IF(Clean_Data[[#This Row],[DeliveryMinutes]]&lt;=Dashboard!$X$5,1,0),0)</f>
        <v>1</v>
      </c>
      <c r="Y7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5" s="3">
        <f>IF(AND(Clean_Data[[#This Row],[Include]]=1,Clean_Data[[#This Row],[DeliveredFlag]]=1),1,0)</f>
        <v>1</v>
      </c>
      <c r="AA785" s="1">
        <f>IF(COUNTIF($D$2:D785,D785)=1,ROW()-1,ROWS(Clean_Data[OrderID])+1)</f>
        <v>901</v>
      </c>
      <c r="AB785" s="1">
        <f>IF(COUNTIF($F$2:F785,F785)=1,ROW()-1,ROWS(Clean_Data[OrderID])+1)</f>
        <v>901</v>
      </c>
      <c r="AC785" s="1">
        <f>IF(COUNTIF($G$2:G785,G785)=1,ROW()-1,ROWS(Clean_Data[OrderID])+1)</f>
        <v>901</v>
      </c>
      <c r="AD785" s="1">
        <f>IF(COUNTIF($H$2:H785,H785)=1,ROW()-1,ROWS(Clean_Data[OrderID])+1)</f>
        <v>901</v>
      </c>
      <c r="AE785" s="1">
        <f>IF(COUNTIF($V$2:V785,V785)=1,V785,ROWS(Clean_Data[OrderID])+1)</f>
        <v>901</v>
      </c>
      <c r="AF785" s="1">
        <f>IF(COUNTIF($U$2:U785,U785)=1,U785,ROWS(Clean_Data[OrderID])+1)</f>
        <v>901</v>
      </c>
      <c r="AG785" s="1">
        <f>IF(COUNTIF($E$2:E785,E785)=1,ROW()-1,ROWS(Clean_Data[OrderID])+1)</f>
        <v>901</v>
      </c>
    </row>
    <row r="786" spans="1:33" ht="20" customHeight="1">
      <c r="A786" s="3" t="s">
        <v>1190</v>
      </c>
      <c r="B786" s="2">
        <v>46292</v>
      </c>
      <c r="C786" s="3">
        <v>23</v>
      </c>
      <c r="D786" s="3" t="s">
        <v>222</v>
      </c>
      <c r="E786" s="3" t="s">
        <v>91</v>
      </c>
      <c r="F786" s="3" t="s">
        <v>98</v>
      </c>
      <c r="G786" s="3" t="s">
        <v>99</v>
      </c>
      <c r="H786" s="3" t="s">
        <v>100</v>
      </c>
      <c r="I786" s="3">
        <v>1</v>
      </c>
      <c r="J786" s="11">
        <v>120</v>
      </c>
      <c r="K786" s="4">
        <v>0.05</v>
      </c>
      <c r="L786" s="3" t="s">
        <v>95</v>
      </c>
      <c r="M786" s="3">
        <v>34</v>
      </c>
      <c r="N786" s="3">
        <v>6</v>
      </c>
      <c r="O786" s="3">
        <v>4</v>
      </c>
      <c r="P786" s="11">
        <f>Clean_Data[[#This Row],[Quantity]]*Clean_Data[[#This Row],[UnitPrice]]</f>
        <v>120</v>
      </c>
      <c r="Q786" s="11">
        <f>ROUND(Clean_Data[[#This Row],[GrossSales]]*Clean_Data[[#This Row],[DiscountPct]],2)</f>
        <v>6</v>
      </c>
      <c r="R786" s="11">
        <f>IF(Clean_Data[[#This Row],[Status]]="Delivered",ROUND(Clean_Data[[#This Row],[GrossSales]]-Clean_Data[[#This Row],[DiscountAmount]],2),0)</f>
        <v>114</v>
      </c>
      <c r="S786" s="3" t="str">
        <f>IF(Clean_Data[[#This Row],[OrderHour]]&lt;6,"Night",IF(Clean_Data[[#This Row],[OrderHour]]&lt;12,"Morning",IF(Clean_Data[[#This Row],[OrderHour]]&lt;18,"Afternoon","Evening")))</f>
        <v>Evening</v>
      </c>
      <c r="T786" s="3" t="str">
        <f>TEXT(Clean_Data[[#This Row],[OrderDate]],"[$-409]ddd")</f>
        <v>Sun</v>
      </c>
      <c r="U786" s="3">
        <f>WEEKDAY(Clean_Data[[#This Row],[OrderDate]],2)</f>
        <v>7</v>
      </c>
      <c r="V786" s="3">
        <f>INT(Clean_Data[[#This Row],[OrderHour]]/6)+1</f>
        <v>4</v>
      </c>
      <c r="W786" s="3">
        <f>IF(Clean_Data[[#This Row],[Status]]="Delivered",1,0)</f>
        <v>1</v>
      </c>
      <c r="X786" s="3">
        <f>IF(Clean_Data[[#This Row],[Status]]="Delivered",IF(Clean_Data[[#This Row],[DeliveryMinutes]]&lt;=Dashboard!$X$5,1,0),0)</f>
        <v>0</v>
      </c>
      <c r="Y7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6" s="3">
        <f>IF(AND(Clean_Data[[#This Row],[Include]]=1,Clean_Data[[#This Row],[DeliveredFlag]]=1),1,0)</f>
        <v>1</v>
      </c>
      <c r="AA786" s="1">
        <f>IF(COUNTIF($D$2:D786,D786)=1,ROW()-1,ROWS(Clean_Data[OrderID])+1)</f>
        <v>901</v>
      </c>
      <c r="AB786" s="1">
        <f>IF(COUNTIF($F$2:F786,F786)=1,ROW()-1,ROWS(Clean_Data[OrderID])+1)</f>
        <v>901</v>
      </c>
      <c r="AC786" s="1">
        <f>IF(COUNTIF($G$2:G786,G786)=1,ROW()-1,ROWS(Clean_Data[OrderID])+1)</f>
        <v>901</v>
      </c>
      <c r="AD786" s="1">
        <f>IF(COUNTIF($H$2:H786,H786)=1,ROW()-1,ROWS(Clean_Data[OrderID])+1)</f>
        <v>901</v>
      </c>
      <c r="AE786" s="1">
        <f>IF(COUNTIF($V$2:V786,V786)=1,V786,ROWS(Clean_Data[OrderID])+1)</f>
        <v>901</v>
      </c>
      <c r="AF786" s="1">
        <f>IF(COUNTIF($U$2:U786,U786)=1,U786,ROWS(Clean_Data[OrderID])+1)</f>
        <v>901</v>
      </c>
      <c r="AG786" s="1">
        <f>IF(COUNTIF($E$2:E786,E786)=1,ROW()-1,ROWS(Clean_Data[OrderID])+1)</f>
        <v>901</v>
      </c>
    </row>
    <row r="787" spans="1:33" ht="20" customHeight="1">
      <c r="A787" s="3" t="s">
        <v>1191</v>
      </c>
      <c r="B787" s="2">
        <v>46292</v>
      </c>
      <c r="C787" s="3">
        <v>18</v>
      </c>
      <c r="D787" s="3" t="s">
        <v>768</v>
      </c>
      <c r="E787" s="3" t="s">
        <v>91</v>
      </c>
      <c r="F787" s="3" t="s">
        <v>109</v>
      </c>
      <c r="G787" s="3" t="s">
        <v>174</v>
      </c>
      <c r="H787" s="3" t="s">
        <v>274</v>
      </c>
      <c r="I787" s="3">
        <v>4</v>
      </c>
      <c r="J787" s="11">
        <v>90</v>
      </c>
      <c r="K787" s="4">
        <v>0</v>
      </c>
      <c r="L787" s="3" t="s">
        <v>95</v>
      </c>
      <c r="M787" s="3">
        <v>26</v>
      </c>
      <c r="N787" s="3">
        <v>12</v>
      </c>
      <c r="O787" s="3">
        <v>3</v>
      </c>
      <c r="P787" s="11">
        <f>Clean_Data[[#This Row],[Quantity]]*Clean_Data[[#This Row],[UnitPrice]]</f>
        <v>360</v>
      </c>
      <c r="Q787" s="11">
        <f>ROUND(Clean_Data[[#This Row],[GrossSales]]*Clean_Data[[#This Row],[DiscountPct]],2)</f>
        <v>0</v>
      </c>
      <c r="R787" s="11">
        <f>IF(Clean_Data[[#This Row],[Status]]="Delivered",ROUND(Clean_Data[[#This Row],[GrossSales]]-Clean_Data[[#This Row],[DiscountAmount]],2),0)</f>
        <v>360</v>
      </c>
      <c r="S787" s="3" t="str">
        <f>IF(Clean_Data[[#This Row],[OrderHour]]&lt;6,"Night",IF(Clean_Data[[#This Row],[OrderHour]]&lt;12,"Morning",IF(Clean_Data[[#This Row],[OrderHour]]&lt;18,"Afternoon","Evening")))</f>
        <v>Evening</v>
      </c>
      <c r="T787" s="3" t="str">
        <f>TEXT(Clean_Data[[#This Row],[OrderDate]],"[$-409]ddd")</f>
        <v>Sun</v>
      </c>
      <c r="U787" s="3">
        <f>WEEKDAY(Clean_Data[[#This Row],[OrderDate]],2)</f>
        <v>7</v>
      </c>
      <c r="V787" s="3">
        <f>INT(Clean_Data[[#This Row],[OrderHour]]/6)+1</f>
        <v>4</v>
      </c>
      <c r="W787" s="3">
        <f>IF(Clean_Data[[#This Row],[Status]]="Delivered",1,0)</f>
        <v>1</v>
      </c>
      <c r="X787" s="3">
        <f>IF(Clean_Data[[#This Row],[Status]]="Delivered",IF(Clean_Data[[#This Row],[DeliveryMinutes]]&lt;=Dashboard!$X$5,1,0),0)</f>
        <v>1</v>
      </c>
      <c r="Y7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7" s="3">
        <f>IF(AND(Clean_Data[[#This Row],[Include]]=1,Clean_Data[[#This Row],[DeliveredFlag]]=1),1,0)</f>
        <v>1</v>
      </c>
      <c r="AA787" s="1">
        <f>IF(COUNTIF($D$2:D787,D787)=1,ROW()-1,ROWS(Clean_Data[OrderID])+1)</f>
        <v>901</v>
      </c>
      <c r="AB787" s="1">
        <f>IF(COUNTIF($F$2:F787,F787)=1,ROW()-1,ROWS(Clean_Data[OrderID])+1)</f>
        <v>901</v>
      </c>
      <c r="AC787" s="1">
        <f>IF(COUNTIF($G$2:G787,G787)=1,ROW()-1,ROWS(Clean_Data[OrderID])+1)</f>
        <v>901</v>
      </c>
      <c r="AD787" s="1">
        <f>IF(COUNTIF($H$2:H787,H787)=1,ROW()-1,ROWS(Clean_Data[OrderID])+1)</f>
        <v>901</v>
      </c>
      <c r="AE787" s="1">
        <f>IF(COUNTIF($V$2:V787,V787)=1,V787,ROWS(Clean_Data[OrderID])+1)</f>
        <v>901</v>
      </c>
      <c r="AF787" s="1">
        <f>IF(COUNTIF($U$2:U787,U787)=1,U787,ROWS(Clean_Data[OrderID])+1)</f>
        <v>901</v>
      </c>
      <c r="AG787" s="1">
        <f>IF(COUNTIF($E$2:E787,E787)=1,ROW()-1,ROWS(Clean_Data[OrderID])+1)</f>
        <v>901</v>
      </c>
    </row>
    <row r="788" spans="1:33" ht="20" customHeight="1">
      <c r="A788" s="3" t="s">
        <v>1192</v>
      </c>
      <c r="B788" s="2">
        <v>46292</v>
      </c>
      <c r="C788" s="3">
        <v>18</v>
      </c>
      <c r="D788" s="3" t="s">
        <v>232</v>
      </c>
      <c r="E788" s="3" t="s">
        <v>91</v>
      </c>
      <c r="F788" s="3" t="s">
        <v>92</v>
      </c>
      <c r="G788" s="3" t="s">
        <v>99</v>
      </c>
      <c r="H788" s="3" t="s">
        <v>130</v>
      </c>
      <c r="I788" s="3">
        <v>1</v>
      </c>
      <c r="J788" s="11">
        <v>85</v>
      </c>
      <c r="K788" s="4">
        <v>0</v>
      </c>
      <c r="L788" s="3" t="s">
        <v>95</v>
      </c>
      <c r="M788" s="3">
        <v>24</v>
      </c>
      <c r="N788" s="3">
        <v>14</v>
      </c>
      <c r="O788" s="3">
        <v>5</v>
      </c>
      <c r="P788" s="11">
        <f>Clean_Data[[#This Row],[Quantity]]*Clean_Data[[#This Row],[UnitPrice]]</f>
        <v>85</v>
      </c>
      <c r="Q788" s="11">
        <f>ROUND(Clean_Data[[#This Row],[GrossSales]]*Clean_Data[[#This Row],[DiscountPct]],2)</f>
        <v>0</v>
      </c>
      <c r="R788" s="11">
        <f>IF(Clean_Data[[#This Row],[Status]]="Delivered",ROUND(Clean_Data[[#This Row],[GrossSales]]-Clean_Data[[#This Row],[DiscountAmount]],2),0)</f>
        <v>85</v>
      </c>
      <c r="S788" s="3" t="str">
        <f>IF(Clean_Data[[#This Row],[OrderHour]]&lt;6,"Night",IF(Clean_Data[[#This Row],[OrderHour]]&lt;12,"Morning",IF(Clean_Data[[#This Row],[OrderHour]]&lt;18,"Afternoon","Evening")))</f>
        <v>Evening</v>
      </c>
      <c r="T788" s="3" t="str">
        <f>TEXT(Clean_Data[[#This Row],[OrderDate]],"[$-409]ddd")</f>
        <v>Sun</v>
      </c>
      <c r="U788" s="3">
        <f>WEEKDAY(Clean_Data[[#This Row],[OrderDate]],2)</f>
        <v>7</v>
      </c>
      <c r="V788" s="3">
        <f>INT(Clean_Data[[#This Row],[OrderHour]]/6)+1</f>
        <v>4</v>
      </c>
      <c r="W788" s="3">
        <f>IF(Clean_Data[[#This Row],[Status]]="Delivered",1,0)</f>
        <v>1</v>
      </c>
      <c r="X788" s="3">
        <f>IF(Clean_Data[[#This Row],[Status]]="Delivered",IF(Clean_Data[[#This Row],[DeliveryMinutes]]&lt;=Dashboard!$X$5,1,0),0)</f>
        <v>1</v>
      </c>
      <c r="Y7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8" s="3">
        <f>IF(AND(Clean_Data[[#This Row],[Include]]=1,Clean_Data[[#This Row],[DeliveredFlag]]=1),1,0)</f>
        <v>1</v>
      </c>
      <c r="AA788" s="1">
        <f>IF(COUNTIF($D$2:D788,D788)=1,ROW()-1,ROWS(Clean_Data[OrderID])+1)</f>
        <v>901</v>
      </c>
      <c r="AB788" s="1">
        <f>IF(COUNTIF($F$2:F788,F788)=1,ROW()-1,ROWS(Clean_Data[OrderID])+1)</f>
        <v>901</v>
      </c>
      <c r="AC788" s="1">
        <f>IF(COUNTIF($G$2:G788,G788)=1,ROW()-1,ROWS(Clean_Data[OrderID])+1)</f>
        <v>901</v>
      </c>
      <c r="AD788" s="1">
        <f>IF(COUNTIF($H$2:H788,H788)=1,ROW()-1,ROWS(Clean_Data[OrderID])+1)</f>
        <v>901</v>
      </c>
      <c r="AE788" s="1">
        <f>IF(COUNTIF($V$2:V788,V788)=1,V788,ROWS(Clean_Data[OrderID])+1)</f>
        <v>901</v>
      </c>
      <c r="AF788" s="1">
        <f>IF(COUNTIF($U$2:U788,U788)=1,U788,ROWS(Clean_Data[OrderID])+1)</f>
        <v>901</v>
      </c>
      <c r="AG788" s="1">
        <f>IF(COUNTIF($E$2:E788,E788)=1,ROW()-1,ROWS(Clean_Data[OrderID])+1)</f>
        <v>901</v>
      </c>
    </row>
    <row r="789" spans="1:33" ht="20" customHeight="1">
      <c r="A789" s="3" t="s">
        <v>1193</v>
      </c>
      <c r="B789" s="2">
        <v>46292</v>
      </c>
      <c r="C789" s="3">
        <v>18</v>
      </c>
      <c r="D789" s="3" t="s">
        <v>689</v>
      </c>
      <c r="E789" s="3" t="s">
        <v>91</v>
      </c>
      <c r="F789" s="3" t="s">
        <v>109</v>
      </c>
      <c r="G789" s="3" t="s">
        <v>93</v>
      </c>
      <c r="H789" s="3" t="s">
        <v>118</v>
      </c>
      <c r="I789" s="3">
        <v>2</v>
      </c>
      <c r="J789" s="11">
        <v>45</v>
      </c>
      <c r="K789" s="4">
        <v>0.05</v>
      </c>
      <c r="L789" s="3" t="s">
        <v>101</v>
      </c>
      <c r="M789" s="3"/>
      <c r="N789" s="3"/>
      <c r="O789" s="3"/>
      <c r="P789" s="11">
        <f>Clean_Data[[#This Row],[Quantity]]*Clean_Data[[#This Row],[UnitPrice]]</f>
        <v>90</v>
      </c>
      <c r="Q789" s="11">
        <f>ROUND(Clean_Data[[#This Row],[GrossSales]]*Clean_Data[[#This Row],[DiscountPct]],2)</f>
        <v>4.5</v>
      </c>
      <c r="R789" s="11">
        <f>IF(Clean_Data[[#This Row],[Status]]="Delivered",ROUND(Clean_Data[[#This Row],[GrossSales]]-Clean_Data[[#This Row],[DiscountAmount]],2),0)</f>
        <v>0</v>
      </c>
      <c r="S789" s="3" t="str">
        <f>IF(Clean_Data[[#This Row],[OrderHour]]&lt;6,"Night",IF(Clean_Data[[#This Row],[OrderHour]]&lt;12,"Morning",IF(Clean_Data[[#This Row],[OrderHour]]&lt;18,"Afternoon","Evening")))</f>
        <v>Evening</v>
      </c>
      <c r="T789" s="3" t="str">
        <f>TEXT(Clean_Data[[#This Row],[OrderDate]],"[$-409]ddd")</f>
        <v>Sun</v>
      </c>
      <c r="U789" s="3">
        <f>WEEKDAY(Clean_Data[[#This Row],[OrderDate]],2)</f>
        <v>7</v>
      </c>
      <c r="V789" s="3">
        <f>INT(Clean_Data[[#This Row],[OrderHour]]/6)+1</f>
        <v>4</v>
      </c>
      <c r="W789" s="3">
        <f>IF(Clean_Data[[#This Row],[Status]]="Delivered",1,0)</f>
        <v>0</v>
      </c>
      <c r="X789" s="3">
        <f>IF(Clean_Data[[#This Row],[Status]]="Delivered",IF(Clean_Data[[#This Row],[DeliveryMinutes]]&lt;=Dashboard!$X$5,1,0),0)</f>
        <v>0</v>
      </c>
      <c r="Y7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89" s="3">
        <f>IF(AND(Clean_Data[[#This Row],[Include]]=1,Clean_Data[[#This Row],[DeliveredFlag]]=1),1,0)</f>
        <v>0</v>
      </c>
      <c r="AA789" s="1">
        <f>IF(COUNTIF($D$2:D789,D789)=1,ROW()-1,ROWS(Clean_Data[OrderID])+1)</f>
        <v>901</v>
      </c>
      <c r="AB789" s="1">
        <f>IF(COUNTIF($F$2:F789,F789)=1,ROW()-1,ROWS(Clean_Data[OrderID])+1)</f>
        <v>901</v>
      </c>
      <c r="AC789" s="1">
        <f>IF(COUNTIF($G$2:G789,G789)=1,ROW()-1,ROWS(Clean_Data[OrderID])+1)</f>
        <v>901</v>
      </c>
      <c r="AD789" s="1">
        <f>IF(COUNTIF($H$2:H789,H789)=1,ROW()-1,ROWS(Clean_Data[OrderID])+1)</f>
        <v>901</v>
      </c>
      <c r="AE789" s="1">
        <f>IF(COUNTIF($V$2:V789,V789)=1,V789,ROWS(Clean_Data[OrderID])+1)</f>
        <v>901</v>
      </c>
      <c r="AF789" s="1">
        <f>IF(COUNTIF($U$2:U789,U789)=1,U789,ROWS(Clean_Data[OrderID])+1)</f>
        <v>901</v>
      </c>
      <c r="AG789" s="1">
        <f>IF(COUNTIF($E$2:E789,E789)=1,ROW()-1,ROWS(Clean_Data[OrderID])+1)</f>
        <v>901</v>
      </c>
    </row>
    <row r="790" spans="1:33" ht="20" customHeight="1">
      <c r="A790" s="3" t="s">
        <v>1194</v>
      </c>
      <c r="B790" s="2">
        <v>46292</v>
      </c>
      <c r="C790" s="3">
        <v>16</v>
      </c>
      <c r="D790" s="3" t="s">
        <v>770</v>
      </c>
      <c r="E790" s="3" t="s">
        <v>91</v>
      </c>
      <c r="F790" s="3" t="s">
        <v>98</v>
      </c>
      <c r="G790" s="3" t="s">
        <v>99</v>
      </c>
      <c r="H790" s="3" t="s">
        <v>104</v>
      </c>
      <c r="I790" s="3">
        <v>4</v>
      </c>
      <c r="J790" s="11">
        <v>240</v>
      </c>
      <c r="K790" s="4">
        <v>0.05</v>
      </c>
      <c r="L790" s="3" t="s">
        <v>95</v>
      </c>
      <c r="M790" s="3">
        <v>34</v>
      </c>
      <c r="N790" s="3">
        <v>7</v>
      </c>
      <c r="O790" s="3">
        <v>5</v>
      </c>
      <c r="P790" s="11">
        <f>Clean_Data[[#This Row],[Quantity]]*Clean_Data[[#This Row],[UnitPrice]]</f>
        <v>960</v>
      </c>
      <c r="Q790" s="11">
        <f>ROUND(Clean_Data[[#This Row],[GrossSales]]*Clean_Data[[#This Row],[DiscountPct]],2)</f>
        <v>48</v>
      </c>
      <c r="R790" s="11">
        <f>IF(Clean_Data[[#This Row],[Status]]="Delivered",ROUND(Clean_Data[[#This Row],[GrossSales]]-Clean_Data[[#This Row],[DiscountAmount]],2),0)</f>
        <v>912</v>
      </c>
      <c r="S790" s="3" t="str">
        <f>IF(Clean_Data[[#This Row],[OrderHour]]&lt;6,"Night",IF(Clean_Data[[#This Row],[OrderHour]]&lt;12,"Morning",IF(Clean_Data[[#This Row],[OrderHour]]&lt;18,"Afternoon","Evening")))</f>
        <v>Afternoon</v>
      </c>
      <c r="T790" s="3" t="str">
        <f>TEXT(Clean_Data[[#This Row],[OrderDate]],"[$-409]ddd")</f>
        <v>Sun</v>
      </c>
      <c r="U790" s="3">
        <f>WEEKDAY(Clean_Data[[#This Row],[OrderDate]],2)</f>
        <v>7</v>
      </c>
      <c r="V790" s="3">
        <f>INT(Clean_Data[[#This Row],[OrderHour]]/6)+1</f>
        <v>3</v>
      </c>
      <c r="W790" s="3">
        <f>IF(Clean_Data[[#This Row],[Status]]="Delivered",1,0)</f>
        <v>1</v>
      </c>
      <c r="X790" s="3">
        <f>IF(Clean_Data[[#This Row],[Status]]="Delivered",IF(Clean_Data[[#This Row],[DeliveryMinutes]]&lt;=Dashboard!$X$5,1,0),0)</f>
        <v>0</v>
      </c>
      <c r="Y7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0" s="3">
        <f>IF(AND(Clean_Data[[#This Row],[Include]]=1,Clean_Data[[#This Row],[DeliveredFlag]]=1),1,0)</f>
        <v>1</v>
      </c>
      <c r="AA790" s="1">
        <f>IF(COUNTIF($D$2:D790,D790)=1,ROW()-1,ROWS(Clean_Data[OrderID])+1)</f>
        <v>901</v>
      </c>
      <c r="AB790" s="1">
        <f>IF(COUNTIF($F$2:F790,F790)=1,ROW()-1,ROWS(Clean_Data[OrderID])+1)</f>
        <v>901</v>
      </c>
      <c r="AC790" s="1">
        <f>IF(COUNTIF($G$2:G790,G790)=1,ROW()-1,ROWS(Clean_Data[OrderID])+1)</f>
        <v>901</v>
      </c>
      <c r="AD790" s="1">
        <f>IF(COUNTIF($H$2:H790,H790)=1,ROW()-1,ROWS(Clean_Data[OrderID])+1)</f>
        <v>901</v>
      </c>
      <c r="AE790" s="1">
        <f>IF(COUNTIF($V$2:V790,V790)=1,V790,ROWS(Clean_Data[OrderID])+1)</f>
        <v>901</v>
      </c>
      <c r="AF790" s="1">
        <f>IF(COUNTIF($U$2:U790,U790)=1,U790,ROWS(Clean_Data[OrderID])+1)</f>
        <v>901</v>
      </c>
      <c r="AG790" s="1">
        <f>IF(COUNTIF($E$2:E790,E790)=1,ROW()-1,ROWS(Clean_Data[OrderID])+1)</f>
        <v>901</v>
      </c>
    </row>
    <row r="791" spans="1:33" ht="20" customHeight="1">
      <c r="A791" s="3" t="s">
        <v>1195</v>
      </c>
      <c r="B791" s="2">
        <v>46292</v>
      </c>
      <c r="C791" s="3">
        <v>14</v>
      </c>
      <c r="D791" s="3" t="s">
        <v>592</v>
      </c>
      <c r="E791" s="3" t="s">
        <v>91</v>
      </c>
      <c r="F791" s="3" t="s">
        <v>92</v>
      </c>
      <c r="G791" s="3" t="s">
        <v>93</v>
      </c>
      <c r="H791" s="3" t="s">
        <v>146</v>
      </c>
      <c r="I791" s="3">
        <v>5</v>
      </c>
      <c r="J791" s="11">
        <v>110</v>
      </c>
      <c r="K791" s="4">
        <v>0</v>
      </c>
      <c r="L791" s="3" t="s">
        <v>95</v>
      </c>
      <c r="M791" s="3">
        <v>19</v>
      </c>
      <c r="N791" s="3">
        <v>7</v>
      </c>
      <c r="O791" s="3">
        <v>5</v>
      </c>
      <c r="P791" s="11">
        <f>Clean_Data[[#This Row],[Quantity]]*Clean_Data[[#This Row],[UnitPrice]]</f>
        <v>550</v>
      </c>
      <c r="Q791" s="11">
        <f>ROUND(Clean_Data[[#This Row],[GrossSales]]*Clean_Data[[#This Row],[DiscountPct]],2)</f>
        <v>0</v>
      </c>
      <c r="R791" s="11">
        <f>IF(Clean_Data[[#This Row],[Status]]="Delivered",ROUND(Clean_Data[[#This Row],[GrossSales]]-Clean_Data[[#This Row],[DiscountAmount]],2),0)</f>
        <v>550</v>
      </c>
      <c r="S791" s="3" t="str">
        <f>IF(Clean_Data[[#This Row],[OrderHour]]&lt;6,"Night",IF(Clean_Data[[#This Row],[OrderHour]]&lt;12,"Morning",IF(Clean_Data[[#This Row],[OrderHour]]&lt;18,"Afternoon","Evening")))</f>
        <v>Afternoon</v>
      </c>
      <c r="T791" s="3" t="str">
        <f>TEXT(Clean_Data[[#This Row],[OrderDate]],"[$-409]ddd")</f>
        <v>Sun</v>
      </c>
      <c r="U791" s="3">
        <f>WEEKDAY(Clean_Data[[#This Row],[OrderDate]],2)</f>
        <v>7</v>
      </c>
      <c r="V791" s="3">
        <f>INT(Clean_Data[[#This Row],[OrderHour]]/6)+1</f>
        <v>3</v>
      </c>
      <c r="W791" s="3">
        <f>IF(Clean_Data[[#This Row],[Status]]="Delivered",1,0)</f>
        <v>1</v>
      </c>
      <c r="X791" s="3">
        <f>IF(Clean_Data[[#This Row],[Status]]="Delivered",IF(Clean_Data[[#This Row],[DeliveryMinutes]]&lt;=Dashboard!$X$5,1,0),0)</f>
        <v>1</v>
      </c>
      <c r="Y7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1" s="3">
        <f>IF(AND(Clean_Data[[#This Row],[Include]]=1,Clean_Data[[#This Row],[DeliveredFlag]]=1),1,0)</f>
        <v>1</v>
      </c>
      <c r="AA791" s="1">
        <f>IF(COUNTIF($D$2:D791,D791)=1,ROW()-1,ROWS(Clean_Data[OrderID])+1)</f>
        <v>901</v>
      </c>
      <c r="AB791" s="1">
        <f>IF(COUNTIF($F$2:F791,F791)=1,ROW()-1,ROWS(Clean_Data[OrderID])+1)</f>
        <v>901</v>
      </c>
      <c r="AC791" s="1">
        <f>IF(COUNTIF($G$2:G791,G791)=1,ROW()-1,ROWS(Clean_Data[OrderID])+1)</f>
        <v>901</v>
      </c>
      <c r="AD791" s="1">
        <f>IF(COUNTIF($H$2:H791,H791)=1,ROW()-1,ROWS(Clean_Data[OrderID])+1)</f>
        <v>901</v>
      </c>
      <c r="AE791" s="1">
        <f>IF(COUNTIF($V$2:V791,V791)=1,V791,ROWS(Clean_Data[OrderID])+1)</f>
        <v>901</v>
      </c>
      <c r="AF791" s="1">
        <f>IF(COUNTIF($U$2:U791,U791)=1,U791,ROWS(Clean_Data[OrderID])+1)</f>
        <v>901</v>
      </c>
      <c r="AG791" s="1">
        <f>IF(COUNTIF($E$2:E791,E791)=1,ROW()-1,ROWS(Clean_Data[OrderID])+1)</f>
        <v>901</v>
      </c>
    </row>
    <row r="792" spans="1:33" ht="20" customHeight="1">
      <c r="A792" s="3" t="s">
        <v>1196</v>
      </c>
      <c r="B792" s="2">
        <v>46292</v>
      </c>
      <c r="C792" s="3">
        <v>9</v>
      </c>
      <c r="D792" s="3" t="s">
        <v>652</v>
      </c>
      <c r="E792" s="3" t="s">
        <v>91</v>
      </c>
      <c r="F792" s="3" t="s">
        <v>92</v>
      </c>
      <c r="G792" s="3" t="s">
        <v>110</v>
      </c>
      <c r="H792" s="3" t="s">
        <v>114</v>
      </c>
      <c r="I792" s="3">
        <v>1</v>
      </c>
      <c r="J792" s="11">
        <v>145</v>
      </c>
      <c r="K792" s="4">
        <v>0</v>
      </c>
      <c r="L792" s="3" t="s">
        <v>95</v>
      </c>
      <c r="M792" s="3">
        <v>21</v>
      </c>
      <c r="N792" s="3">
        <v>8</v>
      </c>
      <c r="O792" s="3">
        <v>4</v>
      </c>
      <c r="P792" s="11">
        <f>Clean_Data[[#This Row],[Quantity]]*Clean_Data[[#This Row],[UnitPrice]]</f>
        <v>145</v>
      </c>
      <c r="Q792" s="11">
        <f>ROUND(Clean_Data[[#This Row],[GrossSales]]*Clean_Data[[#This Row],[DiscountPct]],2)</f>
        <v>0</v>
      </c>
      <c r="R792" s="11">
        <f>IF(Clean_Data[[#This Row],[Status]]="Delivered",ROUND(Clean_Data[[#This Row],[GrossSales]]-Clean_Data[[#This Row],[DiscountAmount]],2),0)</f>
        <v>145</v>
      </c>
      <c r="S792" s="3" t="str">
        <f>IF(Clean_Data[[#This Row],[OrderHour]]&lt;6,"Night",IF(Clean_Data[[#This Row],[OrderHour]]&lt;12,"Morning",IF(Clean_Data[[#This Row],[OrderHour]]&lt;18,"Afternoon","Evening")))</f>
        <v>Morning</v>
      </c>
      <c r="T792" s="3" t="str">
        <f>TEXT(Clean_Data[[#This Row],[OrderDate]],"[$-409]ddd")</f>
        <v>Sun</v>
      </c>
      <c r="U792" s="3">
        <f>WEEKDAY(Clean_Data[[#This Row],[OrderDate]],2)</f>
        <v>7</v>
      </c>
      <c r="V792" s="3">
        <f>INT(Clean_Data[[#This Row],[OrderHour]]/6)+1</f>
        <v>2</v>
      </c>
      <c r="W792" s="3">
        <f>IF(Clean_Data[[#This Row],[Status]]="Delivered",1,0)</f>
        <v>1</v>
      </c>
      <c r="X792" s="3">
        <f>IF(Clean_Data[[#This Row],[Status]]="Delivered",IF(Clean_Data[[#This Row],[DeliveryMinutes]]&lt;=Dashboard!$X$5,1,0),0)</f>
        <v>1</v>
      </c>
      <c r="Y7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2" s="3">
        <f>IF(AND(Clean_Data[[#This Row],[Include]]=1,Clean_Data[[#This Row],[DeliveredFlag]]=1),1,0)</f>
        <v>1</v>
      </c>
      <c r="AA792" s="1">
        <f>IF(COUNTIF($D$2:D792,D792)=1,ROW()-1,ROWS(Clean_Data[OrderID])+1)</f>
        <v>901</v>
      </c>
      <c r="AB792" s="1">
        <f>IF(COUNTIF($F$2:F792,F792)=1,ROW()-1,ROWS(Clean_Data[OrderID])+1)</f>
        <v>901</v>
      </c>
      <c r="AC792" s="1">
        <f>IF(COUNTIF($G$2:G792,G792)=1,ROW()-1,ROWS(Clean_Data[OrderID])+1)</f>
        <v>901</v>
      </c>
      <c r="AD792" s="1">
        <f>IF(COUNTIF($H$2:H792,H792)=1,ROW()-1,ROWS(Clean_Data[OrderID])+1)</f>
        <v>901</v>
      </c>
      <c r="AE792" s="1">
        <f>IF(COUNTIF($V$2:V792,V792)=1,V792,ROWS(Clean_Data[OrderID])+1)</f>
        <v>901</v>
      </c>
      <c r="AF792" s="1">
        <f>IF(COUNTIF($U$2:U792,U792)=1,U792,ROWS(Clean_Data[OrderID])+1)</f>
        <v>901</v>
      </c>
      <c r="AG792" s="1">
        <f>IF(COUNTIF($E$2:E792,E792)=1,ROW()-1,ROWS(Clean_Data[OrderID])+1)</f>
        <v>901</v>
      </c>
    </row>
    <row r="793" spans="1:33" ht="20" customHeight="1">
      <c r="A793" s="3" t="s">
        <v>1197</v>
      </c>
      <c r="B793" s="2">
        <v>46292</v>
      </c>
      <c r="C793" s="3">
        <v>19</v>
      </c>
      <c r="D793" s="3" t="s">
        <v>423</v>
      </c>
      <c r="E793" s="3" t="s">
        <v>91</v>
      </c>
      <c r="F793" s="3" t="s">
        <v>121</v>
      </c>
      <c r="G793" s="3" t="s">
        <v>135</v>
      </c>
      <c r="H793" s="3" t="s">
        <v>136</v>
      </c>
      <c r="I793" s="3">
        <v>1</v>
      </c>
      <c r="J793" s="11">
        <v>40</v>
      </c>
      <c r="K793" s="4">
        <v>0.1</v>
      </c>
      <c r="L793" s="3" t="s">
        <v>101</v>
      </c>
      <c r="M793" s="3"/>
      <c r="N793" s="3"/>
      <c r="O793" s="3"/>
      <c r="P793" s="11">
        <f>Clean_Data[[#This Row],[Quantity]]*Clean_Data[[#This Row],[UnitPrice]]</f>
        <v>40</v>
      </c>
      <c r="Q793" s="11">
        <f>ROUND(Clean_Data[[#This Row],[GrossSales]]*Clean_Data[[#This Row],[DiscountPct]],2)</f>
        <v>4</v>
      </c>
      <c r="R793" s="11">
        <f>IF(Clean_Data[[#This Row],[Status]]="Delivered",ROUND(Clean_Data[[#This Row],[GrossSales]]-Clean_Data[[#This Row],[DiscountAmount]],2),0)</f>
        <v>0</v>
      </c>
      <c r="S793" s="3" t="str">
        <f>IF(Clean_Data[[#This Row],[OrderHour]]&lt;6,"Night",IF(Clean_Data[[#This Row],[OrderHour]]&lt;12,"Morning",IF(Clean_Data[[#This Row],[OrderHour]]&lt;18,"Afternoon","Evening")))</f>
        <v>Evening</v>
      </c>
      <c r="T793" s="3" t="str">
        <f>TEXT(Clean_Data[[#This Row],[OrderDate]],"[$-409]ddd")</f>
        <v>Sun</v>
      </c>
      <c r="U793" s="3">
        <f>WEEKDAY(Clean_Data[[#This Row],[OrderDate]],2)</f>
        <v>7</v>
      </c>
      <c r="V793" s="3">
        <f>INT(Clean_Data[[#This Row],[OrderHour]]/6)+1</f>
        <v>4</v>
      </c>
      <c r="W793" s="3">
        <f>IF(Clean_Data[[#This Row],[Status]]="Delivered",1,0)</f>
        <v>0</v>
      </c>
      <c r="X793" s="3">
        <f>IF(Clean_Data[[#This Row],[Status]]="Delivered",IF(Clean_Data[[#This Row],[DeliveryMinutes]]&lt;=Dashboard!$X$5,1,0),0)</f>
        <v>0</v>
      </c>
      <c r="Y7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3" s="3">
        <f>IF(AND(Clean_Data[[#This Row],[Include]]=1,Clean_Data[[#This Row],[DeliveredFlag]]=1),1,0)</f>
        <v>0</v>
      </c>
      <c r="AA793" s="1">
        <f>IF(COUNTIF($D$2:D793,D793)=1,ROW()-1,ROWS(Clean_Data[OrderID])+1)</f>
        <v>901</v>
      </c>
      <c r="AB793" s="1">
        <f>IF(COUNTIF($F$2:F793,F793)=1,ROW()-1,ROWS(Clean_Data[OrderID])+1)</f>
        <v>901</v>
      </c>
      <c r="AC793" s="1">
        <f>IF(COUNTIF($G$2:G793,G793)=1,ROW()-1,ROWS(Clean_Data[OrderID])+1)</f>
        <v>901</v>
      </c>
      <c r="AD793" s="1">
        <f>IF(COUNTIF($H$2:H793,H793)=1,ROW()-1,ROWS(Clean_Data[OrderID])+1)</f>
        <v>901</v>
      </c>
      <c r="AE793" s="1">
        <f>IF(COUNTIF($V$2:V793,V793)=1,V793,ROWS(Clean_Data[OrderID])+1)</f>
        <v>901</v>
      </c>
      <c r="AF793" s="1">
        <f>IF(COUNTIF($U$2:U793,U793)=1,U793,ROWS(Clean_Data[OrderID])+1)</f>
        <v>901</v>
      </c>
      <c r="AG793" s="1">
        <f>IF(COUNTIF($E$2:E793,E793)=1,ROW()-1,ROWS(Clean_Data[OrderID])+1)</f>
        <v>901</v>
      </c>
    </row>
    <row r="794" spans="1:33" ht="20" customHeight="1">
      <c r="A794" s="3" t="s">
        <v>1198</v>
      </c>
      <c r="B794" s="2">
        <v>46292</v>
      </c>
      <c r="C794" s="3">
        <v>18</v>
      </c>
      <c r="D794" s="3" t="s">
        <v>145</v>
      </c>
      <c r="E794" s="3" t="s">
        <v>117</v>
      </c>
      <c r="F794" s="3" t="s">
        <v>92</v>
      </c>
      <c r="G794" s="3" t="s">
        <v>99</v>
      </c>
      <c r="H794" s="3" t="s">
        <v>130</v>
      </c>
      <c r="I794" s="3">
        <v>1</v>
      </c>
      <c r="J794" s="11">
        <v>85</v>
      </c>
      <c r="K794" s="4">
        <v>0.15</v>
      </c>
      <c r="L794" s="3" t="s">
        <v>95</v>
      </c>
      <c r="M794" s="3">
        <v>13</v>
      </c>
      <c r="N794" s="3">
        <v>12</v>
      </c>
      <c r="O794" s="3">
        <v>3</v>
      </c>
      <c r="P794" s="11">
        <f>Clean_Data[[#This Row],[Quantity]]*Clean_Data[[#This Row],[UnitPrice]]</f>
        <v>85</v>
      </c>
      <c r="Q794" s="11">
        <f>ROUND(Clean_Data[[#This Row],[GrossSales]]*Clean_Data[[#This Row],[DiscountPct]],2)</f>
        <v>12.75</v>
      </c>
      <c r="R794" s="11">
        <f>IF(Clean_Data[[#This Row],[Status]]="Delivered",ROUND(Clean_Data[[#This Row],[GrossSales]]-Clean_Data[[#This Row],[DiscountAmount]],2),0)</f>
        <v>72.25</v>
      </c>
      <c r="S794" s="3" t="str">
        <f>IF(Clean_Data[[#This Row],[OrderHour]]&lt;6,"Night",IF(Clean_Data[[#This Row],[OrderHour]]&lt;12,"Morning",IF(Clean_Data[[#This Row],[OrderHour]]&lt;18,"Afternoon","Evening")))</f>
        <v>Evening</v>
      </c>
      <c r="T794" s="3" t="str">
        <f>TEXT(Clean_Data[[#This Row],[OrderDate]],"[$-409]ddd")</f>
        <v>Sun</v>
      </c>
      <c r="U794" s="3">
        <f>WEEKDAY(Clean_Data[[#This Row],[OrderDate]],2)</f>
        <v>7</v>
      </c>
      <c r="V794" s="3">
        <f>INT(Clean_Data[[#This Row],[OrderHour]]/6)+1</f>
        <v>4</v>
      </c>
      <c r="W794" s="3">
        <f>IF(Clean_Data[[#This Row],[Status]]="Delivered",1,0)</f>
        <v>1</v>
      </c>
      <c r="X794" s="3">
        <f>IF(Clean_Data[[#This Row],[Status]]="Delivered",IF(Clean_Data[[#This Row],[DeliveryMinutes]]&lt;=Dashboard!$X$5,1,0),0)</f>
        <v>1</v>
      </c>
      <c r="Y7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4" s="3">
        <f>IF(AND(Clean_Data[[#This Row],[Include]]=1,Clean_Data[[#This Row],[DeliveredFlag]]=1),1,0)</f>
        <v>1</v>
      </c>
      <c r="AA794" s="1">
        <f>IF(COUNTIF($D$2:D794,D794)=1,ROW()-1,ROWS(Clean_Data[OrderID])+1)</f>
        <v>901</v>
      </c>
      <c r="AB794" s="1">
        <f>IF(COUNTIF($F$2:F794,F794)=1,ROW()-1,ROWS(Clean_Data[OrderID])+1)</f>
        <v>901</v>
      </c>
      <c r="AC794" s="1">
        <f>IF(COUNTIF($G$2:G794,G794)=1,ROW()-1,ROWS(Clean_Data[OrderID])+1)</f>
        <v>901</v>
      </c>
      <c r="AD794" s="1">
        <f>IF(COUNTIF($H$2:H794,H794)=1,ROW()-1,ROWS(Clean_Data[OrderID])+1)</f>
        <v>901</v>
      </c>
      <c r="AE794" s="1">
        <f>IF(COUNTIF($V$2:V794,V794)=1,V794,ROWS(Clean_Data[OrderID])+1)</f>
        <v>901</v>
      </c>
      <c r="AF794" s="1">
        <f>IF(COUNTIF($U$2:U794,U794)=1,U794,ROWS(Clean_Data[OrderID])+1)</f>
        <v>901</v>
      </c>
      <c r="AG794" s="1">
        <f>IF(COUNTIF($E$2:E794,E794)=1,ROW()-1,ROWS(Clean_Data[OrderID])+1)</f>
        <v>901</v>
      </c>
    </row>
    <row r="795" spans="1:33" ht="20" customHeight="1">
      <c r="A795" s="3" t="s">
        <v>1199</v>
      </c>
      <c r="B795" s="2">
        <v>46292</v>
      </c>
      <c r="C795" s="3">
        <v>12</v>
      </c>
      <c r="D795" s="3" t="s">
        <v>361</v>
      </c>
      <c r="E795" s="3" t="s">
        <v>91</v>
      </c>
      <c r="F795" s="3" t="s">
        <v>109</v>
      </c>
      <c r="G795" s="3" t="s">
        <v>99</v>
      </c>
      <c r="H795" s="3" t="s">
        <v>130</v>
      </c>
      <c r="I795" s="3">
        <v>6</v>
      </c>
      <c r="J795" s="11">
        <v>85</v>
      </c>
      <c r="K795" s="4">
        <v>0</v>
      </c>
      <c r="L795" s="3" t="s">
        <v>95</v>
      </c>
      <c r="M795" s="3">
        <v>25</v>
      </c>
      <c r="N795" s="3">
        <v>12</v>
      </c>
      <c r="O795" s="3">
        <v>4</v>
      </c>
      <c r="P795" s="11">
        <f>Clean_Data[[#This Row],[Quantity]]*Clean_Data[[#This Row],[UnitPrice]]</f>
        <v>510</v>
      </c>
      <c r="Q795" s="11">
        <f>ROUND(Clean_Data[[#This Row],[GrossSales]]*Clean_Data[[#This Row],[DiscountPct]],2)</f>
        <v>0</v>
      </c>
      <c r="R795" s="11">
        <f>IF(Clean_Data[[#This Row],[Status]]="Delivered",ROUND(Clean_Data[[#This Row],[GrossSales]]-Clean_Data[[#This Row],[DiscountAmount]],2),0)</f>
        <v>510</v>
      </c>
      <c r="S795" s="3" t="str">
        <f>IF(Clean_Data[[#This Row],[OrderHour]]&lt;6,"Night",IF(Clean_Data[[#This Row],[OrderHour]]&lt;12,"Morning",IF(Clean_Data[[#This Row],[OrderHour]]&lt;18,"Afternoon","Evening")))</f>
        <v>Afternoon</v>
      </c>
      <c r="T795" s="3" t="str">
        <f>TEXT(Clean_Data[[#This Row],[OrderDate]],"[$-409]ddd")</f>
        <v>Sun</v>
      </c>
      <c r="U795" s="3">
        <f>WEEKDAY(Clean_Data[[#This Row],[OrderDate]],2)</f>
        <v>7</v>
      </c>
      <c r="V795" s="3">
        <f>INT(Clean_Data[[#This Row],[OrderHour]]/6)+1</f>
        <v>3</v>
      </c>
      <c r="W795" s="3">
        <f>IF(Clean_Data[[#This Row],[Status]]="Delivered",1,0)</f>
        <v>1</v>
      </c>
      <c r="X795" s="3">
        <f>IF(Clean_Data[[#This Row],[Status]]="Delivered",IF(Clean_Data[[#This Row],[DeliveryMinutes]]&lt;=Dashboard!$X$5,1,0),0)</f>
        <v>1</v>
      </c>
      <c r="Y7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5" s="3">
        <f>IF(AND(Clean_Data[[#This Row],[Include]]=1,Clean_Data[[#This Row],[DeliveredFlag]]=1),1,0)</f>
        <v>1</v>
      </c>
      <c r="AA795" s="1">
        <f>IF(COUNTIF($D$2:D795,D795)=1,ROW()-1,ROWS(Clean_Data[OrderID])+1)</f>
        <v>901</v>
      </c>
      <c r="AB795" s="1">
        <f>IF(COUNTIF($F$2:F795,F795)=1,ROW()-1,ROWS(Clean_Data[OrderID])+1)</f>
        <v>901</v>
      </c>
      <c r="AC795" s="1">
        <f>IF(COUNTIF($G$2:G795,G795)=1,ROW()-1,ROWS(Clean_Data[OrderID])+1)</f>
        <v>901</v>
      </c>
      <c r="AD795" s="1">
        <f>IF(COUNTIF($H$2:H795,H795)=1,ROW()-1,ROWS(Clean_Data[OrderID])+1)</f>
        <v>901</v>
      </c>
      <c r="AE795" s="1">
        <f>IF(COUNTIF($V$2:V795,V795)=1,V795,ROWS(Clean_Data[OrderID])+1)</f>
        <v>901</v>
      </c>
      <c r="AF795" s="1">
        <f>IF(COUNTIF($U$2:U795,U795)=1,U795,ROWS(Clean_Data[OrderID])+1)</f>
        <v>901</v>
      </c>
      <c r="AG795" s="1">
        <f>IF(COUNTIF($E$2:E795,E795)=1,ROW()-1,ROWS(Clean_Data[OrderID])+1)</f>
        <v>901</v>
      </c>
    </row>
    <row r="796" spans="1:33" ht="20" customHeight="1">
      <c r="A796" s="3" t="s">
        <v>1200</v>
      </c>
      <c r="B796" s="2">
        <v>46292</v>
      </c>
      <c r="C796" s="3">
        <v>17</v>
      </c>
      <c r="D796" s="3" t="s">
        <v>1107</v>
      </c>
      <c r="E796" s="3" t="s">
        <v>91</v>
      </c>
      <c r="F796" s="3" t="s">
        <v>92</v>
      </c>
      <c r="G796" s="3" t="s">
        <v>135</v>
      </c>
      <c r="H796" s="3" t="s">
        <v>162</v>
      </c>
      <c r="I796" s="3">
        <v>2</v>
      </c>
      <c r="J796" s="11">
        <v>180</v>
      </c>
      <c r="K796" s="4">
        <v>0</v>
      </c>
      <c r="L796" s="3" t="s">
        <v>95</v>
      </c>
      <c r="M796" s="3">
        <v>22</v>
      </c>
      <c r="N796" s="3">
        <v>14</v>
      </c>
      <c r="O796" s="3">
        <v>3</v>
      </c>
      <c r="P796" s="11">
        <f>Clean_Data[[#This Row],[Quantity]]*Clean_Data[[#This Row],[UnitPrice]]</f>
        <v>360</v>
      </c>
      <c r="Q796" s="11">
        <f>ROUND(Clean_Data[[#This Row],[GrossSales]]*Clean_Data[[#This Row],[DiscountPct]],2)</f>
        <v>0</v>
      </c>
      <c r="R796" s="11">
        <f>IF(Clean_Data[[#This Row],[Status]]="Delivered",ROUND(Clean_Data[[#This Row],[GrossSales]]-Clean_Data[[#This Row],[DiscountAmount]],2),0)</f>
        <v>360</v>
      </c>
      <c r="S796" s="3" t="str">
        <f>IF(Clean_Data[[#This Row],[OrderHour]]&lt;6,"Night",IF(Clean_Data[[#This Row],[OrderHour]]&lt;12,"Morning",IF(Clean_Data[[#This Row],[OrderHour]]&lt;18,"Afternoon","Evening")))</f>
        <v>Afternoon</v>
      </c>
      <c r="T796" s="3" t="str">
        <f>TEXT(Clean_Data[[#This Row],[OrderDate]],"[$-409]ddd")</f>
        <v>Sun</v>
      </c>
      <c r="U796" s="3">
        <f>WEEKDAY(Clean_Data[[#This Row],[OrderDate]],2)</f>
        <v>7</v>
      </c>
      <c r="V796" s="3">
        <f>INT(Clean_Data[[#This Row],[OrderHour]]/6)+1</f>
        <v>3</v>
      </c>
      <c r="W796" s="3">
        <f>IF(Clean_Data[[#This Row],[Status]]="Delivered",1,0)</f>
        <v>1</v>
      </c>
      <c r="X796" s="3">
        <f>IF(Clean_Data[[#This Row],[Status]]="Delivered",IF(Clean_Data[[#This Row],[DeliveryMinutes]]&lt;=Dashboard!$X$5,1,0),0)</f>
        <v>1</v>
      </c>
      <c r="Y7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6" s="3">
        <f>IF(AND(Clean_Data[[#This Row],[Include]]=1,Clean_Data[[#This Row],[DeliveredFlag]]=1),1,0)</f>
        <v>1</v>
      </c>
      <c r="AA796" s="1">
        <f>IF(COUNTIF($D$2:D796,D796)=1,ROW()-1,ROWS(Clean_Data[OrderID])+1)</f>
        <v>901</v>
      </c>
      <c r="AB796" s="1">
        <f>IF(COUNTIF($F$2:F796,F796)=1,ROW()-1,ROWS(Clean_Data[OrderID])+1)</f>
        <v>901</v>
      </c>
      <c r="AC796" s="1">
        <f>IF(COUNTIF($G$2:G796,G796)=1,ROW()-1,ROWS(Clean_Data[OrderID])+1)</f>
        <v>901</v>
      </c>
      <c r="AD796" s="1">
        <f>IF(COUNTIF($H$2:H796,H796)=1,ROW()-1,ROWS(Clean_Data[OrderID])+1)</f>
        <v>901</v>
      </c>
      <c r="AE796" s="1">
        <f>IF(COUNTIF($V$2:V796,V796)=1,V796,ROWS(Clean_Data[OrderID])+1)</f>
        <v>901</v>
      </c>
      <c r="AF796" s="1">
        <f>IF(COUNTIF($U$2:U796,U796)=1,U796,ROWS(Clean_Data[OrderID])+1)</f>
        <v>901</v>
      </c>
      <c r="AG796" s="1">
        <f>IF(COUNTIF($E$2:E796,E796)=1,ROW()-1,ROWS(Clean_Data[OrderID])+1)</f>
        <v>901</v>
      </c>
    </row>
    <row r="797" spans="1:33" ht="20" customHeight="1">
      <c r="A797" s="3" t="s">
        <v>1201</v>
      </c>
      <c r="B797" s="2">
        <v>46292</v>
      </c>
      <c r="C797" s="3">
        <v>12</v>
      </c>
      <c r="D797" s="3" t="s">
        <v>376</v>
      </c>
      <c r="E797" s="3" t="s">
        <v>117</v>
      </c>
      <c r="F797" s="3" t="s">
        <v>109</v>
      </c>
      <c r="G797" s="3" t="s">
        <v>93</v>
      </c>
      <c r="H797" s="3" t="s">
        <v>118</v>
      </c>
      <c r="I797" s="3">
        <v>3</v>
      </c>
      <c r="J797" s="11">
        <v>45</v>
      </c>
      <c r="K797" s="4">
        <v>0.1</v>
      </c>
      <c r="L797" s="3" t="s">
        <v>95</v>
      </c>
      <c r="M797" s="3">
        <v>28</v>
      </c>
      <c r="N797" s="3">
        <v>8</v>
      </c>
      <c r="O797" s="3">
        <v>4</v>
      </c>
      <c r="P797" s="11">
        <f>Clean_Data[[#This Row],[Quantity]]*Clean_Data[[#This Row],[UnitPrice]]</f>
        <v>135</v>
      </c>
      <c r="Q797" s="11">
        <f>ROUND(Clean_Data[[#This Row],[GrossSales]]*Clean_Data[[#This Row],[DiscountPct]],2)</f>
        <v>13.5</v>
      </c>
      <c r="R797" s="11">
        <f>IF(Clean_Data[[#This Row],[Status]]="Delivered",ROUND(Clean_Data[[#This Row],[GrossSales]]-Clean_Data[[#This Row],[DiscountAmount]],2),0)</f>
        <v>121.5</v>
      </c>
      <c r="S797" s="3" t="str">
        <f>IF(Clean_Data[[#This Row],[OrderHour]]&lt;6,"Night",IF(Clean_Data[[#This Row],[OrderHour]]&lt;12,"Morning",IF(Clean_Data[[#This Row],[OrderHour]]&lt;18,"Afternoon","Evening")))</f>
        <v>Afternoon</v>
      </c>
      <c r="T797" s="3" t="str">
        <f>TEXT(Clean_Data[[#This Row],[OrderDate]],"[$-409]ddd")</f>
        <v>Sun</v>
      </c>
      <c r="U797" s="3">
        <f>WEEKDAY(Clean_Data[[#This Row],[OrderDate]],2)</f>
        <v>7</v>
      </c>
      <c r="V797" s="3">
        <f>INT(Clean_Data[[#This Row],[OrderHour]]/6)+1</f>
        <v>3</v>
      </c>
      <c r="W797" s="3">
        <f>IF(Clean_Data[[#This Row],[Status]]="Delivered",1,0)</f>
        <v>1</v>
      </c>
      <c r="X797" s="3">
        <f>IF(Clean_Data[[#This Row],[Status]]="Delivered",IF(Clean_Data[[#This Row],[DeliveryMinutes]]&lt;=Dashboard!$X$5,1,0),0)</f>
        <v>1</v>
      </c>
      <c r="Y7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7" s="3">
        <f>IF(AND(Clean_Data[[#This Row],[Include]]=1,Clean_Data[[#This Row],[DeliveredFlag]]=1),1,0)</f>
        <v>1</v>
      </c>
      <c r="AA797" s="1">
        <f>IF(COUNTIF($D$2:D797,D797)=1,ROW()-1,ROWS(Clean_Data[OrderID])+1)</f>
        <v>901</v>
      </c>
      <c r="AB797" s="1">
        <f>IF(COUNTIF($F$2:F797,F797)=1,ROW()-1,ROWS(Clean_Data[OrderID])+1)</f>
        <v>901</v>
      </c>
      <c r="AC797" s="1">
        <f>IF(COUNTIF($G$2:G797,G797)=1,ROW()-1,ROWS(Clean_Data[OrderID])+1)</f>
        <v>901</v>
      </c>
      <c r="AD797" s="1">
        <f>IF(COUNTIF($H$2:H797,H797)=1,ROW()-1,ROWS(Clean_Data[OrderID])+1)</f>
        <v>901</v>
      </c>
      <c r="AE797" s="1">
        <f>IF(COUNTIF($V$2:V797,V797)=1,V797,ROWS(Clean_Data[OrderID])+1)</f>
        <v>901</v>
      </c>
      <c r="AF797" s="1">
        <f>IF(COUNTIF($U$2:U797,U797)=1,U797,ROWS(Clean_Data[OrderID])+1)</f>
        <v>901</v>
      </c>
      <c r="AG797" s="1">
        <f>IF(COUNTIF($E$2:E797,E797)=1,ROW()-1,ROWS(Clean_Data[OrderID])+1)</f>
        <v>901</v>
      </c>
    </row>
    <row r="798" spans="1:33" ht="20" customHeight="1">
      <c r="A798" s="3" t="s">
        <v>1202</v>
      </c>
      <c r="B798" s="2">
        <v>46292</v>
      </c>
      <c r="C798" s="3">
        <v>13</v>
      </c>
      <c r="D798" s="3" t="s">
        <v>297</v>
      </c>
      <c r="E798" s="3" t="s">
        <v>91</v>
      </c>
      <c r="F798" s="3" t="s">
        <v>109</v>
      </c>
      <c r="G798" s="3" t="s">
        <v>174</v>
      </c>
      <c r="H798" s="3" t="s">
        <v>274</v>
      </c>
      <c r="I798" s="3">
        <v>3</v>
      </c>
      <c r="J798" s="11">
        <v>90</v>
      </c>
      <c r="K798" s="4">
        <v>0</v>
      </c>
      <c r="L798" s="3" t="s">
        <v>95</v>
      </c>
      <c r="M798" s="3">
        <v>14</v>
      </c>
      <c r="N798" s="3">
        <v>7</v>
      </c>
      <c r="O798" s="3">
        <v>3</v>
      </c>
      <c r="P798" s="11">
        <f>Clean_Data[[#This Row],[Quantity]]*Clean_Data[[#This Row],[UnitPrice]]</f>
        <v>270</v>
      </c>
      <c r="Q798" s="11">
        <f>ROUND(Clean_Data[[#This Row],[GrossSales]]*Clean_Data[[#This Row],[DiscountPct]],2)</f>
        <v>0</v>
      </c>
      <c r="R798" s="11">
        <f>IF(Clean_Data[[#This Row],[Status]]="Delivered",ROUND(Clean_Data[[#This Row],[GrossSales]]-Clean_Data[[#This Row],[DiscountAmount]],2),0)</f>
        <v>270</v>
      </c>
      <c r="S798" s="3" t="str">
        <f>IF(Clean_Data[[#This Row],[OrderHour]]&lt;6,"Night",IF(Clean_Data[[#This Row],[OrderHour]]&lt;12,"Morning",IF(Clean_Data[[#This Row],[OrderHour]]&lt;18,"Afternoon","Evening")))</f>
        <v>Afternoon</v>
      </c>
      <c r="T798" s="3" t="str">
        <f>TEXT(Clean_Data[[#This Row],[OrderDate]],"[$-409]ddd")</f>
        <v>Sun</v>
      </c>
      <c r="U798" s="3">
        <f>WEEKDAY(Clean_Data[[#This Row],[OrderDate]],2)</f>
        <v>7</v>
      </c>
      <c r="V798" s="3">
        <f>INT(Clean_Data[[#This Row],[OrderHour]]/6)+1</f>
        <v>3</v>
      </c>
      <c r="W798" s="3">
        <f>IF(Clean_Data[[#This Row],[Status]]="Delivered",1,0)</f>
        <v>1</v>
      </c>
      <c r="X798" s="3">
        <f>IF(Clean_Data[[#This Row],[Status]]="Delivered",IF(Clean_Data[[#This Row],[DeliveryMinutes]]&lt;=Dashboard!$X$5,1,0),0)</f>
        <v>1</v>
      </c>
      <c r="Y7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8" s="3">
        <f>IF(AND(Clean_Data[[#This Row],[Include]]=1,Clean_Data[[#This Row],[DeliveredFlag]]=1),1,0)</f>
        <v>1</v>
      </c>
      <c r="AA798" s="1">
        <f>IF(COUNTIF($D$2:D798,D798)=1,ROW()-1,ROWS(Clean_Data[OrderID])+1)</f>
        <v>901</v>
      </c>
      <c r="AB798" s="1">
        <f>IF(COUNTIF($F$2:F798,F798)=1,ROW()-1,ROWS(Clean_Data[OrderID])+1)</f>
        <v>901</v>
      </c>
      <c r="AC798" s="1">
        <f>IF(COUNTIF($G$2:G798,G798)=1,ROW()-1,ROWS(Clean_Data[OrderID])+1)</f>
        <v>901</v>
      </c>
      <c r="AD798" s="1">
        <f>IF(COUNTIF($H$2:H798,H798)=1,ROW()-1,ROWS(Clean_Data[OrderID])+1)</f>
        <v>901</v>
      </c>
      <c r="AE798" s="1">
        <f>IF(COUNTIF($V$2:V798,V798)=1,V798,ROWS(Clean_Data[OrderID])+1)</f>
        <v>901</v>
      </c>
      <c r="AF798" s="1">
        <f>IF(COUNTIF($U$2:U798,U798)=1,U798,ROWS(Clean_Data[OrderID])+1)</f>
        <v>901</v>
      </c>
      <c r="AG798" s="1">
        <f>IF(COUNTIF($E$2:E798,E798)=1,ROW()-1,ROWS(Clean_Data[OrderID])+1)</f>
        <v>901</v>
      </c>
    </row>
    <row r="799" spans="1:33" ht="20" customHeight="1">
      <c r="A799" s="3" t="s">
        <v>1203</v>
      </c>
      <c r="B799" s="2">
        <v>46292</v>
      </c>
      <c r="C799" s="3">
        <v>8</v>
      </c>
      <c r="D799" s="3" t="s">
        <v>624</v>
      </c>
      <c r="E799" s="3" t="s">
        <v>91</v>
      </c>
      <c r="F799" s="3" t="s">
        <v>109</v>
      </c>
      <c r="G799" s="3" t="s">
        <v>110</v>
      </c>
      <c r="H799" s="3" t="s">
        <v>206</v>
      </c>
      <c r="I799" s="3">
        <v>3</v>
      </c>
      <c r="J799" s="11">
        <v>220</v>
      </c>
      <c r="K799" s="4">
        <v>0.1</v>
      </c>
      <c r="L799" s="3" t="s">
        <v>95</v>
      </c>
      <c r="M799" s="3">
        <v>31</v>
      </c>
      <c r="N799" s="3">
        <v>6</v>
      </c>
      <c r="O799" s="3">
        <v>4</v>
      </c>
      <c r="P799" s="11">
        <f>Clean_Data[[#This Row],[Quantity]]*Clean_Data[[#This Row],[UnitPrice]]</f>
        <v>660</v>
      </c>
      <c r="Q799" s="11">
        <f>ROUND(Clean_Data[[#This Row],[GrossSales]]*Clean_Data[[#This Row],[DiscountPct]],2)</f>
        <v>66</v>
      </c>
      <c r="R799" s="11">
        <f>IF(Clean_Data[[#This Row],[Status]]="Delivered",ROUND(Clean_Data[[#This Row],[GrossSales]]-Clean_Data[[#This Row],[DiscountAmount]],2),0)</f>
        <v>594</v>
      </c>
      <c r="S799" s="3" t="str">
        <f>IF(Clean_Data[[#This Row],[OrderHour]]&lt;6,"Night",IF(Clean_Data[[#This Row],[OrderHour]]&lt;12,"Morning",IF(Clean_Data[[#This Row],[OrderHour]]&lt;18,"Afternoon","Evening")))</f>
        <v>Morning</v>
      </c>
      <c r="T799" s="3" t="str">
        <f>TEXT(Clean_Data[[#This Row],[OrderDate]],"[$-409]ddd")</f>
        <v>Sun</v>
      </c>
      <c r="U799" s="3">
        <f>WEEKDAY(Clean_Data[[#This Row],[OrderDate]],2)</f>
        <v>7</v>
      </c>
      <c r="V799" s="3">
        <f>INT(Clean_Data[[#This Row],[OrderHour]]/6)+1</f>
        <v>2</v>
      </c>
      <c r="W799" s="3">
        <f>IF(Clean_Data[[#This Row],[Status]]="Delivered",1,0)</f>
        <v>1</v>
      </c>
      <c r="X799" s="3">
        <f>IF(Clean_Data[[#This Row],[Status]]="Delivered",IF(Clean_Data[[#This Row],[DeliveryMinutes]]&lt;=Dashboard!$X$5,1,0),0)</f>
        <v>0</v>
      </c>
      <c r="Y7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799" s="3">
        <f>IF(AND(Clean_Data[[#This Row],[Include]]=1,Clean_Data[[#This Row],[DeliveredFlag]]=1),1,0)</f>
        <v>1</v>
      </c>
      <c r="AA799" s="1">
        <f>IF(COUNTIF($D$2:D799,D799)=1,ROW()-1,ROWS(Clean_Data[OrderID])+1)</f>
        <v>901</v>
      </c>
      <c r="AB799" s="1">
        <f>IF(COUNTIF($F$2:F799,F799)=1,ROW()-1,ROWS(Clean_Data[OrderID])+1)</f>
        <v>901</v>
      </c>
      <c r="AC799" s="1">
        <f>IF(COUNTIF($G$2:G799,G799)=1,ROW()-1,ROWS(Clean_Data[OrderID])+1)</f>
        <v>901</v>
      </c>
      <c r="AD799" s="1">
        <f>IF(COUNTIF($H$2:H799,H799)=1,ROW()-1,ROWS(Clean_Data[OrderID])+1)</f>
        <v>901</v>
      </c>
      <c r="AE799" s="1">
        <f>IF(COUNTIF($V$2:V799,V799)=1,V799,ROWS(Clean_Data[OrderID])+1)</f>
        <v>901</v>
      </c>
      <c r="AF799" s="1">
        <f>IF(COUNTIF($U$2:U799,U799)=1,U799,ROWS(Clean_Data[OrderID])+1)</f>
        <v>901</v>
      </c>
      <c r="AG799" s="1">
        <f>IF(COUNTIF($E$2:E799,E799)=1,ROW()-1,ROWS(Clean_Data[OrderID])+1)</f>
        <v>901</v>
      </c>
    </row>
    <row r="800" spans="1:33" ht="20" customHeight="1">
      <c r="A800" s="3" t="s">
        <v>1204</v>
      </c>
      <c r="B800" s="2">
        <v>46292</v>
      </c>
      <c r="C800" s="3">
        <v>20</v>
      </c>
      <c r="D800" s="3" t="s">
        <v>460</v>
      </c>
      <c r="E800" s="3" t="s">
        <v>117</v>
      </c>
      <c r="F800" s="3" t="s">
        <v>139</v>
      </c>
      <c r="G800" s="3" t="s">
        <v>174</v>
      </c>
      <c r="H800" s="3" t="s">
        <v>184</v>
      </c>
      <c r="I800" s="3">
        <v>5</v>
      </c>
      <c r="J800" s="11">
        <v>62</v>
      </c>
      <c r="K800" s="4">
        <v>0.1</v>
      </c>
      <c r="L800" s="3" t="s">
        <v>95</v>
      </c>
      <c r="M800" s="3">
        <v>14</v>
      </c>
      <c r="N800" s="3">
        <v>14</v>
      </c>
      <c r="O800" s="3">
        <v>4</v>
      </c>
      <c r="P800" s="11">
        <f>Clean_Data[[#This Row],[Quantity]]*Clean_Data[[#This Row],[UnitPrice]]</f>
        <v>310</v>
      </c>
      <c r="Q800" s="11">
        <f>ROUND(Clean_Data[[#This Row],[GrossSales]]*Clean_Data[[#This Row],[DiscountPct]],2)</f>
        <v>31</v>
      </c>
      <c r="R800" s="11">
        <f>IF(Clean_Data[[#This Row],[Status]]="Delivered",ROUND(Clean_Data[[#This Row],[GrossSales]]-Clean_Data[[#This Row],[DiscountAmount]],2),0)</f>
        <v>279</v>
      </c>
      <c r="S800" s="3" t="str">
        <f>IF(Clean_Data[[#This Row],[OrderHour]]&lt;6,"Night",IF(Clean_Data[[#This Row],[OrderHour]]&lt;12,"Morning",IF(Clean_Data[[#This Row],[OrderHour]]&lt;18,"Afternoon","Evening")))</f>
        <v>Evening</v>
      </c>
      <c r="T800" s="3" t="str">
        <f>TEXT(Clean_Data[[#This Row],[OrderDate]],"[$-409]ddd")</f>
        <v>Sun</v>
      </c>
      <c r="U800" s="3">
        <f>WEEKDAY(Clean_Data[[#This Row],[OrderDate]],2)</f>
        <v>7</v>
      </c>
      <c r="V800" s="3">
        <f>INT(Clean_Data[[#This Row],[OrderHour]]/6)+1</f>
        <v>4</v>
      </c>
      <c r="W800" s="3">
        <f>IF(Clean_Data[[#This Row],[Status]]="Delivered",1,0)</f>
        <v>1</v>
      </c>
      <c r="X800" s="3">
        <f>IF(Clean_Data[[#This Row],[Status]]="Delivered",IF(Clean_Data[[#This Row],[DeliveryMinutes]]&lt;=Dashboard!$X$5,1,0),0)</f>
        <v>1</v>
      </c>
      <c r="Y8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0" s="3">
        <f>IF(AND(Clean_Data[[#This Row],[Include]]=1,Clean_Data[[#This Row],[DeliveredFlag]]=1),1,0)</f>
        <v>1</v>
      </c>
      <c r="AA800" s="1">
        <f>IF(COUNTIF($D$2:D800,D800)=1,ROW()-1,ROWS(Clean_Data[OrderID])+1)</f>
        <v>901</v>
      </c>
      <c r="AB800" s="1">
        <f>IF(COUNTIF($F$2:F800,F800)=1,ROW()-1,ROWS(Clean_Data[OrderID])+1)</f>
        <v>901</v>
      </c>
      <c r="AC800" s="1">
        <f>IF(COUNTIF($G$2:G800,G800)=1,ROW()-1,ROWS(Clean_Data[OrderID])+1)</f>
        <v>901</v>
      </c>
      <c r="AD800" s="1">
        <f>IF(COUNTIF($H$2:H800,H800)=1,ROW()-1,ROWS(Clean_Data[OrderID])+1)</f>
        <v>901</v>
      </c>
      <c r="AE800" s="1">
        <f>IF(COUNTIF($V$2:V800,V800)=1,V800,ROWS(Clean_Data[OrderID])+1)</f>
        <v>901</v>
      </c>
      <c r="AF800" s="1">
        <f>IF(COUNTIF($U$2:U800,U800)=1,U800,ROWS(Clean_Data[OrderID])+1)</f>
        <v>901</v>
      </c>
      <c r="AG800" s="1">
        <f>IF(COUNTIF($E$2:E800,E800)=1,ROW()-1,ROWS(Clean_Data[OrderID])+1)</f>
        <v>901</v>
      </c>
    </row>
    <row r="801" spans="1:33" ht="20" customHeight="1">
      <c r="A801" s="3" t="s">
        <v>1205</v>
      </c>
      <c r="B801" s="2">
        <v>46292</v>
      </c>
      <c r="C801" s="3">
        <v>21</v>
      </c>
      <c r="D801" s="3" t="s">
        <v>683</v>
      </c>
      <c r="E801" s="3" t="s">
        <v>117</v>
      </c>
      <c r="F801" s="3" t="s">
        <v>92</v>
      </c>
      <c r="G801" s="3" t="s">
        <v>93</v>
      </c>
      <c r="H801" s="3" t="s">
        <v>118</v>
      </c>
      <c r="I801" s="3">
        <v>3</v>
      </c>
      <c r="J801" s="11">
        <v>45</v>
      </c>
      <c r="K801" s="4">
        <v>0.05</v>
      </c>
      <c r="L801" s="3" t="s">
        <v>95</v>
      </c>
      <c r="M801" s="3">
        <v>35</v>
      </c>
      <c r="N801" s="3">
        <v>5</v>
      </c>
      <c r="O801" s="3">
        <v>5</v>
      </c>
      <c r="P801" s="11">
        <f>Clean_Data[[#This Row],[Quantity]]*Clean_Data[[#This Row],[UnitPrice]]</f>
        <v>135</v>
      </c>
      <c r="Q801" s="11">
        <f>ROUND(Clean_Data[[#This Row],[GrossSales]]*Clean_Data[[#This Row],[DiscountPct]],2)</f>
        <v>6.75</v>
      </c>
      <c r="R801" s="11">
        <f>IF(Clean_Data[[#This Row],[Status]]="Delivered",ROUND(Clean_Data[[#This Row],[GrossSales]]-Clean_Data[[#This Row],[DiscountAmount]],2),0)</f>
        <v>128.25</v>
      </c>
      <c r="S801" s="3" t="str">
        <f>IF(Clean_Data[[#This Row],[OrderHour]]&lt;6,"Night",IF(Clean_Data[[#This Row],[OrderHour]]&lt;12,"Morning",IF(Clean_Data[[#This Row],[OrderHour]]&lt;18,"Afternoon","Evening")))</f>
        <v>Evening</v>
      </c>
      <c r="T801" s="3" t="str">
        <f>TEXT(Clean_Data[[#This Row],[OrderDate]],"[$-409]ddd")</f>
        <v>Sun</v>
      </c>
      <c r="U801" s="3">
        <f>WEEKDAY(Clean_Data[[#This Row],[OrderDate]],2)</f>
        <v>7</v>
      </c>
      <c r="V801" s="3">
        <f>INT(Clean_Data[[#This Row],[OrderHour]]/6)+1</f>
        <v>4</v>
      </c>
      <c r="W801" s="3">
        <f>IF(Clean_Data[[#This Row],[Status]]="Delivered",1,0)</f>
        <v>1</v>
      </c>
      <c r="X801" s="3">
        <f>IF(Clean_Data[[#This Row],[Status]]="Delivered",IF(Clean_Data[[#This Row],[DeliveryMinutes]]&lt;=Dashboard!$X$5,1,0),0)</f>
        <v>0</v>
      </c>
      <c r="Y8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1" s="3">
        <f>IF(AND(Clean_Data[[#This Row],[Include]]=1,Clean_Data[[#This Row],[DeliveredFlag]]=1),1,0)</f>
        <v>1</v>
      </c>
      <c r="AA801" s="1">
        <f>IF(COUNTIF($D$2:D801,D801)=1,ROW()-1,ROWS(Clean_Data[OrderID])+1)</f>
        <v>901</v>
      </c>
      <c r="AB801" s="1">
        <f>IF(COUNTIF($F$2:F801,F801)=1,ROW()-1,ROWS(Clean_Data[OrderID])+1)</f>
        <v>901</v>
      </c>
      <c r="AC801" s="1">
        <f>IF(COUNTIF($G$2:G801,G801)=1,ROW()-1,ROWS(Clean_Data[OrderID])+1)</f>
        <v>901</v>
      </c>
      <c r="AD801" s="1">
        <f>IF(COUNTIF($H$2:H801,H801)=1,ROW()-1,ROWS(Clean_Data[OrderID])+1)</f>
        <v>901</v>
      </c>
      <c r="AE801" s="1">
        <f>IF(COUNTIF($V$2:V801,V801)=1,V801,ROWS(Clean_Data[OrderID])+1)</f>
        <v>901</v>
      </c>
      <c r="AF801" s="1">
        <f>IF(COUNTIF($U$2:U801,U801)=1,U801,ROWS(Clean_Data[OrderID])+1)</f>
        <v>901</v>
      </c>
      <c r="AG801" s="1">
        <f>IF(COUNTIF($E$2:E801,E801)=1,ROW()-1,ROWS(Clean_Data[OrderID])+1)</f>
        <v>901</v>
      </c>
    </row>
    <row r="802" spans="1:33" ht="20" customHeight="1">
      <c r="A802" s="3" t="s">
        <v>1206</v>
      </c>
      <c r="B802" s="2">
        <v>46292</v>
      </c>
      <c r="C802" s="3">
        <v>17</v>
      </c>
      <c r="D802" s="3" t="s">
        <v>926</v>
      </c>
      <c r="E802" s="3" t="s">
        <v>91</v>
      </c>
      <c r="F802" s="3" t="s">
        <v>139</v>
      </c>
      <c r="G802" s="3" t="s">
        <v>99</v>
      </c>
      <c r="H802" s="3" t="s">
        <v>100</v>
      </c>
      <c r="I802" s="3">
        <v>3</v>
      </c>
      <c r="J802" s="11">
        <v>120</v>
      </c>
      <c r="K802" s="4">
        <v>0</v>
      </c>
      <c r="L802" s="3" t="s">
        <v>95</v>
      </c>
      <c r="M802" s="3">
        <v>28</v>
      </c>
      <c r="N802" s="3">
        <v>4</v>
      </c>
      <c r="O802" s="3">
        <v>4</v>
      </c>
      <c r="P802" s="11">
        <f>Clean_Data[[#This Row],[Quantity]]*Clean_Data[[#This Row],[UnitPrice]]</f>
        <v>360</v>
      </c>
      <c r="Q802" s="11">
        <f>ROUND(Clean_Data[[#This Row],[GrossSales]]*Clean_Data[[#This Row],[DiscountPct]],2)</f>
        <v>0</v>
      </c>
      <c r="R802" s="11">
        <f>IF(Clean_Data[[#This Row],[Status]]="Delivered",ROUND(Clean_Data[[#This Row],[GrossSales]]-Clean_Data[[#This Row],[DiscountAmount]],2),0)</f>
        <v>360</v>
      </c>
      <c r="S802" s="3" t="str">
        <f>IF(Clean_Data[[#This Row],[OrderHour]]&lt;6,"Night",IF(Clean_Data[[#This Row],[OrderHour]]&lt;12,"Morning",IF(Clean_Data[[#This Row],[OrderHour]]&lt;18,"Afternoon","Evening")))</f>
        <v>Afternoon</v>
      </c>
      <c r="T802" s="3" t="str">
        <f>TEXT(Clean_Data[[#This Row],[OrderDate]],"[$-409]ddd")</f>
        <v>Sun</v>
      </c>
      <c r="U802" s="3">
        <f>WEEKDAY(Clean_Data[[#This Row],[OrderDate]],2)</f>
        <v>7</v>
      </c>
      <c r="V802" s="3">
        <f>INT(Clean_Data[[#This Row],[OrderHour]]/6)+1</f>
        <v>3</v>
      </c>
      <c r="W802" s="3">
        <f>IF(Clean_Data[[#This Row],[Status]]="Delivered",1,0)</f>
        <v>1</v>
      </c>
      <c r="X802" s="3">
        <f>IF(Clean_Data[[#This Row],[Status]]="Delivered",IF(Clean_Data[[#This Row],[DeliveryMinutes]]&lt;=Dashboard!$X$5,1,0),0)</f>
        <v>1</v>
      </c>
      <c r="Y80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2" s="3">
        <f>IF(AND(Clean_Data[[#This Row],[Include]]=1,Clean_Data[[#This Row],[DeliveredFlag]]=1),1,0)</f>
        <v>1</v>
      </c>
      <c r="AA802" s="1">
        <f>IF(COUNTIF($D$2:D802,D802)=1,ROW()-1,ROWS(Clean_Data[OrderID])+1)</f>
        <v>901</v>
      </c>
      <c r="AB802" s="1">
        <f>IF(COUNTIF($F$2:F802,F802)=1,ROW()-1,ROWS(Clean_Data[OrderID])+1)</f>
        <v>901</v>
      </c>
      <c r="AC802" s="1">
        <f>IF(COUNTIF($G$2:G802,G802)=1,ROW()-1,ROWS(Clean_Data[OrderID])+1)</f>
        <v>901</v>
      </c>
      <c r="AD802" s="1">
        <f>IF(COUNTIF($H$2:H802,H802)=1,ROW()-1,ROWS(Clean_Data[OrderID])+1)</f>
        <v>901</v>
      </c>
      <c r="AE802" s="1">
        <f>IF(COUNTIF($V$2:V802,V802)=1,V802,ROWS(Clean_Data[OrderID])+1)</f>
        <v>901</v>
      </c>
      <c r="AF802" s="1">
        <f>IF(COUNTIF($U$2:U802,U802)=1,U802,ROWS(Clean_Data[OrderID])+1)</f>
        <v>901</v>
      </c>
      <c r="AG802" s="1">
        <f>IF(COUNTIF($E$2:E802,E802)=1,ROW()-1,ROWS(Clean_Data[OrderID])+1)</f>
        <v>901</v>
      </c>
    </row>
    <row r="803" spans="1:33" ht="20" customHeight="1">
      <c r="A803" s="3" t="s">
        <v>1207</v>
      </c>
      <c r="B803" s="2">
        <v>46292</v>
      </c>
      <c r="C803" s="3">
        <v>12</v>
      </c>
      <c r="D803" s="3" t="s">
        <v>530</v>
      </c>
      <c r="E803" s="3" t="s">
        <v>91</v>
      </c>
      <c r="F803" s="3" t="s">
        <v>121</v>
      </c>
      <c r="G803" s="3" t="s">
        <v>174</v>
      </c>
      <c r="H803" s="3" t="s">
        <v>184</v>
      </c>
      <c r="I803" s="3">
        <v>4</v>
      </c>
      <c r="J803" s="11">
        <v>62</v>
      </c>
      <c r="K803" s="4">
        <v>0</v>
      </c>
      <c r="L803" s="3" t="s">
        <v>95</v>
      </c>
      <c r="M803" s="3">
        <v>18</v>
      </c>
      <c r="N803" s="3">
        <v>15</v>
      </c>
      <c r="O803" s="3">
        <v>5</v>
      </c>
      <c r="P803" s="11">
        <f>Clean_Data[[#This Row],[Quantity]]*Clean_Data[[#This Row],[UnitPrice]]</f>
        <v>248</v>
      </c>
      <c r="Q803" s="11">
        <f>ROUND(Clean_Data[[#This Row],[GrossSales]]*Clean_Data[[#This Row],[DiscountPct]],2)</f>
        <v>0</v>
      </c>
      <c r="R803" s="11">
        <f>IF(Clean_Data[[#This Row],[Status]]="Delivered",ROUND(Clean_Data[[#This Row],[GrossSales]]-Clean_Data[[#This Row],[DiscountAmount]],2),0)</f>
        <v>248</v>
      </c>
      <c r="S803" s="3" t="str">
        <f>IF(Clean_Data[[#This Row],[OrderHour]]&lt;6,"Night",IF(Clean_Data[[#This Row],[OrderHour]]&lt;12,"Morning",IF(Clean_Data[[#This Row],[OrderHour]]&lt;18,"Afternoon","Evening")))</f>
        <v>Afternoon</v>
      </c>
      <c r="T803" s="3" t="str">
        <f>TEXT(Clean_Data[[#This Row],[OrderDate]],"[$-409]ddd")</f>
        <v>Sun</v>
      </c>
      <c r="U803" s="3">
        <f>WEEKDAY(Clean_Data[[#This Row],[OrderDate]],2)</f>
        <v>7</v>
      </c>
      <c r="V803" s="3">
        <f>INT(Clean_Data[[#This Row],[OrderHour]]/6)+1</f>
        <v>3</v>
      </c>
      <c r="W803" s="3">
        <f>IF(Clean_Data[[#This Row],[Status]]="Delivered",1,0)</f>
        <v>1</v>
      </c>
      <c r="X803" s="3">
        <f>IF(Clean_Data[[#This Row],[Status]]="Delivered",IF(Clean_Data[[#This Row],[DeliveryMinutes]]&lt;=Dashboard!$X$5,1,0),0)</f>
        <v>1</v>
      </c>
      <c r="Y80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3" s="3">
        <f>IF(AND(Clean_Data[[#This Row],[Include]]=1,Clean_Data[[#This Row],[DeliveredFlag]]=1),1,0)</f>
        <v>1</v>
      </c>
      <c r="AA803" s="1">
        <f>IF(COUNTIF($D$2:D803,D803)=1,ROW()-1,ROWS(Clean_Data[OrderID])+1)</f>
        <v>901</v>
      </c>
      <c r="AB803" s="1">
        <f>IF(COUNTIF($F$2:F803,F803)=1,ROW()-1,ROWS(Clean_Data[OrderID])+1)</f>
        <v>901</v>
      </c>
      <c r="AC803" s="1">
        <f>IF(COUNTIF($G$2:G803,G803)=1,ROW()-1,ROWS(Clean_Data[OrderID])+1)</f>
        <v>901</v>
      </c>
      <c r="AD803" s="1">
        <f>IF(COUNTIF($H$2:H803,H803)=1,ROW()-1,ROWS(Clean_Data[OrderID])+1)</f>
        <v>901</v>
      </c>
      <c r="AE803" s="1">
        <f>IF(COUNTIF($V$2:V803,V803)=1,V803,ROWS(Clean_Data[OrderID])+1)</f>
        <v>901</v>
      </c>
      <c r="AF803" s="1">
        <f>IF(COUNTIF($U$2:U803,U803)=1,U803,ROWS(Clean_Data[OrderID])+1)</f>
        <v>901</v>
      </c>
      <c r="AG803" s="1">
        <f>IF(COUNTIF($E$2:E803,E803)=1,ROW()-1,ROWS(Clean_Data[OrderID])+1)</f>
        <v>901</v>
      </c>
    </row>
    <row r="804" spans="1:33" ht="20" customHeight="1">
      <c r="A804" s="3" t="s">
        <v>1208</v>
      </c>
      <c r="B804" s="2">
        <v>46292</v>
      </c>
      <c r="C804" s="3">
        <v>12</v>
      </c>
      <c r="D804" s="3" t="s">
        <v>689</v>
      </c>
      <c r="E804" s="3" t="s">
        <v>91</v>
      </c>
      <c r="F804" s="3" t="s">
        <v>98</v>
      </c>
      <c r="G804" s="3" t="s">
        <v>122</v>
      </c>
      <c r="H804" s="3" t="s">
        <v>153</v>
      </c>
      <c r="I804" s="3">
        <v>1</v>
      </c>
      <c r="J804" s="11">
        <v>130</v>
      </c>
      <c r="K804" s="4">
        <v>0.15</v>
      </c>
      <c r="L804" s="3" t="s">
        <v>95</v>
      </c>
      <c r="M804" s="3">
        <v>28</v>
      </c>
      <c r="N804" s="3">
        <v>14</v>
      </c>
      <c r="O804" s="3">
        <v>3</v>
      </c>
      <c r="P804" s="11">
        <f>Clean_Data[[#This Row],[Quantity]]*Clean_Data[[#This Row],[UnitPrice]]</f>
        <v>130</v>
      </c>
      <c r="Q804" s="11">
        <f>ROUND(Clean_Data[[#This Row],[GrossSales]]*Clean_Data[[#This Row],[DiscountPct]],2)</f>
        <v>19.5</v>
      </c>
      <c r="R804" s="11">
        <f>IF(Clean_Data[[#This Row],[Status]]="Delivered",ROUND(Clean_Data[[#This Row],[GrossSales]]-Clean_Data[[#This Row],[DiscountAmount]],2),0)</f>
        <v>110.5</v>
      </c>
      <c r="S804" s="3" t="str">
        <f>IF(Clean_Data[[#This Row],[OrderHour]]&lt;6,"Night",IF(Clean_Data[[#This Row],[OrderHour]]&lt;12,"Morning",IF(Clean_Data[[#This Row],[OrderHour]]&lt;18,"Afternoon","Evening")))</f>
        <v>Afternoon</v>
      </c>
      <c r="T804" s="3" t="str">
        <f>TEXT(Clean_Data[[#This Row],[OrderDate]],"[$-409]ddd")</f>
        <v>Sun</v>
      </c>
      <c r="U804" s="3">
        <f>WEEKDAY(Clean_Data[[#This Row],[OrderDate]],2)</f>
        <v>7</v>
      </c>
      <c r="V804" s="3">
        <f>INT(Clean_Data[[#This Row],[OrderHour]]/6)+1</f>
        <v>3</v>
      </c>
      <c r="W804" s="3">
        <f>IF(Clean_Data[[#This Row],[Status]]="Delivered",1,0)</f>
        <v>1</v>
      </c>
      <c r="X804" s="3">
        <f>IF(Clean_Data[[#This Row],[Status]]="Delivered",IF(Clean_Data[[#This Row],[DeliveryMinutes]]&lt;=Dashboard!$X$5,1,0),0)</f>
        <v>1</v>
      </c>
      <c r="Y80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4" s="3">
        <f>IF(AND(Clean_Data[[#This Row],[Include]]=1,Clean_Data[[#This Row],[DeliveredFlag]]=1),1,0)</f>
        <v>1</v>
      </c>
      <c r="AA804" s="1">
        <f>IF(COUNTIF($D$2:D804,D804)=1,ROW()-1,ROWS(Clean_Data[OrderID])+1)</f>
        <v>901</v>
      </c>
      <c r="AB804" s="1">
        <f>IF(COUNTIF($F$2:F804,F804)=1,ROW()-1,ROWS(Clean_Data[OrderID])+1)</f>
        <v>901</v>
      </c>
      <c r="AC804" s="1">
        <f>IF(COUNTIF($G$2:G804,G804)=1,ROW()-1,ROWS(Clean_Data[OrderID])+1)</f>
        <v>901</v>
      </c>
      <c r="AD804" s="1">
        <f>IF(COUNTIF($H$2:H804,H804)=1,ROW()-1,ROWS(Clean_Data[OrderID])+1)</f>
        <v>901</v>
      </c>
      <c r="AE804" s="1">
        <f>IF(COUNTIF($V$2:V804,V804)=1,V804,ROWS(Clean_Data[OrderID])+1)</f>
        <v>901</v>
      </c>
      <c r="AF804" s="1">
        <f>IF(COUNTIF($U$2:U804,U804)=1,U804,ROWS(Clean_Data[OrderID])+1)</f>
        <v>901</v>
      </c>
      <c r="AG804" s="1">
        <f>IF(COUNTIF($E$2:E804,E804)=1,ROW()-1,ROWS(Clean_Data[OrderID])+1)</f>
        <v>901</v>
      </c>
    </row>
    <row r="805" spans="1:33" ht="20" customHeight="1">
      <c r="A805" s="3" t="s">
        <v>1209</v>
      </c>
      <c r="B805" s="2">
        <v>46292</v>
      </c>
      <c r="C805" s="3">
        <v>7</v>
      </c>
      <c r="D805" s="3" t="s">
        <v>615</v>
      </c>
      <c r="E805" s="3" t="s">
        <v>91</v>
      </c>
      <c r="F805" s="3" t="s">
        <v>92</v>
      </c>
      <c r="G805" s="3" t="s">
        <v>99</v>
      </c>
      <c r="H805" s="3" t="s">
        <v>100</v>
      </c>
      <c r="I805" s="3">
        <v>4</v>
      </c>
      <c r="J805" s="11">
        <v>120</v>
      </c>
      <c r="K805" s="4">
        <v>0.15</v>
      </c>
      <c r="L805" s="3" t="s">
        <v>95</v>
      </c>
      <c r="M805" s="3">
        <v>36</v>
      </c>
      <c r="N805" s="3">
        <v>9</v>
      </c>
      <c r="O805" s="3">
        <v>4</v>
      </c>
      <c r="P805" s="11">
        <f>Clean_Data[[#This Row],[Quantity]]*Clean_Data[[#This Row],[UnitPrice]]</f>
        <v>480</v>
      </c>
      <c r="Q805" s="11">
        <f>ROUND(Clean_Data[[#This Row],[GrossSales]]*Clean_Data[[#This Row],[DiscountPct]],2)</f>
        <v>72</v>
      </c>
      <c r="R805" s="11">
        <f>IF(Clean_Data[[#This Row],[Status]]="Delivered",ROUND(Clean_Data[[#This Row],[GrossSales]]-Clean_Data[[#This Row],[DiscountAmount]],2),0)</f>
        <v>408</v>
      </c>
      <c r="S805" s="3" t="str">
        <f>IF(Clean_Data[[#This Row],[OrderHour]]&lt;6,"Night",IF(Clean_Data[[#This Row],[OrderHour]]&lt;12,"Morning",IF(Clean_Data[[#This Row],[OrderHour]]&lt;18,"Afternoon","Evening")))</f>
        <v>Morning</v>
      </c>
      <c r="T805" s="3" t="str">
        <f>TEXT(Clean_Data[[#This Row],[OrderDate]],"[$-409]ddd")</f>
        <v>Sun</v>
      </c>
      <c r="U805" s="3">
        <f>WEEKDAY(Clean_Data[[#This Row],[OrderDate]],2)</f>
        <v>7</v>
      </c>
      <c r="V805" s="3">
        <f>INT(Clean_Data[[#This Row],[OrderHour]]/6)+1</f>
        <v>2</v>
      </c>
      <c r="W805" s="3">
        <f>IF(Clean_Data[[#This Row],[Status]]="Delivered",1,0)</f>
        <v>1</v>
      </c>
      <c r="X805" s="3">
        <f>IF(Clean_Data[[#This Row],[Status]]="Delivered",IF(Clean_Data[[#This Row],[DeliveryMinutes]]&lt;=Dashboard!$X$5,1,0),0)</f>
        <v>0</v>
      </c>
      <c r="Y80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5" s="3">
        <f>IF(AND(Clean_Data[[#This Row],[Include]]=1,Clean_Data[[#This Row],[DeliveredFlag]]=1),1,0)</f>
        <v>1</v>
      </c>
      <c r="AA805" s="1">
        <f>IF(COUNTIF($D$2:D805,D805)=1,ROW()-1,ROWS(Clean_Data[OrderID])+1)</f>
        <v>901</v>
      </c>
      <c r="AB805" s="1">
        <f>IF(COUNTIF($F$2:F805,F805)=1,ROW()-1,ROWS(Clean_Data[OrderID])+1)</f>
        <v>901</v>
      </c>
      <c r="AC805" s="1">
        <f>IF(COUNTIF($G$2:G805,G805)=1,ROW()-1,ROWS(Clean_Data[OrderID])+1)</f>
        <v>901</v>
      </c>
      <c r="AD805" s="1">
        <f>IF(COUNTIF($H$2:H805,H805)=1,ROW()-1,ROWS(Clean_Data[OrderID])+1)</f>
        <v>901</v>
      </c>
      <c r="AE805" s="1">
        <f>IF(COUNTIF($V$2:V805,V805)=1,V805,ROWS(Clean_Data[OrderID])+1)</f>
        <v>901</v>
      </c>
      <c r="AF805" s="1">
        <f>IF(COUNTIF($U$2:U805,U805)=1,U805,ROWS(Clean_Data[OrderID])+1)</f>
        <v>901</v>
      </c>
      <c r="AG805" s="1">
        <f>IF(COUNTIF($E$2:E805,E805)=1,ROW()-1,ROWS(Clean_Data[OrderID])+1)</f>
        <v>901</v>
      </c>
    </row>
    <row r="806" spans="1:33" ht="20" customHeight="1">
      <c r="A806" s="3" t="s">
        <v>1210</v>
      </c>
      <c r="B806" s="2">
        <v>46292</v>
      </c>
      <c r="C806" s="3">
        <v>12</v>
      </c>
      <c r="D806" s="3" t="s">
        <v>276</v>
      </c>
      <c r="E806" s="3" t="s">
        <v>117</v>
      </c>
      <c r="F806" s="3" t="s">
        <v>98</v>
      </c>
      <c r="G806" s="3" t="s">
        <v>99</v>
      </c>
      <c r="H806" s="3" t="s">
        <v>100</v>
      </c>
      <c r="I806" s="3">
        <v>2</v>
      </c>
      <c r="J806" s="11">
        <v>120</v>
      </c>
      <c r="K806" s="4">
        <v>0.05</v>
      </c>
      <c r="L806" s="3" t="s">
        <v>95</v>
      </c>
      <c r="M806" s="3">
        <v>22</v>
      </c>
      <c r="N806" s="3">
        <v>13</v>
      </c>
      <c r="O806" s="3">
        <v>3</v>
      </c>
      <c r="P806" s="11">
        <f>Clean_Data[[#This Row],[Quantity]]*Clean_Data[[#This Row],[UnitPrice]]</f>
        <v>240</v>
      </c>
      <c r="Q806" s="11">
        <f>ROUND(Clean_Data[[#This Row],[GrossSales]]*Clean_Data[[#This Row],[DiscountPct]],2)</f>
        <v>12</v>
      </c>
      <c r="R806" s="11">
        <f>IF(Clean_Data[[#This Row],[Status]]="Delivered",ROUND(Clean_Data[[#This Row],[GrossSales]]-Clean_Data[[#This Row],[DiscountAmount]],2),0)</f>
        <v>228</v>
      </c>
      <c r="S806" s="3" t="str">
        <f>IF(Clean_Data[[#This Row],[OrderHour]]&lt;6,"Night",IF(Clean_Data[[#This Row],[OrderHour]]&lt;12,"Morning",IF(Clean_Data[[#This Row],[OrderHour]]&lt;18,"Afternoon","Evening")))</f>
        <v>Afternoon</v>
      </c>
      <c r="T806" s="3" t="str">
        <f>TEXT(Clean_Data[[#This Row],[OrderDate]],"[$-409]ddd")</f>
        <v>Sun</v>
      </c>
      <c r="U806" s="3">
        <f>WEEKDAY(Clean_Data[[#This Row],[OrderDate]],2)</f>
        <v>7</v>
      </c>
      <c r="V806" s="3">
        <f>INT(Clean_Data[[#This Row],[OrderHour]]/6)+1</f>
        <v>3</v>
      </c>
      <c r="W806" s="3">
        <f>IF(Clean_Data[[#This Row],[Status]]="Delivered",1,0)</f>
        <v>1</v>
      </c>
      <c r="X806" s="3">
        <f>IF(Clean_Data[[#This Row],[Status]]="Delivered",IF(Clean_Data[[#This Row],[DeliveryMinutes]]&lt;=Dashboard!$X$5,1,0),0)</f>
        <v>1</v>
      </c>
      <c r="Y80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6" s="3">
        <f>IF(AND(Clean_Data[[#This Row],[Include]]=1,Clean_Data[[#This Row],[DeliveredFlag]]=1),1,0)</f>
        <v>1</v>
      </c>
      <c r="AA806" s="1">
        <f>IF(COUNTIF($D$2:D806,D806)=1,ROW()-1,ROWS(Clean_Data[OrderID])+1)</f>
        <v>901</v>
      </c>
      <c r="AB806" s="1">
        <f>IF(COUNTIF($F$2:F806,F806)=1,ROW()-1,ROWS(Clean_Data[OrderID])+1)</f>
        <v>901</v>
      </c>
      <c r="AC806" s="1">
        <f>IF(COUNTIF($G$2:G806,G806)=1,ROW()-1,ROWS(Clean_Data[OrderID])+1)</f>
        <v>901</v>
      </c>
      <c r="AD806" s="1">
        <f>IF(COUNTIF($H$2:H806,H806)=1,ROW()-1,ROWS(Clean_Data[OrderID])+1)</f>
        <v>901</v>
      </c>
      <c r="AE806" s="1">
        <f>IF(COUNTIF($V$2:V806,V806)=1,V806,ROWS(Clean_Data[OrderID])+1)</f>
        <v>901</v>
      </c>
      <c r="AF806" s="1">
        <f>IF(COUNTIF($U$2:U806,U806)=1,U806,ROWS(Clean_Data[OrderID])+1)</f>
        <v>901</v>
      </c>
      <c r="AG806" s="1">
        <f>IF(COUNTIF($E$2:E806,E806)=1,ROW()-1,ROWS(Clean_Data[OrderID])+1)</f>
        <v>901</v>
      </c>
    </row>
    <row r="807" spans="1:33" ht="20" customHeight="1">
      <c r="A807" s="3" t="s">
        <v>1211</v>
      </c>
      <c r="B807" s="2">
        <v>46292</v>
      </c>
      <c r="C807" s="3">
        <v>21</v>
      </c>
      <c r="D807" s="3" t="s">
        <v>232</v>
      </c>
      <c r="E807" s="3" t="s">
        <v>91</v>
      </c>
      <c r="F807" s="3" t="s">
        <v>98</v>
      </c>
      <c r="G807" s="3" t="s">
        <v>174</v>
      </c>
      <c r="H807" s="3" t="s">
        <v>184</v>
      </c>
      <c r="I807" s="3">
        <v>1</v>
      </c>
      <c r="J807" s="11">
        <v>62</v>
      </c>
      <c r="K807" s="4">
        <v>0</v>
      </c>
      <c r="L807" s="3" t="s">
        <v>95</v>
      </c>
      <c r="M807" s="3">
        <v>29</v>
      </c>
      <c r="N807" s="3">
        <v>9</v>
      </c>
      <c r="O807" s="3">
        <v>5</v>
      </c>
      <c r="P807" s="11">
        <f>Clean_Data[[#This Row],[Quantity]]*Clean_Data[[#This Row],[UnitPrice]]</f>
        <v>62</v>
      </c>
      <c r="Q807" s="11">
        <f>ROUND(Clean_Data[[#This Row],[GrossSales]]*Clean_Data[[#This Row],[DiscountPct]],2)</f>
        <v>0</v>
      </c>
      <c r="R807" s="11">
        <f>IF(Clean_Data[[#This Row],[Status]]="Delivered",ROUND(Clean_Data[[#This Row],[GrossSales]]-Clean_Data[[#This Row],[DiscountAmount]],2),0)</f>
        <v>62</v>
      </c>
      <c r="S807" s="3" t="str">
        <f>IF(Clean_Data[[#This Row],[OrderHour]]&lt;6,"Night",IF(Clean_Data[[#This Row],[OrderHour]]&lt;12,"Morning",IF(Clean_Data[[#This Row],[OrderHour]]&lt;18,"Afternoon","Evening")))</f>
        <v>Evening</v>
      </c>
      <c r="T807" s="3" t="str">
        <f>TEXT(Clean_Data[[#This Row],[OrderDate]],"[$-409]ddd")</f>
        <v>Sun</v>
      </c>
      <c r="U807" s="3">
        <f>WEEKDAY(Clean_Data[[#This Row],[OrderDate]],2)</f>
        <v>7</v>
      </c>
      <c r="V807" s="3">
        <f>INT(Clean_Data[[#This Row],[OrderHour]]/6)+1</f>
        <v>4</v>
      </c>
      <c r="W807" s="3">
        <f>IF(Clean_Data[[#This Row],[Status]]="Delivered",1,0)</f>
        <v>1</v>
      </c>
      <c r="X807" s="3">
        <f>IF(Clean_Data[[#This Row],[Status]]="Delivered",IF(Clean_Data[[#This Row],[DeliveryMinutes]]&lt;=Dashboard!$X$5,1,0),0)</f>
        <v>1</v>
      </c>
      <c r="Y80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7" s="3">
        <f>IF(AND(Clean_Data[[#This Row],[Include]]=1,Clean_Data[[#This Row],[DeliveredFlag]]=1),1,0)</f>
        <v>1</v>
      </c>
      <c r="AA807" s="1">
        <f>IF(COUNTIF($D$2:D807,D807)=1,ROW()-1,ROWS(Clean_Data[OrderID])+1)</f>
        <v>901</v>
      </c>
      <c r="AB807" s="1">
        <f>IF(COUNTIF($F$2:F807,F807)=1,ROW()-1,ROWS(Clean_Data[OrderID])+1)</f>
        <v>901</v>
      </c>
      <c r="AC807" s="1">
        <f>IF(COUNTIF($G$2:G807,G807)=1,ROW()-1,ROWS(Clean_Data[OrderID])+1)</f>
        <v>901</v>
      </c>
      <c r="AD807" s="1">
        <f>IF(COUNTIF($H$2:H807,H807)=1,ROW()-1,ROWS(Clean_Data[OrderID])+1)</f>
        <v>901</v>
      </c>
      <c r="AE807" s="1">
        <f>IF(COUNTIF($V$2:V807,V807)=1,V807,ROWS(Clean_Data[OrderID])+1)</f>
        <v>901</v>
      </c>
      <c r="AF807" s="1">
        <f>IF(COUNTIF($U$2:U807,U807)=1,U807,ROWS(Clean_Data[OrderID])+1)</f>
        <v>901</v>
      </c>
      <c r="AG807" s="1">
        <f>IF(COUNTIF($E$2:E807,E807)=1,ROW()-1,ROWS(Clean_Data[OrderID])+1)</f>
        <v>901</v>
      </c>
    </row>
    <row r="808" spans="1:33" ht="20" customHeight="1">
      <c r="A808" s="3" t="s">
        <v>1212</v>
      </c>
      <c r="B808" s="2">
        <v>46292</v>
      </c>
      <c r="C808" s="3">
        <v>10</v>
      </c>
      <c r="D808" s="3" t="s">
        <v>411</v>
      </c>
      <c r="E808" s="3" t="s">
        <v>91</v>
      </c>
      <c r="F808" s="3" t="s">
        <v>109</v>
      </c>
      <c r="G808" s="3" t="s">
        <v>99</v>
      </c>
      <c r="H808" s="3" t="s">
        <v>130</v>
      </c>
      <c r="I808" s="3">
        <v>6</v>
      </c>
      <c r="J808" s="11">
        <v>85</v>
      </c>
      <c r="K808" s="4">
        <v>0</v>
      </c>
      <c r="L808" s="3" t="s">
        <v>95</v>
      </c>
      <c r="M808" s="3">
        <v>27</v>
      </c>
      <c r="N808" s="3">
        <v>14</v>
      </c>
      <c r="O808" s="3">
        <v>5</v>
      </c>
      <c r="P808" s="11">
        <f>Clean_Data[[#This Row],[Quantity]]*Clean_Data[[#This Row],[UnitPrice]]</f>
        <v>510</v>
      </c>
      <c r="Q808" s="11">
        <f>ROUND(Clean_Data[[#This Row],[GrossSales]]*Clean_Data[[#This Row],[DiscountPct]],2)</f>
        <v>0</v>
      </c>
      <c r="R808" s="11">
        <f>IF(Clean_Data[[#This Row],[Status]]="Delivered",ROUND(Clean_Data[[#This Row],[GrossSales]]-Clean_Data[[#This Row],[DiscountAmount]],2),0)</f>
        <v>510</v>
      </c>
      <c r="S808" s="3" t="str">
        <f>IF(Clean_Data[[#This Row],[OrderHour]]&lt;6,"Night",IF(Clean_Data[[#This Row],[OrderHour]]&lt;12,"Morning",IF(Clean_Data[[#This Row],[OrderHour]]&lt;18,"Afternoon","Evening")))</f>
        <v>Morning</v>
      </c>
      <c r="T808" s="3" t="str">
        <f>TEXT(Clean_Data[[#This Row],[OrderDate]],"[$-409]ddd")</f>
        <v>Sun</v>
      </c>
      <c r="U808" s="3">
        <f>WEEKDAY(Clean_Data[[#This Row],[OrderDate]],2)</f>
        <v>7</v>
      </c>
      <c r="V808" s="3">
        <f>INT(Clean_Data[[#This Row],[OrderHour]]/6)+1</f>
        <v>2</v>
      </c>
      <c r="W808" s="3">
        <f>IF(Clean_Data[[#This Row],[Status]]="Delivered",1,0)</f>
        <v>1</v>
      </c>
      <c r="X808" s="3">
        <f>IF(Clean_Data[[#This Row],[Status]]="Delivered",IF(Clean_Data[[#This Row],[DeliveryMinutes]]&lt;=Dashboard!$X$5,1,0),0)</f>
        <v>1</v>
      </c>
      <c r="Y80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8" s="3">
        <f>IF(AND(Clean_Data[[#This Row],[Include]]=1,Clean_Data[[#This Row],[DeliveredFlag]]=1),1,0)</f>
        <v>1</v>
      </c>
      <c r="AA808" s="1">
        <f>IF(COUNTIF($D$2:D808,D808)=1,ROW()-1,ROWS(Clean_Data[OrderID])+1)</f>
        <v>901</v>
      </c>
      <c r="AB808" s="1">
        <f>IF(COUNTIF($F$2:F808,F808)=1,ROW()-1,ROWS(Clean_Data[OrderID])+1)</f>
        <v>901</v>
      </c>
      <c r="AC808" s="1">
        <f>IF(COUNTIF($G$2:G808,G808)=1,ROW()-1,ROWS(Clean_Data[OrderID])+1)</f>
        <v>901</v>
      </c>
      <c r="AD808" s="1">
        <f>IF(COUNTIF($H$2:H808,H808)=1,ROW()-1,ROWS(Clean_Data[OrderID])+1)</f>
        <v>901</v>
      </c>
      <c r="AE808" s="1">
        <f>IF(COUNTIF($V$2:V808,V808)=1,V808,ROWS(Clean_Data[OrderID])+1)</f>
        <v>901</v>
      </c>
      <c r="AF808" s="1">
        <f>IF(COUNTIF($U$2:U808,U808)=1,U808,ROWS(Clean_Data[OrderID])+1)</f>
        <v>901</v>
      </c>
      <c r="AG808" s="1">
        <f>IF(COUNTIF($E$2:E808,E808)=1,ROW()-1,ROWS(Clean_Data[OrderID])+1)</f>
        <v>901</v>
      </c>
    </row>
    <row r="809" spans="1:33" ht="20" customHeight="1">
      <c r="A809" s="3" t="s">
        <v>1213</v>
      </c>
      <c r="B809" s="2">
        <v>46292</v>
      </c>
      <c r="C809" s="3">
        <v>17</v>
      </c>
      <c r="D809" s="3" t="s">
        <v>396</v>
      </c>
      <c r="E809" s="3" t="s">
        <v>91</v>
      </c>
      <c r="F809" s="3" t="s">
        <v>139</v>
      </c>
      <c r="G809" s="3" t="s">
        <v>93</v>
      </c>
      <c r="H809" s="3" t="s">
        <v>94</v>
      </c>
      <c r="I809" s="3">
        <v>2</v>
      </c>
      <c r="J809" s="11">
        <v>95</v>
      </c>
      <c r="K809" s="4">
        <v>0</v>
      </c>
      <c r="L809" s="3" t="s">
        <v>95</v>
      </c>
      <c r="M809" s="3">
        <v>21</v>
      </c>
      <c r="N809" s="3">
        <v>13</v>
      </c>
      <c r="O809" s="3">
        <v>5</v>
      </c>
      <c r="P809" s="11">
        <f>Clean_Data[[#This Row],[Quantity]]*Clean_Data[[#This Row],[UnitPrice]]</f>
        <v>190</v>
      </c>
      <c r="Q809" s="11">
        <f>ROUND(Clean_Data[[#This Row],[GrossSales]]*Clean_Data[[#This Row],[DiscountPct]],2)</f>
        <v>0</v>
      </c>
      <c r="R809" s="11">
        <f>IF(Clean_Data[[#This Row],[Status]]="Delivered",ROUND(Clean_Data[[#This Row],[GrossSales]]-Clean_Data[[#This Row],[DiscountAmount]],2),0)</f>
        <v>190</v>
      </c>
      <c r="S809" s="3" t="str">
        <f>IF(Clean_Data[[#This Row],[OrderHour]]&lt;6,"Night",IF(Clean_Data[[#This Row],[OrderHour]]&lt;12,"Morning",IF(Clean_Data[[#This Row],[OrderHour]]&lt;18,"Afternoon","Evening")))</f>
        <v>Afternoon</v>
      </c>
      <c r="T809" s="3" t="str">
        <f>TEXT(Clean_Data[[#This Row],[OrderDate]],"[$-409]ddd")</f>
        <v>Sun</v>
      </c>
      <c r="U809" s="3">
        <f>WEEKDAY(Clean_Data[[#This Row],[OrderDate]],2)</f>
        <v>7</v>
      </c>
      <c r="V809" s="3">
        <f>INT(Clean_Data[[#This Row],[OrderHour]]/6)+1</f>
        <v>3</v>
      </c>
      <c r="W809" s="3">
        <f>IF(Clean_Data[[#This Row],[Status]]="Delivered",1,0)</f>
        <v>1</v>
      </c>
      <c r="X809" s="3">
        <f>IF(Clean_Data[[#This Row],[Status]]="Delivered",IF(Clean_Data[[#This Row],[DeliveryMinutes]]&lt;=Dashboard!$X$5,1,0),0)</f>
        <v>1</v>
      </c>
      <c r="Y80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09" s="3">
        <f>IF(AND(Clean_Data[[#This Row],[Include]]=1,Clean_Data[[#This Row],[DeliveredFlag]]=1),1,0)</f>
        <v>1</v>
      </c>
      <c r="AA809" s="1">
        <f>IF(COUNTIF($D$2:D809,D809)=1,ROW()-1,ROWS(Clean_Data[OrderID])+1)</f>
        <v>901</v>
      </c>
      <c r="AB809" s="1">
        <f>IF(COUNTIF($F$2:F809,F809)=1,ROW()-1,ROWS(Clean_Data[OrderID])+1)</f>
        <v>901</v>
      </c>
      <c r="AC809" s="1">
        <f>IF(COUNTIF($G$2:G809,G809)=1,ROW()-1,ROWS(Clean_Data[OrderID])+1)</f>
        <v>901</v>
      </c>
      <c r="AD809" s="1">
        <f>IF(COUNTIF($H$2:H809,H809)=1,ROW()-1,ROWS(Clean_Data[OrderID])+1)</f>
        <v>901</v>
      </c>
      <c r="AE809" s="1">
        <f>IF(COUNTIF($V$2:V809,V809)=1,V809,ROWS(Clean_Data[OrderID])+1)</f>
        <v>901</v>
      </c>
      <c r="AF809" s="1">
        <f>IF(COUNTIF($U$2:U809,U809)=1,U809,ROWS(Clean_Data[OrderID])+1)</f>
        <v>901</v>
      </c>
      <c r="AG809" s="1">
        <f>IF(COUNTIF($E$2:E809,E809)=1,ROW()-1,ROWS(Clean_Data[OrderID])+1)</f>
        <v>901</v>
      </c>
    </row>
    <row r="810" spans="1:33" ht="20" customHeight="1">
      <c r="A810" s="3" t="s">
        <v>1214</v>
      </c>
      <c r="B810" s="2">
        <v>46292</v>
      </c>
      <c r="C810" s="3">
        <v>8</v>
      </c>
      <c r="D810" s="3" t="s">
        <v>388</v>
      </c>
      <c r="E810" s="3" t="s">
        <v>91</v>
      </c>
      <c r="F810" s="3" t="s">
        <v>139</v>
      </c>
      <c r="G810" s="3" t="s">
        <v>99</v>
      </c>
      <c r="H810" s="3" t="s">
        <v>130</v>
      </c>
      <c r="I810" s="3">
        <v>4</v>
      </c>
      <c r="J810" s="11">
        <v>85</v>
      </c>
      <c r="K810" s="4">
        <v>0</v>
      </c>
      <c r="L810" s="3" t="s">
        <v>95</v>
      </c>
      <c r="M810" s="3">
        <v>30</v>
      </c>
      <c r="N810" s="3">
        <v>12</v>
      </c>
      <c r="O810" s="3">
        <v>4</v>
      </c>
      <c r="P810" s="11">
        <f>Clean_Data[[#This Row],[Quantity]]*Clean_Data[[#This Row],[UnitPrice]]</f>
        <v>340</v>
      </c>
      <c r="Q810" s="11">
        <f>ROUND(Clean_Data[[#This Row],[GrossSales]]*Clean_Data[[#This Row],[DiscountPct]],2)</f>
        <v>0</v>
      </c>
      <c r="R810" s="11">
        <f>IF(Clean_Data[[#This Row],[Status]]="Delivered",ROUND(Clean_Data[[#This Row],[GrossSales]]-Clean_Data[[#This Row],[DiscountAmount]],2),0)</f>
        <v>340</v>
      </c>
      <c r="S810" s="3" t="str">
        <f>IF(Clean_Data[[#This Row],[OrderHour]]&lt;6,"Night",IF(Clean_Data[[#This Row],[OrderHour]]&lt;12,"Morning",IF(Clean_Data[[#This Row],[OrderHour]]&lt;18,"Afternoon","Evening")))</f>
        <v>Morning</v>
      </c>
      <c r="T810" s="3" t="str">
        <f>TEXT(Clean_Data[[#This Row],[OrderDate]],"[$-409]ddd")</f>
        <v>Sun</v>
      </c>
      <c r="U810" s="3">
        <f>WEEKDAY(Clean_Data[[#This Row],[OrderDate]],2)</f>
        <v>7</v>
      </c>
      <c r="V810" s="3">
        <f>INT(Clean_Data[[#This Row],[OrderHour]]/6)+1</f>
        <v>2</v>
      </c>
      <c r="W810" s="3">
        <f>IF(Clean_Data[[#This Row],[Status]]="Delivered",1,0)</f>
        <v>1</v>
      </c>
      <c r="X810" s="3">
        <f>IF(Clean_Data[[#This Row],[Status]]="Delivered",IF(Clean_Data[[#This Row],[DeliveryMinutes]]&lt;=Dashboard!$X$5,1,0),0)</f>
        <v>1</v>
      </c>
      <c r="Y81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0" s="3">
        <f>IF(AND(Clean_Data[[#This Row],[Include]]=1,Clean_Data[[#This Row],[DeliveredFlag]]=1),1,0)</f>
        <v>1</v>
      </c>
      <c r="AA810" s="1">
        <f>IF(COUNTIF($D$2:D810,D810)=1,ROW()-1,ROWS(Clean_Data[OrderID])+1)</f>
        <v>901</v>
      </c>
      <c r="AB810" s="1">
        <f>IF(COUNTIF($F$2:F810,F810)=1,ROW()-1,ROWS(Clean_Data[OrderID])+1)</f>
        <v>901</v>
      </c>
      <c r="AC810" s="1">
        <f>IF(COUNTIF($G$2:G810,G810)=1,ROW()-1,ROWS(Clean_Data[OrderID])+1)</f>
        <v>901</v>
      </c>
      <c r="AD810" s="1">
        <f>IF(COUNTIF($H$2:H810,H810)=1,ROW()-1,ROWS(Clean_Data[OrderID])+1)</f>
        <v>901</v>
      </c>
      <c r="AE810" s="1">
        <f>IF(COUNTIF($V$2:V810,V810)=1,V810,ROWS(Clean_Data[OrderID])+1)</f>
        <v>901</v>
      </c>
      <c r="AF810" s="1">
        <f>IF(COUNTIF($U$2:U810,U810)=1,U810,ROWS(Clean_Data[OrderID])+1)</f>
        <v>901</v>
      </c>
      <c r="AG810" s="1">
        <f>IF(COUNTIF($E$2:E810,E810)=1,ROW()-1,ROWS(Clean_Data[OrderID])+1)</f>
        <v>901</v>
      </c>
    </row>
    <row r="811" spans="1:33" ht="20" customHeight="1">
      <c r="A811" s="3" t="s">
        <v>1215</v>
      </c>
      <c r="B811" s="2">
        <v>46292</v>
      </c>
      <c r="C811" s="3">
        <v>14</v>
      </c>
      <c r="D811" s="3" t="s">
        <v>1064</v>
      </c>
      <c r="E811" s="3" t="s">
        <v>91</v>
      </c>
      <c r="F811" s="3" t="s">
        <v>109</v>
      </c>
      <c r="G811" s="3" t="s">
        <v>122</v>
      </c>
      <c r="H811" s="3" t="s">
        <v>123</v>
      </c>
      <c r="I811" s="3">
        <v>2</v>
      </c>
      <c r="J811" s="11">
        <v>45</v>
      </c>
      <c r="K811" s="4">
        <v>0.05</v>
      </c>
      <c r="L811" s="3" t="s">
        <v>95</v>
      </c>
      <c r="M811" s="3">
        <v>37</v>
      </c>
      <c r="N811" s="3">
        <v>8</v>
      </c>
      <c r="O811" s="3">
        <v>3</v>
      </c>
      <c r="P811" s="11">
        <f>Clean_Data[[#This Row],[Quantity]]*Clean_Data[[#This Row],[UnitPrice]]</f>
        <v>90</v>
      </c>
      <c r="Q811" s="11">
        <f>ROUND(Clean_Data[[#This Row],[GrossSales]]*Clean_Data[[#This Row],[DiscountPct]],2)</f>
        <v>4.5</v>
      </c>
      <c r="R811" s="11">
        <f>IF(Clean_Data[[#This Row],[Status]]="Delivered",ROUND(Clean_Data[[#This Row],[GrossSales]]-Clean_Data[[#This Row],[DiscountAmount]],2),0)</f>
        <v>85.5</v>
      </c>
      <c r="S811" s="3" t="str">
        <f>IF(Clean_Data[[#This Row],[OrderHour]]&lt;6,"Night",IF(Clean_Data[[#This Row],[OrderHour]]&lt;12,"Morning",IF(Clean_Data[[#This Row],[OrderHour]]&lt;18,"Afternoon","Evening")))</f>
        <v>Afternoon</v>
      </c>
      <c r="T811" s="3" t="str">
        <f>TEXT(Clean_Data[[#This Row],[OrderDate]],"[$-409]ddd")</f>
        <v>Sun</v>
      </c>
      <c r="U811" s="3">
        <f>WEEKDAY(Clean_Data[[#This Row],[OrderDate]],2)</f>
        <v>7</v>
      </c>
      <c r="V811" s="3">
        <f>INT(Clean_Data[[#This Row],[OrderHour]]/6)+1</f>
        <v>3</v>
      </c>
      <c r="W811" s="3">
        <f>IF(Clean_Data[[#This Row],[Status]]="Delivered",1,0)</f>
        <v>1</v>
      </c>
      <c r="X811" s="3">
        <f>IF(Clean_Data[[#This Row],[Status]]="Delivered",IF(Clean_Data[[#This Row],[DeliveryMinutes]]&lt;=Dashboard!$X$5,1,0),0)</f>
        <v>0</v>
      </c>
      <c r="Y81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1" s="3">
        <f>IF(AND(Clean_Data[[#This Row],[Include]]=1,Clean_Data[[#This Row],[DeliveredFlag]]=1),1,0)</f>
        <v>1</v>
      </c>
      <c r="AA811" s="1">
        <f>IF(COUNTIF($D$2:D811,D811)=1,ROW()-1,ROWS(Clean_Data[OrderID])+1)</f>
        <v>901</v>
      </c>
      <c r="AB811" s="1">
        <f>IF(COUNTIF($F$2:F811,F811)=1,ROW()-1,ROWS(Clean_Data[OrderID])+1)</f>
        <v>901</v>
      </c>
      <c r="AC811" s="1">
        <f>IF(COUNTIF($G$2:G811,G811)=1,ROW()-1,ROWS(Clean_Data[OrderID])+1)</f>
        <v>901</v>
      </c>
      <c r="AD811" s="1">
        <f>IF(COUNTIF($H$2:H811,H811)=1,ROW()-1,ROWS(Clean_Data[OrderID])+1)</f>
        <v>901</v>
      </c>
      <c r="AE811" s="1">
        <f>IF(COUNTIF($V$2:V811,V811)=1,V811,ROWS(Clean_Data[OrderID])+1)</f>
        <v>901</v>
      </c>
      <c r="AF811" s="1">
        <f>IF(COUNTIF($U$2:U811,U811)=1,U811,ROWS(Clean_Data[OrderID])+1)</f>
        <v>901</v>
      </c>
      <c r="AG811" s="1">
        <f>IF(COUNTIF($E$2:E811,E811)=1,ROW()-1,ROWS(Clean_Data[OrderID])+1)</f>
        <v>901</v>
      </c>
    </row>
    <row r="812" spans="1:33" ht="20" customHeight="1">
      <c r="A812" s="3" t="s">
        <v>1216</v>
      </c>
      <c r="B812" s="2">
        <v>46293</v>
      </c>
      <c r="C812" s="3">
        <v>22</v>
      </c>
      <c r="D812" s="3" t="s">
        <v>347</v>
      </c>
      <c r="E812" s="3" t="s">
        <v>91</v>
      </c>
      <c r="F812" s="3" t="s">
        <v>98</v>
      </c>
      <c r="G812" s="3" t="s">
        <v>110</v>
      </c>
      <c r="H812" s="3" t="s">
        <v>206</v>
      </c>
      <c r="I812" s="3">
        <v>5</v>
      </c>
      <c r="J812" s="11">
        <v>220</v>
      </c>
      <c r="K812" s="4">
        <v>0.05</v>
      </c>
      <c r="L812" s="3" t="s">
        <v>95</v>
      </c>
      <c r="M812" s="3">
        <v>15</v>
      </c>
      <c r="N812" s="3">
        <v>13</v>
      </c>
      <c r="O812" s="3">
        <v>4</v>
      </c>
      <c r="P812" s="11">
        <f>Clean_Data[[#This Row],[Quantity]]*Clean_Data[[#This Row],[UnitPrice]]</f>
        <v>1100</v>
      </c>
      <c r="Q812" s="11">
        <f>ROUND(Clean_Data[[#This Row],[GrossSales]]*Clean_Data[[#This Row],[DiscountPct]],2)</f>
        <v>55</v>
      </c>
      <c r="R812" s="11">
        <f>IF(Clean_Data[[#This Row],[Status]]="Delivered",ROUND(Clean_Data[[#This Row],[GrossSales]]-Clean_Data[[#This Row],[DiscountAmount]],2),0)</f>
        <v>1045</v>
      </c>
      <c r="S812" s="3" t="str">
        <f>IF(Clean_Data[[#This Row],[OrderHour]]&lt;6,"Night",IF(Clean_Data[[#This Row],[OrderHour]]&lt;12,"Morning",IF(Clean_Data[[#This Row],[OrderHour]]&lt;18,"Afternoon","Evening")))</f>
        <v>Evening</v>
      </c>
      <c r="T812" s="3" t="str">
        <f>TEXT(Clean_Data[[#This Row],[OrderDate]],"[$-409]ddd")</f>
        <v>Mon</v>
      </c>
      <c r="U812" s="3">
        <f>WEEKDAY(Clean_Data[[#This Row],[OrderDate]],2)</f>
        <v>1</v>
      </c>
      <c r="V812" s="3">
        <f>INT(Clean_Data[[#This Row],[OrderHour]]/6)+1</f>
        <v>4</v>
      </c>
      <c r="W812" s="3">
        <f>IF(Clean_Data[[#This Row],[Status]]="Delivered",1,0)</f>
        <v>1</v>
      </c>
      <c r="X812" s="3">
        <f>IF(Clean_Data[[#This Row],[Status]]="Delivered",IF(Clean_Data[[#This Row],[DeliveryMinutes]]&lt;=Dashboard!$X$5,1,0),0)</f>
        <v>1</v>
      </c>
      <c r="Y81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2" s="3">
        <f>IF(AND(Clean_Data[[#This Row],[Include]]=1,Clean_Data[[#This Row],[DeliveredFlag]]=1),1,0)</f>
        <v>1</v>
      </c>
      <c r="AA812" s="1">
        <f>IF(COUNTIF($D$2:D812,D812)=1,ROW()-1,ROWS(Clean_Data[OrderID])+1)</f>
        <v>901</v>
      </c>
      <c r="AB812" s="1">
        <f>IF(COUNTIF($F$2:F812,F812)=1,ROW()-1,ROWS(Clean_Data[OrderID])+1)</f>
        <v>901</v>
      </c>
      <c r="AC812" s="1">
        <f>IF(COUNTIF($G$2:G812,G812)=1,ROW()-1,ROWS(Clean_Data[OrderID])+1)</f>
        <v>901</v>
      </c>
      <c r="AD812" s="1">
        <f>IF(COUNTIF($H$2:H812,H812)=1,ROW()-1,ROWS(Clean_Data[OrderID])+1)</f>
        <v>901</v>
      </c>
      <c r="AE812" s="1">
        <f>IF(COUNTIF($V$2:V812,V812)=1,V812,ROWS(Clean_Data[OrderID])+1)</f>
        <v>901</v>
      </c>
      <c r="AF812" s="1">
        <f>IF(COUNTIF($U$2:U812,U812)=1,U812,ROWS(Clean_Data[OrderID])+1)</f>
        <v>901</v>
      </c>
      <c r="AG812" s="1">
        <f>IF(COUNTIF($E$2:E812,E812)=1,ROW()-1,ROWS(Clean_Data[OrderID])+1)</f>
        <v>901</v>
      </c>
    </row>
    <row r="813" spans="1:33" ht="20" customHeight="1">
      <c r="A813" s="3" t="s">
        <v>1217</v>
      </c>
      <c r="B813" s="2">
        <v>46293</v>
      </c>
      <c r="C813" s="3">
        <v>16</v>
      </c>
      <c r="D813" s="3" t="s">
        <v>349</v>
      </c>
      <c r="E813" s="3" t="s">
        <v>117</v>
      </c>
      <c r="F813" s="3" t="s">
        <v>139</v>
      </c>
      <c r="G813" s="3" t="s">
        <v>122</v>
      </c>
      <c r="H813" s="3" t="s">
        <v>153</v>
      </c>
      <c r="I813" s="3">
        <v>1</v>
      </c>
      <c r="J813" s="11">
        <v>130</v>
      </c>
      <c r="K813" s="4">
        <v>0.05</v>
      </c>
      <c r="L813" s="3" t="s">
        <v>95</v>
      </c>
      <c r="M813" s="3">
        <v>25</v>
      </c>
      <c r="N813" s="3">
        <v>12</v>
      </c>
      <c r="O813" s="3">
        <v>5</v>
      </c>
      <c r="P813" s="11">
        <f>Clean_Data[[#This Row],[Quantity]]*Clean_Data[[#This Row],[UnitPrice]]</f>
        <v>130</v>
      </c>
      <c r="Q813" s="11">
        <f>ROUND(Clean_Data[[#This Row],[GrossSales]]*Clean_Data[[#This Row],[DiscountPct]],2)</f>
        <v>6.5</v>
      </c>
      <c r="R813" s="11">
        <f>IF(Clean_Data[[#This Row],[Status]]="Delivered",ROUND(Clean_Data[[#This Row],[GrossSales]]-Clean_Data[[#This Row],[DiscountAmount]],2),0)</f>
        <v>123.5</v>
      </c>
      <c r="S813" s="3" t="str">
        <f>IF(Clean_Data[[#This Row],[OrderHour]]&lt;6,"Night",IF(Clean_Data[[#This Row],[OrderHour]]&lt;12,"Morning",IF(Clean_Data[[#This Row],[OrderHour]]&lt;18,"Afternoon","Evening")))</f>
        <v>Afternoon</v>
      </c>
      <c r="T813" s="3" t="str">
        <f>TEXT(Clean_Data[[#This Row],[OrderDate]],"[$-409]ddd")</f>
        <v>Mon</v>
      </c>
      <c r="U813" s="3">
        <f>WEEKDAY(Clean_Data[[#This Row],[OrderDate]],2)</f>
        <v>1</v>
      </c>
      <c r="V813" s="3">
        <f>INT(Clean_Data[[#This Row],[OrderHour]]/6)+1</f>
        <v>3</v>
      </c>
      <c r="W813" s="3">
        <f>IF(Clean_Data[[#This Row],[Status]]="Delivered",1,0)</f>
        <v>1</v>
      </c>
      <c r="X813" s="3">
        <f>IF(Clean_Data[[#This Row],[Status]]="Delivered",IF(Clean_Data[[#This Row],[DeliveryMinutes]]&lt;=Dashboard!$X$5,1,0),0)</f>
        <v>1</v>
      </c>
      <c r="Y81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3" s="3">
        <f>IF(AND(Clean_Data[[#This Row],[Include]]=1,Clean_Data[[#This Row],[DeliveredFlag]]=1),1,0)</f>
        <v>1</v>
      </c>
      <c r="AA813" s="1">
        <f>IF(COUNTIF($D$2:D813,D813)=1,ROW()-1,ROWS(Clean_Data[OrderID])+1)</f>
        <v>901</v>
      </c>
      <c r="AB813" s="1">
        <f>IF(COUNTIF($F$2:F813,F813)=1,ROW()-1,ROWS(Clean_Data[OrderID])+1)</f>
        <v>901</v>
      </c>
      <c r="AC813" s="1">
        <f>IF(COUNTIF($G$2:G813,G813)=1,ROW()-1,ROWS(Clean_Data[OrderID])+1)</f>
        <v>901</v>
      </c>
      <c r="AD813" s="1">
        <f>IF(COUNTIF($H$2:H813,H813)=1,ROW()-1,ROWS(Clean_Data[OrderID])+1)</f>
        <v>901</v>
      </c>
      <c r="AE813" s="1">
        <f>IF(COUNTIF($V$2:V813,V813)=1,V813,ROWS(Clean_Data[OrderID])+1)</f>
        <v>901</v>
      </c>
      <c r="AF813" s="1">
        <f>IF(COUNTIF($U$2:U813,U813)=1,U813,ROWS(Clean_Data[OrderID])+1)</f>
        <v>901</v>
      </c>
      <c r="AG813" s="1">
        <f>IF(COUNTIF($E$2:E813,E813)=1,ROW()-1,ROWS(Clean_Data[OrderID])+1)</f>
        <v>901</v>
      </c>
    </row>
    <row r="814" spans="1:33" ht="20" customHeight="1">
      <c r="A814" s="3" t="s">
        <v>1218</v>
      </c>
      <c r="B814" s="2">
        <v>46293</v>
      </c>
      <c r="C814" s="3">
        <v>10</v>
      </c>
      <c r="D814" s="3" t="s">
        <v>165</v>
      </c>
      <c r="E814" s="3" t="s">
        <v>91</v>
      </c>
      <c r="F814" s="3" t="s">
        <v>98</v>
      </c>
      <c r="G814" s="3" t="s">
        <v>110</v>
      </c>
      <c r="H814" s="3" t="s">
        <v>206</v>
      </c>
      <c r="I814" s="3">
        <v>4</v>
      </c>
      <c r="J814" s="11">
        <v>220</v>
      </c>
      <c r="K814" s="4">
        <v>0.1</v>
      </c>
      <c r="L814" s="3" t="s">
        <v>95</v>
      </c>
      <c r="M814" s="3">
        <v>15</v>
      </c>
      <c r="N814" s="3">
        <v>5</v>
      </c>
      <c r="O814" s="3">
        <v>4</v>
      </c>
      <c r="P814" s="11">
        <f>Clean_Data[[#This Row],[Quantity]]*Clean_Data[[#This Row],[UnitPrice]]</f>
        <v>880</v>
      </c>
      <c r="Q814" s="11">
        <f>ROUND(Clean_Data[[#This Row],[GrossSales]]*Clean_Data[[#This Row],[DiscountPct]],2)</f>
        <v>88</v>
      </c>
      <c r="R814" s="11">
        <f>IF(Clean_Data[[#This Row],[Status]]="Delivered",ROUND(Clean_Data[[#This Row],[GrossSales]]-Clean_Data[[#This Row],[DiscountAmount]],2),0)</f>
        <v>792</v>
      </c>
      <c r="S814" s="3" t="str">
        <f>IF(Clean_Data[[#This Row],[OrderHour]]&lt;6,"Night",IF(Clean_Data[[#This Row],[OrderHour]]&lt;12,"Morning",IF(Clean_Data[[#This Row],[OrderHour]]&lt;18,"Afternoon","Evening")))</f>
        <v>Morning</v>
      </c>
      <c r="T814" s="3" t="str">
        <f>TEXT(Clean_Data[[#This Row],[OrderDate]],"[$-409]ddd")</f>
        <v>Mon</v>
      </c>
      <c r="U814" s="3">
        <f>WEEKDAY(Clean_Data[[#This Row],[OrderDate]],2)</f>
        <v>1</v>
      </c>
      <c r="V814" s="3">
        <f>INT(Clean_Data[[#This Row],[OrderHour]]/6)+1</f>
        <v>2</v>
      </c>
      <c r="W814" s="3">
        <f>IF(Clean_Data[[#This Row],[Status]]="Delivered",1,0)</f>
        <v>1</v>
      </c>
      <c r="X814" s="3">
        <f>IF(Clean_Data[[#This Row],[Status]]="Delivered",IF(Clean_Data[[#This Row],[DeliveryMinutes]]&lt;=Dashboard!$X$5,1,0),0)</f>
        <v>1</v>
      </c>
      <c r="Y81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4" s="3">
        <f>IF(AND(Clean_Data[[#This Row],[Include]]=1,Clean_Data[[#This Row],[DeliveredFlag]]=1),1,0)</f>
        <v>1</v>
      </c>
      <c r="AA814" s="1">
        <f>IF(COUNTIF($D$2:D814,D814)=1,ROW()-1,ROWS(Clean_Data[OrderID])+1)</f>
        <v>901</v>
      </c>
      <c r="AB814" s="1">
        <f>IF(COUNTIF($F$2:F814,F814)=1,ROW()-1,ROWS(Clean_Data[OrderID])+1)</f>
        <v>901</v>
      </c>
      <c r="AC814" s="1">
        <f>IF(COUNTIF($G$2:G814,G814)=1,ROW()-1,ROWS(Clean_Data[OrderID])+1)</f>
        <v>901</v>
      </c>
      <c r="AD814" s="1">
        <f>IF(COUNTIF($H$2:H814,H814)=1,ROW()-1,ROWS(Clean_Data[OrderID])+1)</f>
        <v>901</v>
      </c>
      <c r="AE814" s="1">
        <f>IF(COUNTIF($V$2:V814,V814)=1,V814,ROWS(Clean_Data[OrderID])+1)</f>
        <v>901</v>
      </c>
      <c r="AF814" s="1">
        <f>IF(COUNTIF($U$2:U814,U814)=1,U814,ROWS(Clean_Data[OrderID])+1)</f>
        <v>901</v>
      </c>
      <c r="AG814" s="1">
        <f>IF(COUNTIF($E$2:E814,E814)=1,ROW()-1,ROWS(Clean_Data[OrderID])+1)</f>
        <v>901</v>
      </c>
    </row>
    <row r="815" spans="1:33" ht="20" customHeight="1">
      <c r="A815" s="3" t="s">
        <v>1219</v>
      </c>
      <c r="B815" s="2">
        <v>46293</v>
      </c>
      <c r="C815" s="3">
        <v>23</v>
      </c>
      <c r="D815" s="3" t="s">
        <v>342</v>
      </c>
      <c r="E815" s="3" t="s">
        <v>91</v>
      </c>
      <c r="F815" s="3" t="s">
        <v>98</v>
      </c>
      <c r="G815" s="3" t="s">
        <v>93</v>
      </c>
      <c r="H815" s="3" t="s">
        <v>146</v>
      </c>
      <c r="I815" s="3">
        <v>6</v>
      </c>
      <c r="J815" s="11">
        <v>110</v>
      </c>
      <c r="K815" s="4">
        <v>0</v>
      </c>
      <c r="L815" s="3" t="s">
        <v>95</v>
      </c>
      <c r="M815" s="3">
        <v>23</v>
      </c>
      <c r="N815" s="3">
        <v>8</v>
      </c>
      <c r="O815" s="3">
        <v>4</v>
      </c>
      <c r="P815" s="11">
        <f>Clean_Data[[#This Row],[Quantity]]*Clean_Data[[#This Row],[UnitPrice]]</f>
        <v>660</v>
      </c>
      <c r="Q815" s="11">
        <f>ROUND(Clean_Data[[#This Row],[GrossSales]]*Clean_Data[[#This Row],[DiscountPct]],2)</f>
        <v>0</v>
      </c>
      <c r="R815" s="11">
        <f>IF(Clean_Data[[#This Row],[Status]]="Delivered",ROUND(Clean_Data[[#This Row],[GrossSales]]-Clean_Data[[#This Row],[DiscountAmount]],2),0)</f>
        <v>660</v>
      </c>
      <c r="S815" s="3" t="str">
        <f>IF(Clean_Data[[#This Row],[OrderHour]]&lt;6,"Night",IF(Clean_Data[[#This Row],[OrderHour]]&lt;12,"Morning",IF(Clean_Data[[#This Row],[OrderHour]]&lt;18,"Afternoon","Evening")))</f>
        <v>Evening</v>
      </c>
      <c r="T815" s="3" t="str">
        <f>TEXT(Clean_Data[[#This Row],[OrderDate]],"[$-409]ddd")</f>
        <v>Mon</v>
      </c>
      <c r="U815" s="3">
        <f>WEEKDAY(Clean_Data[[#This Row],[OrderDate]],2)</f>
        <v>1</v>
      </c>
      <c r="V815" s="3">
        <f>INT(Clean_Data[[#This Row],[OrderHour]]/6)+1</f>
        <v>4</v>
      </c>
      <c r="W815" s="3">
        <f>IF(Clean_Data[[#This Row],[Status]]="Delivered",1,0)</f>
        <v>1</v>
      </c>
      <c r="X815" s="3">
        <f>IF(Clean_Data[[#This Row],[Status]]="Delivered",IF(Clean_Data[[#This Row],[DeliveryMinutes]]&lt;=Dashboard!$X$5,1,0),0)</f>
        <v>1</v>
      </c>
      <c r="Y81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5" s="3">
        <f>IF(AND(Clean_Data[[#This Row],[Include]]=1,Clean_Data[[#This Row],[DeliveredFlag]]=1),1,0)</f>
        <v>1</v>
      </c>
      <c r="AA815" s="1">
        <f>IF(COUNTIF($D$2:D815,D815)=1,ROW()-1,ROWS(Clean_Data[OrderID])+1)</f>
        <v>901</v>
      </c>
      <c r="AB815" s="1">
        <f>IF(COUNTIF($F$2:F815,F815)=1,ROW()-1,ROWS(Clean_Data[OrderID])+1)</f>
        <v>901</v>
      </c>
      <c r="AC815" s="1">
        <f>IF(COUNTIF($G$2:G815,G815)=1,ROW()-1,ROWS(Clean_Data[OrderID])+1)</f>
        <v>901</v>
      </c>
      <c r="AD815" s="1">
        <f>IF(COUNTIF($H$2:H815,H815)=1,ROW()-1,ROWS(Clean_Data[OrderID])+1)</f>
        <v>901</v>
      </c>
      <c r="AE815" s="1">
        <f>IF(COUNTIF($V$2:V815,V815)=1,V815,ROWS(Clean_Data[OrderID])+1)</f>
        <v>901</v>
      </c>
      <c r="AF815" s="1">
        <f>IF(COUNTIF($U$2:U815,U815)=1,U815,ROWS(Clean_Data[OrderID])+1)</f>
        <v>901</v>
      </c>
      <c r="AG815" s="1">
        <f>IF(COUNTIF($E$2:E815,E815)=1,ROW()-1,ROWS(Clean_Data[OrderID])+1)</f>
        <v>901</v>
      </c>
    </row>
    <row r="816" spans="1:33" ht="20" customHeight="1">
      <c r="A816" s="3" t="s">
        <v>1220</v>
      </c>
      <c r="B816" s="2">
        <v>46293</v>
      </c>
      <c r="C816" s="3">
        <v>22</v>
      </c>
      <c r="D816" s="3" t="s">
        <v>537</v>
      </c>
      <c r="E816" s="3" t="s">
        <v>91</v>
      </c>
      <c r="F816" s="3" t="s">
        <v>109</v>
      </c>
      <c r="G816" s="3" t="s">
        <v>93</v>
      </c>
      <c r="H816" s="3" t="s">
        <v>94</v>
      </c>
      <c r="I816" s="3">
        <v>2</v>
      </c>
      <c r="J816" s="11">
        <v>95</v>
      </c>
      <c r="K816" s="4">
        <v>0.05</v>
      </c>
      <c r="L816" s="3" t="s">
        <v>95</v>
      </c>
      <c r="M816" s="3">
        <v>25</v>
      </c>
      <c r="N816" s="3">
        <v>4</v>
      </c>
      <c r="O816" s="3">
        <v>3</v>
      </c>
      <c r="P816" s="11">
        <f>Clean_Data[[#This Row],[Quantity]]*Clean_Data[[#This Row],[UnitPrice]]</f>
        <v>190</v>
      </c>
      <c r="Q816" s="11">
        <f>ROUND(Clean_Data[[#This Row],[GrossSales]]*Clean_Data[[#This Row],[DiscountPct]],2)</f>
        <v>9.5</v>
      </c>
      <c r="R816" s="11">
        <f>IF(Clean_Data[[#This Row],[Status]]="Delivered",ROUND(Clean_Data[[#This Row],[GrossSales]]-Clean_Data[[#This Row],[DiscountAmount]],2),0)</f>
        <v>180.5</v>
      </c>
      <c r="S816" s="3" t="str">
        <f>IF(Clean_Data[[#This Row],[OrderHour]]&lt;6,"Night",IF(Clean_Data[[#This Row],[OrderHour]]&lt;12,"Morning",IF(Clean_Data[[#This Row],[OrderHour]]&lt;18,"Afternoon","Evening")))</f>
        <v>Evening</v>
      </c>
      <c r="T816" s="3" t="str">
        <f>TEXT(Clean_Data[[#This Row],[OrderDate]],"[$-409]ddd")</f>
        <v>Mon</v>
      </c>
      <c r="U816" s="3">
        <f>WEEKDAY(Clean_Data[[#This Row],[OrderDate]],2)</f>
        <v>1</v>
      </c>
      <c r="V816" s="3">
        <f>INT(Clean_Data[[#This Row],[OrderHour]]/6)+1</f>
        <v>4</v>
      </c>
      <c r="W816" s="3">
        <f>IF(Clean_Data[[#This Row],[Status]]="Delivered",1,0)</f>
        <v>1</v>
      </c>
      <c r="X816" s="3">
        <f>IF(Clean_Data[[#This Row],[Status]]="Delivered",IF(Clean_Data[[#This Row],[DeliveryMinutes]]&lt;=Dashboard!$X$5,1,0),0)</f>
        <v>1</v>
      </c>
      <c r="Y81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6" s="3">
        <f>IF(AND(Clean_Data[[#This Row],[Include]]=1,Clean_Data[[#This Row],[DeliveredFlag]]=1),1,0)</f>
        <v>1</v>
      </c>
      <c r="AA816" s="1">
        <f>IF(COUNTIF($D$2:D816,D816)=1,ROW()-1,ROWS(Clean_Data[OrderID])+1)</f>
        <v>901</v>
      </c>
      <c r="AB816" s="1">
        <f>IF(COUNTIF($F$2:F816,F816)=1,ROW()-1,ROWS(Clean_Data[OrderID])+1)</f>
        <v>901</v>
      </c>
      <c r="AC816" s="1">
        <f>IF(COUNTIF($G$2:G816,G816)=1,ROW()-1,ROWS(Clean_Data[OrderID])+1)</f>
        <v>901</v>
      </c>
      <c r="AD816" s="1">
        <f>IF(COUNTIF($H$2:H816,H816)=1,ROW()-1,ROWS(Clean_Data[OrderID])+1)</f>
        <v>901</v>
      </c>
      <c r="AE816" s="1">
        <f>IF(COUNTIF($V$2:V816,V816)=1,V816,ROWS(Clean_Data[OrderID])+1)</f>
        <v>901</v>
      </c>
      <c r="AF816" s="1">
        <f>IF(COUNTIF($U$2:U816,U816)=1,U816,ROWS(Clean_Data[OrderID])+1)</f>
        <v>901</v>
      </c>
      <c r="AG816" s="1">
        <f>IF(COUNTIF($E$2:E816,E816)=1,ROW()-1,ROWS(Clean_Data[OrderID])+1)</f>
        <v>901</v>
      </c>
    </row>
    <row r="817" spans="1:33" ht="20" customHeight="1">
      <c r="A817" s="3" t="s">
        <v>1221</v>
      </c>
      <c r="B817" s="2">
        <v>46293</v>
      </c>
      <c r="C817" s="3">
        <v>21</v>
      </c>
      <c r="D817" s="3" t="s">
        <v>259</v>
      </c>
      <c r="E817" s="3" t="s">
        <v>91</v>
      </c>
      <c r="F817" s="3" t="s">
        <v>98</v>
      </c>
      <c r="G817" s="3" t="s">
        <v>174</v>
      </c>
      <c r="H817" s="3" t="s">
        <v>184</v>
      </c>
      <c r="I817" s="3">
        <v>5</v>
      </c>
      <c r="J817" s="11">
        <v>62</v>
      </c>
      <c r="K817" s="4">
        <v>0</v>
      </c>
      <c r="L817" s="3" t="s">
        <v>95</v>
      </c>
      <c r="M817" s="3">
        <v>22</v>
      </c>
      <c r="N817" s="3">
        <v>8</v>
      </c>
      <c r="O817" s="3">
        <v>5</v>
      </c>
      <c r="P817" s="11">
        <f>Clean_Data[[#This Row],[Quantity]]*Clean_Data[[#This Row],[UnitPrice]]</f>
        <v>310</v>
      </c>
      <c r="Q817" s="11">
        <f>ROUND(Clean_Data[[#This Row],[GrossSales]]*Clean_Data[[#This Row],[DiscountPct]],2)</f>
        <v>0</v>
      </c>
      <c r="R817" s="11">
        <f>IF(Clean_Data[[#This Row],[Status]]="Delivered",ROUND(Clean_Data[[#This Row],[GrossSales]]-Clean_Data[[#This Row],[DiscountAmount]],2),0)</f>
        <v>310</v>
      </c>
      <c r="S817" s="3" t="str">
        <f>IF(Clean_Data[[#This Row],[OrderHour]]&lt;6,"Night",IF(Clean_Data[[#This Row],[OrderHour]]&lt;12,"Morning",IF(Clean_Data[[#This Row],[OrderHour]]&lt;18,"Afternoon","Evening")))</f>
        <v>Evening</v>
      </c>
      <c r="T817" s="3" t="str">
        <f>TEXT(Clean_Data[[#This Row],[OrderDate]],"[$-409]ddd")</f>
        <v>Mon</v>
      </c>
      <c r="U817" s="3">
        <f>WEEKDAY(Clean_Data[[#This Row],[OrderDate]],2)</f>
        <v>1</v>
      </c>
      <c r="V817" s="3">
        <f>INT(Clean_Data[[#This Row],[OrderHour]]/6)+1</f>
        <v>4</v>
      </c>
      <c r="W817" s="3">
        <f>IF(Clean_Data[[#This Row],[Status]]="Delivered",1,0)</f>
        <v>1</v>
      </c>
      <c r="X817" s="3">
        <f>IF(Clean_Data[[#This Row],[Status]]="Delivered",IF(Clean_Data[[#This Row],[DeliveryMinutes]]&lt;=Dashboard!$X$5,1,0),0)</f>
        <v>1</v>
      </c>
      <c r="Y81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7" s="3">
        <f>IF(AND(Clean_Data[[#This Row],[Include]]=1,Clean_Data[[#This Row],[DeliveredFlag]]=1),1,0)</f>
        <v>1</v>
      </c>
      <c r="AA817" s="1">
        <f>IF(COUNTIF($D$2:D817,D817)=1,ROW()-1,ROWS(Clean_Data[OrderID])+1)</f>
        <v>901</v>
      </c>
      <c r="AB817" s="1">
        <f>IF(COUNTIF($F$2:F817,F817)=1,ROW()-1,ROWS(Clean_Data[OrderID])+1)</f>
        <v>901</v>
      </c>
      <c r="AC817" s="1">
        <f>IF(COUNTIF($G$2:G817,G817)=1,ROW()-1,ROWS(Clean_Data[OrderID])+1)</f>
        <v>901</v>
      </c>
      <c r="AD817" s="1">
        <f>IF(COUNTIF($H$2:H817,H817)=1,ROW()-1,ROWS(Clean_Data[OrderID])+1)</f>
        <v>901</v>
      </c>
      <c r="AE817" s="1">
        <f>IF(COUNTIF($V$2:V817,V817)=1,V817,ROWS(Clean_Data[OrderID])+1)</f>
        <v>901</v>
      </c>
      <c r="AF817" s="1">
        <f>IF(COUNTIF($U$2:U817,U817)=1,U817,ROWS(Clean_Data[OrderID])+1)</f>
        <v>901</v>
      </c>
      <c r="AG817" s="1">
        <f>IF(COUNTIF($E$2:E817,E817)=1,ROW()-1,ROWS(Clean_Data[OrderID])+1)</f>
        <v>901</v>
      </c>
    </row>
    <row r="818" spans="1:33" ht="20" customHeight="1">
      <c r="A818" s="3" t="s">
        <v>1222</v>
      </c>
      <c r="B818" s="2">
        <v>46293</v>
      </c>
      <c r="C818" s="3">
        <v>23</v>
      </c>
      <c r="D818" s="3" t="s">
        <v>597</v>
      </c>
      <c r="E818" s="3" t="s">
        <v>117</v>
      </c>
      <c r="F818" s="3" t="s">
        <v>139</v>
      </c>
      <c r="G818" s="3" t="s">
        <v>122</v>
      </c>
      <c r="H818" s="3" t="s">
        <v>153</v>
      </c>
      <c r="I818" s="3">
        <v>2</v>
      </c>
      <c r="J818" s="11">
        <v>130</v>
      </c>
      <c r="K818" s="4">
        <v>0.05</v>
      </c>
      <c r="L818" s="3" t="s">
        <v>95</v>
      </c>
      <c r="M818" s="3">
        <v>13</v>
      </c>
      <c r="N818" s="3">
        <v>10</v>
      </c>
      <c r="O818" s="3">
        <v>3</v>
      </c>
      <c r="P818" s="11">
        <f>Clean_Data[[#This Row],[Quantity]]*Clean_Data[[#This Row],[UnitPrice]]</f>
        <v>260</v>
      </c>
      <c r="Q818" s="11">
        <f>ROUND(Clean_Data[[#This Row],[GrossSales]]*Clean_Data[[#This Row],[DiscountPct]],2)</f>
        <v>13</v>
      </c>
      <c r="R818" s="11">
        <f>IF(Clean_Data[[#This Row],[Status]]="Delivered",ROUND(Clean_Data[[#This Row],[GrossSales]]-Clean_Data[[#This Row],[DiscountAmount]],2),0)</f>
        <v>247</v>
      </c>
      <c r="S818" s="3" t="str">
        <f>IF(Clean_Data[[#This Row],[OrderHour]]&lt;6,"Night",IF(Clean_Data[[#This Row],[OrderHour]]&lt;12,"Morning",IF(Clean_Data[[#This Row],[OrderHour]]&lt;18,"Afternoon","Evening")))</f>
        <v>Evening</v>
      </c>
      <c r="T818" s="3" t="str">
        <f>TEXT(Clean_Data[[#This Row],[OrderDate]],"[$-409]ddd")</f>
        <v>Mon</v>
      </c>
      <c r="U818" s="3">
        <f>WEEKDAY(Clean_Data[[#This Row],[OrderDate]],2)</f>
        <v>1</v>
      </c>
      <c r="V818" s="3">
        <f>INT(Clean_Data[[#This Row],[OrderHour]]/6)+1</f>
        <v>4</v>
      </c>
      <c r="W818" s="3">
        <f>IF(Clean_Data[[#This Row],[Status]]="Delivered",1,0)</f>
        <v>1</v>
      </c>
      <c r="X818" s="3">
        <f>IF(Clean_Data[[#This Row],[Status]]="Delivered",IF(Clean_Data[[#This Row],[DeliveryMinutes]]&lt;=Dashboard!$X$5,1,0),0)</f>
        <v>1</v>
      </c>
      <c r="Y81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8" s="3">
        <f>IF(AND(Clean_Data[[#This Row],[Include]]=1,Clean_Data[[#This Row],[DeliveredFlag]]=1),1,0)</f>
        <v>1</v>
      </c>
      <c r="AA818" s="1">
        <f>IF(COUNTIF($D$2:D818,D818)=1,ROW()-1,ROWS(Clean_Data[OrderID])+1)</f>
        <v>901</v>
      </c>
      <c r="AB818" s="1">
        <f>IF(COUNTIF($F$2:F818,F818)=1,ROW()-1,ROWS(Clean_Data[OrderID])+1)</f>
        <v>901</v>
      </c>
      <c r="AC818" s="1">
        <f>IF(COUNTIF($G$2:G818,G818)=1,ROW()-1,ROWS(Clean_Data[OrderID])+1)</f>
        <v>901</v>
      </c>
      <c r="AD818" s="1">
        <f>IF(COUNTIF($H$2:H818,H818)=1,ROW()-1,ROWS(Clean_Data[OrderID])+1)</f>
        <v>901</v>
      </c>
      <c r="AE818" s="1">
        <f>IF(COUNTIF($V$2:V818,V818)=1,V818,ROWS(Clean_Data[OrderID])+1)</f>
        <v>901</v>
      </c>
      <c r="AF818" s="1">
        <f>IF(COUNTIF($U$2:U818,U818)=1,U818,ROWS(Clean_Data[OrderID])+1)</f>
        <v>901</v>
      </c>
      <c r="AG818" s="1">
        <f>IF(COUNTIF($E$2:E818,E818)=1,ROW()-1,ROWS(Clean_Data[OrderID])+1)</f>
        <v>901</v>
      </c>
    </row>
    <row r="819" spans="1:33" ht="20" customHeight="1">
      <c r="A819" s="3" t="s">
        <v>1223</v>
      </c>
      <c r="B819" s="2">
        <v>46293</v>
      </c>
      <c r="C819" s="3">
        <v>23</v>
      </c>
      <c r="D819" s="3" t="s">
        <v>622</v>
      </c>
      <c r="E819" s="3" t="s">
        <v>91</v>
      </c>
      <c r="F819" s="3" t="s">
        <v>109</v>
      </c>
      <c r="G819" s="3" t="s">
        <v>122</v>
      </c>
      <c r="H819" s="3" t="s">
        <v>153</v>
      </c>
      <c r="I819" s="3">
        <v>2</v>
      </c>
      <c r="J819" s="11">
        <v>130</v>
      </c>
      <c r="K819" s="4">
        <v>0.1</v>
      </c>
      <c r="L819" s="3" t="s">
        <v>95</v>
      </c>
      <c r="M819" s="3">
        <v>31</v>
      </c>
      <c r="N819" s="3">
        <v>10</v>
      </c>
      <c r="O819" s="3">
        <v>5</v>
      </c>
      <c r="P819" s="11">
        <f>Clean_Data[[#This Row],[Quantity]]*Clean_Data[[#This Row],[UnitPrice]]</f>
        <v>260</v>
      </c>
      <c r="Q819" s="11">
        <f>ROUND(Clean_Data[[#This Row],[GrossSales]]*Clean_Data[[#This Row],[DiscountPct]],2)</f>
        <v>26</v>
      </c>
      <c r="R819" s="11">
        <f>IF(Clean_Data[[#This Row],[Status]]="Delivered",ROUND(Clean_Data[[#This Row],[GrossSales]]-Clean_Data[[#This Row],[DiscountAmount]],2),0)</f>
        <v>234</v>
      </c>
      <c r="S819" s="3" t="str">
        <f>IF(Clean_Data[[#This Row],[OrderHour]]&lt;6,"Night",IF(Clean_Data[[#This Row],[OrderHour]]&lt;12,"Morning",IF(Clean_Data[[#This Row],[OrderHour]]&lt;18,"Afternoon","Evening")))</f>
        <v>Evening</v>
      </c>
      <c r="T819" s="3" t="str">
        <f>TEXT(Clean_Data[[#This Row],[OrderDate]],"[$-409]ddd")</f>
        <v>Mon</v>
      </c>
      <c r="U819" s="3">
        <f>WEEKDAY(Clean_Data[[#This Row],[OrderDate]],2)</f>
        <v>1</v>
      </c>
      <c r="V819" s="3">
        <f>INT(Clean_Data[[#This Row],[OrderHour]]/6)+1</f>
        <v>4</v>
      </c>
      <c r="W819" s="3">
        <f>IF(Clean_Data[[#This Row],[Status]]="Delivered",1,0)</f>
        <v>1</v>
      </c>
      <c r="X819" s="3">
        <f>IF(Clean_Data[[#This Row],[Status]]="Delivered",IF(Clean_Data[[#This Row],[DeliveryMinutes]]&lt;=Dashboard!$X$5,1,0),0)</f>
        <v>0</v>
      </c>
      <c r="Y81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19" s="3">
        <f>IF(AND(Clean_Data[[#This Row],[Include]]=1,Clean_Data[[#This Row],[DeliveredFlag]]=1),1,0)</f>
        <v>1</v>
      </c>
      <c r="AA819" s="1">
        <f>IF(COUNTIF($D$2:D819,D819)=1,ROW()-1,ROWS(Clean_Data[OrderID])+1)</f>
        <v>901</v>
      </c>
      <c r="AB819" s="1">
        <f>IF(COUNTIF($F$2:F819,F819)=1,ROW()-1,ROWS(Clean_Data[OrderID])+1)</f>
        <v>901</v>
      </c>
      <c r="AC819" s="1">
        <f>IF(COUNTIF($G$2:G819,G819)=1,ROW()-1,ROWS(Clean_Data[OrderID])+1)</f>
        <v>901</v>
      </c>
      <c r="AD819" s="1">
        <f>IF(COUNTIF($H$2:H819,H819)=1,ROW()-1,ROWS(Clean_Data[OrderID])+1)</f>
        <v>901</v>
      </c>
      <c r="AE819" s="1">
        <f>IF(COUNTIF($V$2:V819,V819)=1,V819,ROWS(Clean_Data[OrderID])+1)</f>
        <v>901</v>
      </c>
      <c r="AF819" s="1">
        <f>IF(COUNTIF($U$2:U819,U819)=1,U819,ROWS(Clean_Data[OrderID])+1)</f>
        <v>901</v>
      </c>
      <c r="AG819" s="1">
        <f>IF(COUNTIF($E$2:E819,E819)=1,ROW()-1,ROWS(Clean_Data[OrderID])+1)</f>
        <v>901</v>
      </c>
    </row>
    <row r="820" spans="1:33" ht="20" customHeight="1">
      <c r="A820" s="3" t="s">
        <v>1224</v>
      </c>
      <c r="B820" s="2">
        <v>46293</v>
      </c>
      <c r="C820" s="3">
        <v>13</v>
      </c>
      <c r="D820" s="3" t="s">
        <v>401</v>
      </c>
      <c r="E820" s="3" t="s">
        <v>91</v>
      </c>
      <c r="F820" s="3" t="s">
        <v>98</v>
      </c>
      <c r="G820" s="3" t="s">
        <v>99</v>
      </c>
      <c r="H820" s="3" t="s">
        <v>100</v>
      </c>
      <c r="I820" s="3">
        <v>5</v>
      </c>
      <c r="J820" s="11">
        <v>120</v>
      </c>
      <c r="K820" s="4">
        <v>0</v>
      </c>
      <c r="L820" s="3" t="s">
        <v>95</v>
      </c>
      <c r="M820" s="3">
        <v>20</v>
      </c>
      <c r="N820" s="3">
        <v>12</v>
      </c>
      <c r="O820" s="3">
        <v>4</v>
      </c>
      <c r="P820" s="11">
        <f>Clean_Data[[#This Row],[Quantity]]*Clean_Data[[#This Row],[UnitPrice]]</f>
        <v>600</v>
      </c>
      <c r="Q820" s="11">
        <f>ROUND(Clean_Data[[#This Row],[GrossSales]]*Clean_Data[[#This Row],[DiscountPct]],2)</f>
        <v>0</v>
      </c>
      <c r="R820" s="11">
        <f>IF(Clean_Data[[#This Row],[Status]]="Delivered",ROUND(Clean_Data[[#This Row],[GrossSales]]-Clean_Data[[#This Row],[DiscountAmount]],2),0)</f>
        <v>600</v>
      </c>
      <c r="S820" s="3" t="str">
        <f>IF(Clean_Data[[#This Row],[OrderHour]]&lt;6,"Night",IF(Clean_Data[[#This Row],[OrderHour]]&lt;12,"Morning",IF(Clean_Data[[#This Row],[OrderHour]]&lt;18,"Afternoon","Evening")))</f>
        <v>Afternoon</v>
      </c>
      <c r="T820" s="3" t="str">
        <f>TEXT(Clean_Data[[#This Row],[OrderDate]],"[$-409]ddd")</f>
        <v>Mon</v>
      </c>
      <c r="U820" s="3">
        <f>WEEKDAY(Clean_Data[[#This Row],[OrderDate]],2)</f>
        <v>1</v>
      </c>
      <c r="V820" s="3">
        <f>INT(Clean_Data[[#This Row],[OrderHour]]/6)+1</f>
        <v>3</v>
      </c>
      <c r="W820" s="3">
        <f>IF(Clean_Data[[#This Row],[Status]]="Delivered",1,0)</f>
        <v>1</v>
      </c>
      <c r="X820" s="3">
        <f>IF(Clean_Data[[#This Row],[Status]]="Delivered",IF(Clean_Data[[#This Row],[DeliveryMinutes]]&lt;=Dashboard!$X$5,1,0),0)</f>
        <v>1</v>
      </c>
      <c r="Y82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0" s="3">
        <f>IF(AND(Clean_Data[[#This Row],[Include]]=1,Clean_Data[[#This Row],[DeliveredFlag]]=1),1,0)</f>
        <v>1</v>
      </c>
      <c r="AA820" s="1">
        <f>IF(COUNTIF($D$2:D820,D820)=1,ROW()-1,ROWS(Clean_Data[OrderID])+1)</f>
        <v>901</v>
      </c>
      <c r="AB820" s="1">
        <f>IF(COUNTIF($F$2:F820,F820)=1,ROW()-1,ROWS(Clean_Data[OrderID])+1)</f>
        <v>901</v>
      </c>
      <c r="AC820" s="1">
        <f>IF(COUNTIF($G$2:G820,G820)=1,ROW()-1,ROWS(Clean_Data[OrderID])+1)</f>
        <v>901</v>
      </c>
      <c r="AD820" s="1">
        <f>IF(COUNTIF($H$2:H820,H820)=1,ROW()-1,ROWS(Clean_Data[OrderID])+1)</f>
        <v>901</v>
      </c>
      <c r="AE820" s="1">
        <f>IF(COUNTIF($V$2:V820,V820)=1,V820,ROWS(Clean_Data[OrderID])+1)</f>
        <v>901</v>
      </c>
      <c r="AF820" s="1">
        <f>IF(COUNTIF($U$2:U820,U820)=1,U820,ROWS(Clean_Data[OrderID])+1)</f>
        <v>901</v>
      </c>
      <c r="AG820" s="1">
        <f>IF(COUNTIF($E$2:E820,E820)=1,ROW()-1,ROWS(Clean_Data[OrderID])+1)</f>
        <v>901</v>
      </c>
    </row>
    <row r="821" spans="1:33" ht="20" customHeight="1">
      <c r="A821" s="3" t="s">
        <v>1225</v>
      </c>
      <c r="B821" s="2">
        <v>46293</v>
      </c>
      <c r="C821" s="3">
        <v>19</v>
      </c>
      <c r="D821" s="3" t="s">
        <v>438</v>
      </c>
      <c r="E821" s="3" t="s">
        <v>91</v>
      </c>
      <c r="F821" s="3" t="s">
        <v>92</v>
      </c>
      <c r="G821" s="3" t="s">
        <v>93</v>
      </c>
      <c r="H821" s="3" t="s">
        <v>118</v>
      </c>
      <c r="I821" s="3">
        <v>4</v>
      </c>
      <c r="J821" s="11">
        <v>45</v>
      </c>
      <c r="K821" s="4">
        <v>0.15</v>
      </c>
      <c r="L821" s="3" t="s">
        <v>95</v>
      </c>
      <c r="M821" s="3">
        <v>30</v>
      </c>
      <c r="N821" s="3">
        <v>9</v>
      </c>
      <c r="O821" s="3">
        <v>3</v>
      </c>
      <c r="P821" s="11">
        <f>Clean_Data[[#This Row],[Quantity]]*Clean_Data[[#This Row],[UnitPrice]]</f>
        <v>180</v>
      </c>
      <c r="Q821" s="11">
        <f>ROUND(Clean_Data[[#This Row],[GrossSales]]*Clean_Data[[#This Row],[DiscountPct]],2)</f>
        <v>27</v>
      </c>
      <c r="R821" s="11">
        <f>IF(Clean_Data[[#This Row],[Status]]="Delivered",ROUND(Clean_Data[[#This Row],[GrossSales]]-Clean_Data[[#This Row],[DiscountAmount]],2),0)</f>
        <v>153</v>
      </c>
      <c r="S821" s="3" t="str">
        <f>IF(Clean_Data[[#This Row],[OrderHour]]&lt;6,"Night",IF(Clean_Data[[#This Row],[OrderHour]]&lt;12,"Morning",IF(Clean_Data[[#This Row],[OrderHour]]&lt;18,"Afternoon","Evening")))</f>
        <v>Evening</v>
      </c>
      <c r="T821" s="3" t="str">
        <f>TEXT(Clean_Data[[#This Row],[OrderDate]],"[$-409]ddd")</f>
        <v>Mon</v>
      </c>
      <c r="U821" s="3">
        <f>WEEKDAY(Clean_Data[[#This Row],[OrderDate]],2)</f>
        <v>1</v>
      </c>
      <c r="V821" s="3">
        <f>INT(Clean_Data[[#This Row],[OrderHour]]/6)+1</f>
        <v>4</v>
      </c>
      <c r="W821" s="3">
        <f>IF(Clean_Data[[#This Row],[Status]]="Delivered",1,0)</f>
        <v>1</v>
      </c>
      <c r="X821" s="3">
        <f>IF(Clean_Data[[#This Row],[Status]]="Delivered",IF(Clean_Data[[#This Row],[DeliveryMinutes]]&lt;=Dashboard!$X$5,1,0),0)</f>
        <v>1</v>
      </c>
      <c r="Y82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1" s="3">
        <f>IF(AND(Clean_Data[[#This Row],[Include]]=1,Clean_Data[[#This Row],[DeliveredFlag]]=1),1,0)</f>
        <v>1</v>
      </c>
      <c r="AA821" s="1">
        <f>IF(COUNTIF($D$2:D821,D821)=1,ROW()-1,ROWS(Clean_Data[OrderID])+1)</f>
        <v>901</v>
      </c>
      <c r="AB821" s="1">
        <f>IF(COUNTIF($F$2:F821,F821)=1,ROW()-1,ROWS(Clean_Data[OrderID])+1)</f>
        <v>901</v>
      </c>
      <c r="AC821" s="1">
        <f>IF(COUNTIF($G$2:G821,G821)=1,ROW()-1,ROWS(Clean_Data[OrderID])+1)</f>
        <v>901</v>
      </c>
      <c r="AD821" s="1">
        <f>IF(COUNTIF($H$2:H821,H821)=1,ROW()-1,ROWS(Clean_Data[OrderID])+1)</f>
        <v>901</v>
      </c>
      <c r="AE821" s="1">
        <f>IF(COUNTIF($V$2:V821,V821)=1,V821,ROWS(Clean_Data[OrderID])+1)</f>
        <v>901</v>
      </c>
      <c r="AF821" s="1">
        <f>IF(COUNTIF($U$2:U821,U821)=1,U821,ROWS(Clean_Data[OrderID])+1)</f>
        <v>901</v>
      </c>
      <c r="AG821" s="1">
        <f>IF(COUNTIF($E$2:E821,E821)=1,ROW()-1,ROWS(Clean_Data[OrderID])+1)</f>
        <v>901</v>
      </c>
    </row>
    <row r="822" spans="1:33" ht="20" customHeight="1">
      <c r="A822" s="3" t="s">
        <v>1226</v>
      </c>
      <c r="B822" s="2">
        <v>46293</v>
      </c>
      <c r="C822" s="3">
        <v>12</v>
      </c>
      <c r="D822" s="3" t="s">
        <v>581</v>
      </c>
      <c r="E822" s="3" t="s">
        <v>117</v>
      </c>
      <c r="F822" s="3" t="s">
        <v>109</v>
      </c>
      <c r="G822" s="3" t="s">
        <v>135</v>
      </c>
      <c r="H822" s="3" t="s">
        <v>217</v>
      </c>
      <c r="I822" s="3">
        <v>6</v>
      </c>
      <c r="J822" s="11">
        <v>65</v>
      </c>
      <c r="K822" s="4">
        <v>0</v>
      </c>
      <c r="L822" s="3" t="s">
        <v>95</v>
      </c>
      <c r="M822" s="3">
        <v>31</v>
      </c>
      <c r="N822" s="3">
        <v>4</v>
      </c>
      <c r="O822" s="3">
        <v>5</v>
      </c>
      <c r="P822" s="11">
        <f>Clean_Data[[#This Row],[Quantity]]*Clean_Data[[#This Row],[UnitPrice]]</f>
        <v>390</v>
      </c>
      <c r="Q822" s="11">
        <f>ROUND(Clean_Data[[#This Row],[GrossSales]]*Clean_Data[[#This Row],[DiscountPct]],2)</f>
        <v>0</v>
      </c>
      <c r="R822" s="11">
        <f>IF(Clean_Data[[#This Row],[Status]]="Delivered",ROUND(Clean_Data[[#This Row],[GrossSales]]-Clean_Data[[#This Row],[DiscountAmount]],2),0)</f>
        <v>390</v>
      </c>
      <c r="S822" s="3" t="str">
        <f>IF(Clean_Data[[#This Row],[OrderHour]]&lt;6,"Night",IF(Clean_Data[[#This Row],[OrderHour]]&lt;12,"Morning",IF(Clean_Data[[#This Row],[OrderHour]]&lt;18,"Afternoon","Evening")))</f>
        <v>Afternoon</v>
      </c>
      <c r="T822" s="3" t="str">
        <f>TEXT(Clean_Data[[#This Row],[OrderDate]],"[$-409]ddd")</f>
        <v>Mon</v>
      </c>
      <c r="U822" s="3">
        <f>WEEKDAY(Clean_Data[[#This Row],[OrderDate]],2)</f>
        <v>1</v>
      </c>
      <c r="V822" s="3">
        <f>INT(Clean_Data[[#This Row],[OrderHour]]/6)+1</f>
        <v>3</v>
      </c>
      <c r="W822" s="3">
        <f>IF(Clean_Data[[#This Row],[Status]]="Delivered",1,0)</f>
        <v>1</v>
      </c>
      <c r="X822" s="3">
        <f>IF(Clean_Data[[#This Row],[Status]]="Delivered",IF(Clean_Data[[#This Row],[DeliveryMinutes]]&lt;=Dashboard!$X$5,1,0),0)</f>
        <v>0</v>
      </c>
      <c r="Y82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2" s="3">
        <f>IF(AND(Clean_Data[[#This Row],[Include]]=1,Clean_Data[[#This Row],[DeliveredFlag]]=1),1,0)</f>
        <v>1</v>
      </c>
      <c r="AA822" s="1">
        <f>IF(COUNTIF($D$2:D822,D822)=1,ROW()-1,ROWS(Clean_Data[OrderID])+1)</f>
        <v>901</v>
      </c>
      <c r="AB822" s="1">
        <f>IF(COUNTIF($F$2:F822,F822)=1,ROW()-1,ROWS(Clean_Data[OrderID])+1)</f>
        <v>901</v>
      </c>
      <c r="AC822" s="1">
        <f>IF(COUNTIF($G$2:G822,G822)=1,ROW()-1,ROWS(Clean_Data[OrderID])+1)</f>
        <v>901</v>
      </c>
      <c r="AD822" s="1">
        <f>IF(COUNTIF($H$2:H822,H822)=1,ROW()-1,ROWS(Clean_Data[OrderID])+1)</f>
        <v>901</v>
      </c>
      <c r="AE822" s="1">
        <f>IF(COUNTIF($V$2:V822,V822)=1,V822,ROWS(Clean_Data[OrderID])+1)</f>
        <v>901</v>
      </c>
      <c r="AF822" s="1">
        <f>IF(COUNTIF($U$2:U822,U822)=1,U822,ROWS(Clean_Data[OrderID])+1)</f>
        <v>901</v>
      </c>
      <c r="AG822" s="1">
        <f>IF(COUNTIF($E$2:E822,E822)=1,ROW()-1,ROWS(Clean_Data[OrderID])+1)</f>
        <v>901</v>
      </c>
    </row>
    <row r="823" spans="1:33" ht="20" customHeight="1">
      <c r="A823" s="3" t="s">
        <v>1227</v>
      </c>
      <c r="B823" s="2">
        <v>46293</v>
      </c>
      <c r="C823" s="3">
        <v>17</v>
      </c>
      <c r="D823" s="3" t="s">
        <v>619</v>
      </c>
      <c r="E823" s="3" t="s">
        <v>117</v>
      </c>
      <c r="F823" s="3" t="s">
        <v>92</v>
      </c>
      <c r="G823" s="3" t="s">
        <v>174</v>
      </c>
      <c r="H823" s="3" t="s">
        <v>274</v>
      </c>
      <c r="I823" s="3">
        <v>4</v>
      </c>
      <c r="J823" s="11">
        <v>90</v>
      </c>
      <c r="K823" s="4">
        <v>0</v>
      </c>
      <c r="L823" s="3" t="s">
        <v>95</v>
      </c>
      <c r="M823" s="3">
        <v>23</v>
      </c>
      <c r="N823" s="3">
        <v>9</v>
      </c>
      <c r="O823" s="3">
        <v>3</v>
      </c>
      <c r="P823" s="11">
        <f>Clean_Data[[#This Row],[Quantity]]*Clean_Data[[#This Row],[UnitPrice]]</f>
        <v>360</v>
      </c>
      <c r="Q823" s="11">
        <f>ROUND(Clean_Data[[#This Row],[GrossSales]]*Clean_Data[[#This Row],[DiscountPct]],2)</f>
        <v>0</v>
      </c>
      <c r="R823" s="11">
        <f>IF(Clean_Data[[#This Row],[Status]]="Delivered",ROUND(Clean_Data[[#This Row],[GrossSales]]-Clean_Data[[#This Row],[DiscountAmount]],2),0)</f>
        <v>360</v>
      </c>
      <c r="S823" s="3" t="str">
        <f>IF(Clean_Data[[#This Row],[OrderHour]]&lt;6,"Night",IF(Clean_Data[[#This Row],[OrderHour]]&lt;12,"Morning",IF(Clean_Data[[#This Row],[OrderHour]]&lt;18,"Afternoon","Evening")))</f>
        <v>Afternoon</v>
      </c>
      <c r="T823" s="3" t="str">
        <f>TEXT(Clean_Data[[#This Row],[OrderDate]],"[$-409]ddd")</f>
        <v>Mon</v>
      </c>
      <c r="U823" s="3">
        <f>WEEKDAY(Clean_Data[[#This Row],[OrderDate]],2)</f>
        <v>1</v>
      </c>
      <c r="V823" s="3">
        <f>INT(Clean_Data[[#This Row],[OrderHour]]/6)+1</f>
        <v>3</v>
      </c>
      <c r="W823" s="3">
        <f>IF(Clean_Data[[#This Row],[Status]]="Delivered",1,0)</f>
        <v>1</v>
      </c>
      <c r="X823" s="3">
        <f>IF(Clean_Data[[#This Row],[Status]]="Delivered",IF(Clean_Data[[#This Row],[DeliveryMinutes]]&lt;=Dashboard!$X$5,1,0),0)</f>
        <v>1</v>
      </c>
      <c r="Y82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3" s="3">
        <f>IF(AND(Clean_Data[[#This Row],[Include]]=1,Clean_Data[[#This Row],[DeliveredFlag]]=1),1,0)</f>
        <v>1</v>
      </c>
      <c r="AA823" s="1">
        <f>IF(COUNTIF($D$2:D823,D823)=1,ROW()-1,ROWS(Clean_Data[OrderID])+1)</f>
        <v>901</v>
      </c>
      <c r="AB823" s="1">
        <f>IF(COUNTIF($F$2:F823,F823)=1,ROW()-1,ROWS(Clean_Data[OrderID])+1)</f>
        <v>901</v>
      </c>
      <c r="AC823" s="1">
        <f>IF(COUNTIF($G$2:G823,G823)=1,ROW()-1,ROWS(Clean_Data[OrderID])+1)</f>
        <v>901</v>
      </c>
      <c r="AD823" s="1">
        <f>IF(COUNTIF($H$2:H823,H823)=1,ROW()-1,ROWS(Clean_Data[OrderID])+1)</f>
        <v>901</v>
      </c>
      <c r="AE823" s="1">
        <f>IF(COUNTIF($V$2:V823,V823)=1,V823,ROWS(Clean_Data[OrderID])+1)</f>
        <v>901</v>
      </c>
      <c r="AF823" s="1">
        <f>IF(COUNTIF($U$2:U823,U823)=1,U823,ROWS(Clean_Data[OrderID])+1)</f>
        <v>901</v>
      </c>
      <c r="AG823" s="1">
        <f>IF(COUNTIF($E$2:E823,E823)=1,ROW()-1,ROWS(Clean_Data[OrderID])+1)</f>
        <v>901</v>
      </c>
    </row>
    <row r="824" spans="1:33" ht="20" customHeight="1">
      <c r="A824" s="3" t="s">
        <v>1228</v>
      </c>
      <c r="B824" s="2">
        <v>46293</v>
      </c>
      <c r="C824" s="3">
        <v>12</v>
      </c>
      <c r="D824" s="3" t="s">
        <v>963</v>
      </c>
      <c r="E824" s="3" t="s">
        <v>91</v>
      </c>
      <c r="F824" s="3" t="s">
        <v>92</v>
      </c>
      <c r="G824" s="3" t="s">
        <v>110</v>
      </c>
      <c r="H824" s="3" t="s">
        <v>114</v>
      </c>
      <c r="I824" s="3">
        <v>6</v>
      </c>
      <c r="J824" s="11">
        <v>145</v>
      </c>
      <c r="K824" s="4">
        <v>0</v>
      </c>
      <c r="L824" s="3" t="s">
        <v>95</v>
      </c>
      <c r="M824" s="3">
        <v>30</v>
      </c>
      <c r="N824" s="3">
        <v>6</v>
      </c>
      <c r="O824" s="3">
        <v>5</v>
      </c>
      <c r="P824" s="11">
        <f>Clean_Data[[#This Row],[Quantity]]*Clean_Data[[#This Row],[UnitPrice]]</f>
        <v>870</v>
      </c>
      <c r="Q824" s="11">
        <f>ROUND(Clean_Data[[#This Row],[GrossSales]]*Clean_Data[[#This Row],[DiscountPct]],2)</f>
        <v>0</v>
      </c>
      <c r="R824" s="11">
        <f>IF(Clean_Data[[#This Row],[Status]]="Delivered",ROUND(Clean_Data[[#This Row],[GrossSales]]-Clean_Data[[#This Row],[DiscountAmount]],2),0)</f>
        <v>870</v>
      </c>
      <c r="S824" s="3" t="str">
        <f>IF(Clean_Data[[#This Row],[OrderHour]]&lt;6,"Night",IF(Clean_Data[[#This Row],[OrderHour]]&lt;12,"Morning",IF(Clean_Data[[#This Row],[OrderHour]]&lt;18,"Afternoon","Evening")))</f>
        <v>Afternoon</v>
      </c>
      <c r="T824" s="3" t="str">
        <f>TEXT(Clean_Data[[#This Row],[OrderDate]],"[$-409]ddd")</f>
        <v>Mon</v>
      </c>
      <c r="U824" s="3">
        <f>WEEKDAY(Clean_Data[[#This Row],[OrderDate]],2)</f>
        <v>1</v>
      </c>
      <c r="V824" s="3">
        <f>INT(Clean_Data[[#This Row],[OrderHour]]/6)+1</f>
        <v>3</v>
      </c>
      <c r="W824" s="3">
        <f>IF(Clean_Data[[#This Row],[Status]]="Delivered",1,0)</f>
        <v>1</v>
      </c>
      <c r="X824" s="3">
        <f>IF(Clean_Data[[#This Row],[Status]]="Delivered",IF(Clean_Data[[#This Row],[DeliveryMinutes]]&lt;=Dashboard!$X$5,1,0),0)</f>
        <v>1</v>
      </c>
      <c r="Y82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4" s="3">
        <f>IF(AND(Clean_Data[[#This Row],[Include]]=1,Clean_Data[[#This Row],[DeliveredFlag]]=1),1,0)</f>
        <v>1</v>
      </c>
      <c r="AA824" s="1">
        <f>IF(COUNTIF($D$2:D824,D824)=1,ROW()-1,ROWS(Clean_Data[OrderID])+1)</f>
        <v>901</v>
      </c>
      <c r="AB824" s="1">
        <f>IF(COUNTIF($F$2:F824,F824)=1,ROW()-1,ROWS(Clean_Data[OrderID])+1)</f>
        <v>901</v>
      </c>
      <c r="AC824" s="1">
        <f>IF(COUNTIF($G$2:G824,G824)=1,ROW()-1,ROWS(Clean_Data[OrderID])+1)</f>
        <v>901</v>
      </c>
      <c r="AD824" s="1">
        <f>IF(COUNTIF($H$2:H824,H824)=1,ROW()-1,ROWS(Clean_Data[OrderID])+1)</f>
        <v>901</v>
      </c>
      <c r="AE824" s="1">
        <f>IF(COUNTIF($V$2:V824,V824)=1,V824,ROWS(Clean_Data[OrderID])+1)</f>
        <v>901</v>
      </c>
      <c r="AF824" s="1">
        <f>IF(COUNTIF($U$2:U824,U824)=1,U824,ROWS(Clean_Data[OrderID])+1)</f>
        <v>901</v>
      </c>
      <c r="AG824" s="1">
        <f>IF(COUNTIF($E$2:E824,E824)=1,ROW()-1,ROWS(Clean_Data[OrderID])+1)</f>
        <v>901</v>
      </c>
    </row>
    <row r="825" spans="1:33" ht="20" customHeight="1">
      <c r="A825" s="3" t="s">
        <v>1229</v>
      </c>
      <c r="B825" s="2">
        <v>46293</v>
      </c>
      <c r="C825" s="3">
        <v>21</v>
      </c>
      <c r="D825" s="3" t="s">
        <v>186</v>
      </c>
      <c r="E825" s="3" t="s">
        <v>117</v>
      </c>
      <c r="F825" s="3" t="s">
        <v>98</v>
      </c>
      <c r="G825" s="3" t="s">
        <v>135</v>
      </c>
      <c r="H825" s="3" t="s">
        <v>217</v>
      </c>
      <c r="I825" s="3">
        <v>4</v>
      </c>
      <c r="J825" s="11">
        <v>65</v>
      </c>
      <c r="K825" s="4">
        <v>0</v>
      </c>
      <c r="L825" s="3" t="s">
        <v>95</v>
      </c>
      <c r="M825" s="3">
        <v>27</v>
      </c>
      <c r="N825" s="3">
        <v>14</v>
      </c>
      <c r="O825" s="3">
        <v>5</v>
      </c>
      <c r="P825" s="11">
        <f>Clean_Data[[#This Row],[Quantity]]*Clean_Data[[#This Row],[UnitPrice]]</f>
        <v>260</v>
      </c>
      <c r="Q825" s="11">
        <f>ROUND(Clean_Data[[#This Row],[GrossSales]]*Clean_Data[[#This Row],[DiscountPct]],2)</f>
        <v>0</v>
      </c>
      <c r="R825" s="11">
        <f>IF(Clean_Data[[#This Row],[Status]]="Delivered",ROUND(Clean_Data[[#This Row],[GrossSales]]-Clean_Data[[#This Row],[DiscountAmount]],2),0)</f>
        <v>260</v>
      </c>
      <c r="S825" s="3" t="str">
        <f>IF(Clean_Data[[#This Row],[OrderHour]]&lt;6,"Night",IF(Clean_Data[[#This Row],[OrderHour]]&lt;12,"Morning",IF(Clean_Data[[#This Row],[OrderHour]]&lt;18,"Afternoon","Evening")))</f>
        <v>Evening</v>
      </c>
      <c r="T825" s="3" t="str">
        <f>TEXT(Clean_Data[[#This Row],[OrderDate]],"[$-409]ddd")</f>
        <v>Mon</v>
      </c>
      <c r="U825" s="3">
        <f>WEEKDAY(Clean_Data[[#This Row],[OrderDate]],2)</f>
        <v>1</v>
      </c>
      <c r="V825" s="3">
        <f>INT(Clean_Data[[#This Row],[OrderHour]]/6)+1</f>
        <v>4</v>
      </c>
      <c r="W825" s="3">
        <f>IF(Clean_Data[[#This Row],[Status]]="Delivered",1,0)</f>
        <v>1</v>
      </c>
      <c r="X825" s="3">
        <f>IF(Clean_Data[[#This Row],[Status]]="Delivered",IF(Clean_Data[[#This Row],[DeliveryMinutes]]&lt;=Dashboard!$X$5,1,0),0)</f>
        <v>1</v>
      </c>
      <c r="Y82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5" s="3">
        <f>IF(AND(Clean_Data[[#This Row],[Include]]=1,Clean_Data[[#This Row],[DeliveredFlag]]=1),1,0)</f>
        <v>1</v>
      </c>
      <c r="AA825" s="1">
        <f>IF(COUNTIF($D$2:D825,D825)=1,ROW()-1,ROWS(Clean_Data[OrderID])+1)</f>
        <v>901</v>
      </c>
      <c r="AB825" s="1">
        <f>IF(COUNTIF($F$2:F825,F825)=1,ROW()-1,ROWS(Clean_Data[OrderID])+1)</f>
        <v>901</v>
      </c>
      <c r="AC825" s="1">
        <f>IF(COUNTIF($G$2:G825,G825)=1,ROW()-1,ROWS(Clean_Data[OrderID])+1)</f>
        <v>901</v>
      </c>
      <c r="AD825" s="1">
        <f>IF(COUNTIF($H$2:H825,H825)=1,ROW()-1,ROWS(Clean_Data[OrderID])+1)</f>
        <v>901</v>
      </c>
      <c r="AE825" s="1">
        <f>IF(COUNTIF($V$2:V825,V825)=1,V825,ROWS(Clean_Data[OrderID])+1)</f>
        <v>901</v>
      </c>
      <c r="AF825" s="1">
        <f>IF(COUNTIF($U$2:U825,U825)=1,U825,ROWS(Clean_Data[OrderID])+1)</f>
        <v>901</v>
      </c>
      <c r="AG825" s="1">
        <f>IF(COUNTIF($E$2:E825,E825)=1,ROW()-1,ROWS(Clean_Data[OrderID])+1)</f>
        <v>901</v>
      </c>
    </row>
    <row r="826" spans="1:33" ht="20" customHeight="1">
      <c r="A826" s="3" t="s">
        <v>1230</v>
      </c>
      <c r="B826" s="2">
        <v>46293</v>
      </c>
      <c r="C826" s="3">
        <v>23</v>
      </c>
      <c r="D826" s="3" t="s">
        <v>462</v>
      </c>
      <c r="E826" s="3" t="s">
        <v>91</v>
      </c>
      <c r="F826" s="3" t="s">
        <v>121</v>
      </c>
      <c r="G826" s="3" t="s">
        <v>122</v>
      </c>
      <c r="H826" s="3" t="s">
        <v>214</v>
      </c>
      <c r="I826" s="3">
        <v>1</v>
      </c>
      <c r="J826" s="11">
        <v>55</v>
      </c>
      <c r="K826" s="4">
        <v>0.15</v>
      </c>
      <c r="L826" s="3" t="s">
        <v>95</v>
      </c>
      <c r="M826" s="3">
        <v>16</v>
      </c>
      <c r="N826" s="3">
        <v>5</v>
      </c>
      <c r="O826" s="3">
        <v>4</v>
      </c>
      <c r="P826" s="11">
        <f>Clean_Data[[#This Row],[Quantity]]*Clean_Data[[#This Row],[UnitPrice]]</f>
        <v>55</v>
      </c>
      <c r="Q826" s="11">
        <f>ROUND(Clean_Data[[#This Row],[GrossSales]]*Clean_Data[[#This Row],[DiscountPct]],2)</f>
        <v>8.25</v>
      </c>
      <c r="R826" s="11">
        <f>IF(Clean_Data[[#This Row],[Status]]="Delivered",ROUND(Clean_Data[[#This Row],[GrossSales]]-Clean_Data[[#This Row],[DiscountAmount]],2),0)</f>
        <v>46.75</v>
      </c>
      <c r="S826" s="3" t="str">
        <f>IF(Clean_Data[[#This Row],[OrderHour]]&lt;6,"Night",IF(Clean_Data[[#This Row],[OrderHour]]&lt;12,"Morning",IF(Clean_Data[[#This Row],[OrderHour]]&lt;18,"Afternoon","Evening")))</f>
        <v>Evening</v>
      </c>
      <c r="T826" s="3" t="str">
        <f>TEXT(Clean_Data[[#This Row],[OrderDate]],"[$-409]ddd")</f>
        <v>Mon</v>
      </c>
      <c r="U826" s="3">
        <f>WEEKDAY(Clean_Data[[#This Row],[OrderDate]],2)</f>
        <v>1</v>
      </c>
      <c r="V826" s="3">
        <f>INT(Clean_Data[[#This Row],[OrderHour]]/6)+1</f>
        <v>4</v>
      </c>
      <c r="W826" s="3">
        <f>IF(Clean_Data[[#This Row],[Status]]="Delivered",1,0)</f>
        <v>1</v>
      </c>
      <c r="X826" s="3">
        <f>IF(Clean_Data[[#This Row],[Status]]="Delivered",IF(Clean_Data[[#This Row],[DeliveryMinutes]]&lt;=Dashboard!$X$5,1,0),0)</f>
        <v>1</v>
      </c>
      <c r="Y82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6" s="3">
        <f>IF(AND(Clean_Data[[#This Row],[Include]]=1,Clean_Data[[#This Row],[DeliveredFlag]]=1),1,0)</f>
        <v>1</v>
      </c>
      <c r="AA826" s="1">
        <f>IF(COUNTIF($D$2:D826,D826)=1,ROW()-1,ROWS(Clean_Data[OrderID])+1)</f>
        <v>901</v>
      </c>
      <c r="AB826" s="1">
        <f>IF(COUNTIF($F$2:F826,F826)=1,ROW()-1,ROWS(Clean_Data[OrderID])+1)</f>
        <v>901</v>
      </c>
      <c r="AC826" s="1">
        <f>IF(COUNTIF($G$2:G826,G826)=1,ROW()-1,ROWS(Clean_Data[OrderID])+1)</f>
        <v>901</v>
      </c>
      <c r="AD826" s="1">
        <f>IF(COUNTIF($H$2:H826,H826)=1,ROW()-1,ROWS(Clean_Data[OrderID])+1)</f>
        <v>901</v>
      </c>
      <c r="AE826" s="1">
        <f>IF(COUNTIF($V$2:V826,V826)=1,V826,ROWS(Clean_Data[OrderID])+1)</f>
        <v>901</v>
      </c>
      <c r="AF826" s="1">
        <f>IF(COUNTIF($U$2:U826,U826)=1,U826,ROWS(Clean_Data[OrderID])+1)</f>
        <v>901</v>
      </c>
      <c r="AG826" s="1">
        <f>IF(COUNTIF($E$2:E826,E826)=1,ROW()-1,ROWS(Clean_Data[OrderID])+1)</f>
        <v>901</v>
      </c>
    </row>
    <row r="827" spans="1:33" ht="20" customHeight="1">
      <c r="A827" s="3" t="s">
        <v>1231</v>
      </c>
      <c r="B827" s="2">
        <v>46293</v>
      </c>
      <c r="C827" s="3">
        <v>17</v>
      </c>
      <c r="D827" s="3" t="s">
        <v>332</v>
      </c>
      <c r="E827" s="3" t="s">
        <v>91</v>
      </c>
      <c r="F827" s="3" t="s">
        <v>139</v>
      </c>
      <c r="G827" s="3" t="s">
        <v>110</v>
      </c>
      <c r="H827" s="3" t="s">
        <v>206</v>
      </c>
      <c r="I827" s="3">
        <v>5</v>
      </c>
      <c r="J827" s="11">
        <v>220</v>
      </c>
      <c r="K827" s="4">
        <v>0.15</v>
      </c>
      <c r="L827" s="3" t="s">
        <v>95</v>
      </c>
      <c r="M827" s="3">
        <v>13</v>
      </c>
      <c r="N827" s="3">
        <v>5</v>
      </c>
      <c r="O827" s="3">
        <v>4</v>
      </c>
      <c r="P827" s="11">
        <f>Clean_Data[[#This Row],[Quantity]]*Clean_Data[[#This Row],[UnitPrice]]</f>
        <v>1100</v>
      </c>
      <c r="Q827" s="11">
        <f>ROUND(Clean_Data[[#This Row],[GrossSales]]*Clean_Data[[#This Row],[DiscountPct]],2)</f>
        <v>165</v>
      </c>
      <c r="R827" s="11">
        <f>IF(Clean_Data[[#This Row],[Status]]="Delivered",ROUND(Clean_Data[[#This Row],[GrossSales]]-Clean_Data[[#This Row],[DiscountAmount]],2),0)</f>
        <v>935</v>
      </c>
      <c r="S827" s="3" t="str">
        <f>IF(Clean_Data[[#This Row],[OrderHour]]&lt;6,"Night",IF(Clean_Data[[#This Row],[OrderHour]]&lt;12,"Morning",IF(Clean_Data[[#This Row],[OrderHour]]&lt;18,"Afternoon","Evening")))</f>
        <v>Afternoon</v>
      </c>
      <c r="T827" s="3" t="str">
        <f>TEXT(Clean_Data[[#This Row],[OrderDate]],"[$-409]ddd")</f>
        <v>Mon</v>
      </c>
      <c r="U827" s="3">
        <f>WEEKDAY(Clean_Data[[#This Row],[OrderDate]],2)</f>
        <v>1</v>
      </c>
      <c r="V827" s="3">
        <f>INT(Clean_Data[[#This Row],[OrderHour]]/6)+1</f>
        <v>3</v>
      </c>
      <c r="W827" s="3">
        <f>IF(Clean_Data[[#This Row],[Status]]="Delivered",1,0)</f>
        <v>1</v>
      </c>
      <c r="X827" s="3">
        <f>IF(Clean_Data[[#This Row],[Status]]="Delivered",IF(Clean_Data[[#This Row],[DeliveryMinutes]]&lt;=Dashboard!$X$5,1,0),0)</f>
        <v>1</v>
      </c>
      <c r="Y82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7" s="3">
        <f>IF(AND(Clean_Data[[#This Row],[Include]]=1,Clean_Data[[#This Row],[DeliveredFlag]]=1),1,0)</f>
        <v>1</v>
      </c>
      <c r="AA827" s="1">
        <f>IF(COUNTIF($D$2:D827,D827)=1,ROW()-1,ROWS(Clean_Data[OrderID])+1)</f>
        <v>901</v>
      </c>
      <c r="AB827" s="1">
        <f>IF(COUNTIF($F$2:F827,F827)=1,ROW()-1,ROWS(Clean_Data[OrderID])+1)</f>
        <v>901</v>
      </c>
      <c r="AC827" s="1">
        <f>IF(COUNTIF($G$2:G827,G827)=1,ROW()-1,ROWS(Clean_Data[OrderID])+1)</f>
        <v>901</v>
      </c>
      <c r="AD827" s="1">
        <f>IF(COUNTIF($H$2:H827,H827)=1,ROW()-1,ROWS(Clean_Data[OrderID])+1)</f>
        <v>901</v>
      </c>
      <c r="AE827" s="1">
        <f>IF(COUNTIF($V$2:V827,V827)=1,V827,ROWS(Clean_Data[OrderID])+1)</f>
        <v>901</v>
      </c>
      <c r="AF827" s="1">
        <f>IF(COUNTIF($U$2:U827,U827)=1,U827,ROWS(Clean_Data[OrderID])+1)</f>
        <v>901</v>
      </c>
      <c r="AG827" s="1">
        <f>IF(COUNTIF($E$2:E827,E827)=1,ROW()-1,ROWS(Clean_Data[OrderID])+1)</f>
        <v>901</v>
      </c>
    </row>
    <row r="828" spans="1:33" ht="20" customHeight="1">
      <c r="A828" s="3" t="s">
        <v>1232</v>
      </c>
      <c r="B828" s="2">
        <v>46293</v>
      </c>
      <c r="C828" s="3">
        <v>12</v>
      </c>
      <c r="D828" s="3" t="s">
        <v>555</v>
      </c>
      <c r="E828" s="3" t="s">
        <v>117</v>
      </c>
      <c r="F828" s="3" t="s">
        <v>98</v>
      </c>
      <c r="G828" s="3" t="s">
        <v>135</v>
      </c>
      <c r="H828" s="3" t="s">
        <v>136</v>
      </c>
      <c r="I828" s="3">
        <v>1</v>
      </c>
      <c r="J828" s="11">
        <v>40</v>
      </c>
      <c r="K828" s="4">
        <v>0.05</v>
      </c>
      <c r="L828" s="3" t="s">
        <v>95</v>
      </c>
      <c r="M828" s="3">
        <v>34</v>
      </c>
      <c r="N828" s="3">
        <v>9</v>
      </c>
      <c r="O828" s="3">
        <v>5</v>
      </c>
      <c r="P828" s="11">
        <f>Clean_Data[[#This Row],[Quantity]]*Clean_Data[[#This Row],[UnitPrice]]</f>
        <v>40</v>
      </c>
      <c r="Q828" s="11">
        <f>ROUND(Clean_Data[[#This Row],[GrossSales]]*Clean_Data[[#This Row],[DiscountPct]],2)</f>
        <v>2</v>
      </c>
      <c r="R828" s="11">
        <f>IF(Clean_Data[[#This Row],[Status]]="Delivered",ROUND(Clean_Data[[#This Row],[GrossSales]]-Clean_Data[[#This Row],[DiscountAmount]],2),0)</f>
        <v>38</v>
      </c>
      <c r="S828" s="3" t="str">
        <f>IF(Clean_Data[[#This Row],[OrderHour]]&lt;6,"Night",IF(Clean_Data[[#This Row],[OrderHour]]&lt;12,"Morning",IF(Clean_Data[[#This Row],[OrderHour]]&lt;18,"Afternoon","Evening")))</f>
        <v>Afternoon</v>
      </c>
      <c r="T828" s="3" t="str">
        <f>TEXT(Clean_Data[[#This Row],[OrderDate]],"[$-409]ddd")</f>
        <v>Mon</v>
      </c>
      <c r="U828" s="3">
        <f>WEEKDAY(Clean_Data[[#This Row],[OrderDate]],2)</f>
        <v>1</v>
      </c>
      <c r="V828" s="3">
        <f>INT(Clean_Data[[#This Row],[OrderHour]]/6)+1</f>
        <v>3</v>
      </c>
      <c r="W828" s="3">
        <f>IF(Clean_Data[[#This Row],[Status]]="Delivered",1,0)</f>
        <v>1</v>
      </c>
      <c r="X828" s="3">
        <f>IF(Clean_Data[[#This Row],[Status]]="Delivered",IF(Clean_Data[[#This Row],[DeliveryMinutes]]&lt;=Dashboard!$X$5,1,0),0)</f>
        <v>0</v>
      </c>
      <c r="Y82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8" s="3">
        <f>IF(AND(Clean_Data[[#This Row],[Include]]=1,Clean_Data[[#This Row],[DeliveredFlag]]=1),1,0)</f>
        <v>1</v>
      </c>
      <c r="AA828" s="1">
        <f>IF(COUNTIF($D$2:D828,D828)=1,ROW()-1,ROWS(Clean_Data[OrderID])+1)</f>
        <v>901</v>
      </c>
      <c r="AB828" s="1">
        <f>IF(COUNTIF($F$2:F828,F828)=1,ROW()-1,ROWS(Clean_Data[OrderID])+1)</f>
        <v>901</v>
      </c>
      <c r="AC828" s="1">
        <f>IF(COUNTIF($G$2:G828,G828)=1,ROW()-1,ROWS(Clean_Data[OrderID])+1)</f>
        <v>901</v>
      </c>
      <c r="AD828" s="1">
        <f>IF(COUNTIF($H$2:H828,H828)=1,ROW()-1,ROWS(Clean_Data[OrderID])+1)</f>
        <v>901</v>
      </c>
      <c r="AE828" s="1">
        <f>IF(COUNTIF($V$2:V828,V828)=1,V828,ROWS(Clean_Data[OrderID])+1)</f>
        <v>901</v>
      </c>
      <c r="AF828" s="1">
        <f>IF(COUNTIF($U$2:U828,U828)=1,U828,ROWS(Clean_Data[OrderID])+1)</f>
        <v>901</v>
      </c>
      <c r="AG828" s="1">
        <f>IF(COUNTIF($E$2:E828,E828)=1,ROW()-1,ROWS(Clean_Data[OrderID])+1)</f>
        <v>901</v>
      </c>
    </row>
    <row r="829" spans="1:33" ht="20" customHeight="1">
      <c r="A829" s="3" t="s">
        <v>1233</v>
      </c>
      <c r="B829" s="2">
        <v>46293</v>
      </c>
      <c r="C829" s="3">
        <v>20</v>
      </c>
      <c r="D829" s="3" t="s">
        <v>499</v>
      </c>
      <c r="E829" s="3" t="s">
        <v>91</v>
      </c>
      <c r="F829" s="3" t="s">
        <v>139</v>
      </c>
      <c r="G829" s="3" t="s">
        <v>99</v>
      </c>
      <c r="H829" s="3" t="s">
        <v>130</v>
      </c>
      <c r="I829" s="3">
        <v>6</v>
      </c>
      <c r="J829" s="11">
        <v>85</v>
      </c>
      <c r="K829" s="4">
        <v>0</v>
      </c>
      <c r="L829" s="3" t="s">
        <v>95</v>
      </c>
      <c r="M829" s="3">
        <v>18</v>
      </c>
      <c r="N829" s="3">
        <v>4</v>
      </c>
      <c r="O829" s="3">
        <v>4</v>
      </c>
      <c r="P829" s="11">
        <f>Clean_Data[[#This Row],[Quantity]]*Clean_Data[[#This Row],[UnitPrice]]</f>
        <v>510</v>
      </c>
      <c r="Q829" s="11">
        <f>ROUND(Clean_Data[[#This Row],[GrossSales]]*Clean_Data[[#This Row],[DiscountPct]],2)</f>
        <v>0</v>
      </c>
      <c r="R829" s="11">
        <f>IF(Clean_Data[[#This Row],[Status]]="Delivered",ROUND(Clean_Data[[#This Row],[GrossSales]]-Clean_Data[[#This Row],[DiscountAmount]],2),0)</f>
        <v>510</v>
      </c>
      <c r="S829" s="3" t="str">
        <f>IF(Clean_Data[[#This Row],[OrderHour]]&lt;6,"Night",IF(Clean_Data[[#This Row],[OrderHour]]&lt;12,"Morning",IF(Clean_Data[[#This Row],[OrderHour]]&lt;18,"Afternoon","Evening")))</f>
        <v>Evening</v>
      </c>
      <c r="T829" s="3" t="str">
        <f>TEXT(Clean_Data[[#This Row],[OrderDate]],"[$-409]ddd")</f>
        <v>Mon</v>
      </c>
      <c r="U829" s="3">
        <f>WEEKDAY(Clean_Data[[#This Row],[OrderDate]],2)</f>
        <v>1</v>
      </c>
      <c r="V829" s="3">
        <f>INT(Clean_Data[[#This Row],[OrderHour]]/6)+1</f>
        <v>4</v>
      </c>
      <c r="W829" s="3">
        <f>IF(Clean_Data[[#This Row],[Status]]="Delivered",1,0)</f>
        <v>1</v>
      </c>
      <c r="X829" s="3">
        <f>IF(Clean_Data[[#This Row],[Status]]="Delivered",IF(Clean_Data[[#This Row],[DeliveryMinutes]]&lt;=Dashboard!$X$5,1,0),0)</f>
        <v>1</v>
      </c>
      <c r="Y82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29" s="3">
        <f>IF(AND(Clean_Data[[#This Row],[Include]]=1,Clean_Data[[#This Row],[DeliveredFlag]]=1),1,0)</f>
        <v>1</v>
      </c>
      <c r="AA829" s="1">
        <f>IF(COUNTIF($D$2:D829,D829)=1,ROW()-1,ROWS(Clean_Data[OrderID])+1)</f>
        <v>901</v>
      </c>
      <c r="AB829" s="1">
        <f>IF(COUNTIF($F$2:F829,F829)=1,ROW()-1,ROWS(Clean_Data[OrderID])+1)</f>
        <v>901</v>
      </c>
      <c r="AC829" s="1">
        <f>IF(COUNTIF($G$2:G829,G829)=1,ROW()-1,ROWS(Clean_Data[OrderID])+1)</f>
        <v>901</v>
      </c>
      <c r="AD829" s="1">
        <f>IF(COUNTIF($H$2:H829,H829)=1,ROW()-1,ROWS(Clean_Data[OrderID])+1)</f>
        <v>901</v>
      </c>
      <c r="AE829" s="1">
        <f>IF(COUNTIF($V$2:V829,V829)=1,V829,ROWS(Clean_Data[OrderID])+1)</f>
        <v>901</v>
      </c>
      <c r="AF829" s="1">
        <f>IF(COUNTIF($U$2:U829,U829)=1,U829,ROWS(Clean_Data[OrderID])+1)</f>
        <v>901</v>
      </c>
      <c r="AG829" s="1">
        <f>IF(COUNTIF($E$2:E829,E829)=1,ROW()-1,ROWS(Clean_Data[OrderID])+1)</f>
        <v>901</v>
      </c>
    </row>
    <row r="830" spans="1:33" ht="20" customHeight="1">
      <c r="A830" s="3" t="s">
        <v>1234</v>
      </c>
      <c r="B830" s="2">
        <v>46293</v>
      </c>
      <c r="C830" s="3">
        <v>9</v>
      </c>
      <c r="D830" s="3" t="s">
        <v>138</v>
      </c>
      <c r="E830" s="3" t="s">
        <v>91</v>
      </c>
      <c r="F830" s="3" t="s">
        <v>121</v>
      </c>
      <c r="G830" s="3" t="s">
        <v>135</v>
      </c>
      <c r="H830" s="3" t="s">
        <v>217</v>
      </c>
      <c r="I830" s="3">
        <v>1</v>
      </c>
      <c r="J830" s="11">
        <v>65</v>
      </c>
      <c r="K830" s="4">
        <v>0.15</v>
      </c>
      <c r="L830" s="3" t="s">
        <v>95</v>
      </c>
      <c r="M830" s="3">
        <v>25</v>
      </c>
      <c r="N830" s="3">
        <v>10</v>
      </c>
      <c r="O830" s="3">
        <v>4</v>
      </c>
      <c r="P830" s="11">
        <f>Clean_Data[[#This Row],[Quantity]]*Clean_Data[[#This Row],[UnitPrice]]</f>
        <v>65</v>
      </c>
      <c r="Q830" s="11">
        <f>ROUND(Clean_Data[[#This Row],[GrossSales]]*Clean_Data[[#This Row],[DiscountPct]],2)</f>
        <v>9.75</v>
      </c>
      <c r="R830" s="11">
        <f>IF(Clean_Data[[#This Row],[Status]]="Delivered",ROUND(Clean_Data[[#This Row],[GrossSales]]-Clean_Data[[#This Row],[DiscountAmount]],2),0)</f>
        <v>55.25</v>
      </c>
      <c r="S830" s="3" t="str">
        <f>IF(Clean_Data[[#This Row],[OrderHour]]&lt;6,"Night",IF(Clean_Data[[#This Row],[OrderHour]]&lt;12,"Morning",IF(Clean_Data[[#This Row],[OrderHour]]&lt;18,"Afternoon","Evening")))</f>
        <v>Morning</v>
      </c>
      <c r="T830" s="3" t="str">
        <f>TEXT(Clean_Data[[#This Row],[OrderDate]],"[$-409]ddd")</f>
        <v>Mon</v>
      </c>
      <c r="U830" s="3">
        <f>WEEKDAY(Clean_Data[[#This Row],[OrderDate]],2)</f>
        <v>1</v>
      </c>
      <c r="V830" s="3">
        <f>INT(Clean_Data[[#This Row],[OrderHour]]/6)+1</f>
        <v>2</v>
      </c>
      <c r="W830" s="3">
        <f>IF(Clean_Data[[#This Row],[Status]]="Delivered",1,0)</f>
        <v>1</v>
      </c>
      <c r="X830" s="3">
        <f>IF(Clean_Data[[#This Row],[Status]]="Delivered",IF(Clean_Data[[#This Row],[DeliveryMinutes]]&lt;=Dashboard!$X$5,1,0),0)</f>
        <v>1</v>
      </c>
      <c r="Y83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0" s="3">
        <f>IF(AND(Clean_Data[[#This Row],[Include]]=1,Clean_Data[[#This Row],[DeliveredFlag]]=1),1,0)</f>
        <v>1</v>
      </c>
      <c r="AA830" s="1">
        <f>IF(COUNTIF($D$2:D830,D830)=1,ROW()-1,ROWS(Clean_Data[OrderID])+1)</f>
        <v>901</v>
      </c>
      <c r="AB830" s="1">
        <f>IF(COUNTIF($F$2:F830,F830)=1,ROW()-1,ROWS(Clean_Data[OrderID])+1)</f>
        <v>901</v>
      </c>
      <c r="AC830" s="1">
        <f>IF(COUNTIF($G$2:G830,G830)=1,ROW()-1,ROWS(Clean_Data[OrderID])+1)</f>
        <v>901</v>
      </c>
      <c r="AD830" s="1">
        <f>IF(COUNTIF($H$2:H830,H830)=1,ROW()-1,ROWS(Clean_Data[OrderID])+1)</f>
        <v>901</v>
      </c>
      <c r="AE830" s="1">
        <f>IF(COUNTIF($V$2:V830,V830)=1,V830,ROWS(Clean_Data[OrderID])+1)</f>
        <v>901</v>
      </c>
      <c r="AF830" s="1">
        <f>IF(COUNTIF($U$2:U830,U830)=1,U830,ROWS(Clean_Data[OrderID])+1)</f>
        <v>901</v>
      </c>
      <c r="AG830" s="1">
        <f>IF(COUNTIF($E$2:E830,E830)=1,ROW()-1,ROWS(Clean_Data[OrderID])+1)</f>
        <v>901</v>
      </c>
    </row>
    <row r="831" spans="1:33" ht="20" customHeight="1">
      <c r="A831" s="3" t="s">
        <v>1235</v>
      </c>
      <c r="B831" s="2">
        <v>46293</v>
      </c>
      <c r="C831" s="3">
        <v>20</v>
      </c>
      <c r="D831" s="3" t="s">
        <v>287</v>
      </c>
      <c r="E831" s="3" t="s">
        <v>91</v>
      </c>
      <c r="F831" s="3" t="s">
        <v>121</v>
      </c>
      <c r="G831" s="3" t="s">
        <v>174</v>
      </c>
      <c r="H831" s="3" t="s">
        <v>175</v>
      </c>
      <c r="I831" s="3">
        <v>4</v>
      </c>
      <c r="J831" s="11">
        <v>155</v>
      </c>
      <c r="K831" s="4">
        <v>0</v>
      </c>
      <c r="L831" s="3" t="s">
        <v>95</v>
      </c>
      <c r="M831" s="3">
        <v>24</v>
      </c>
      <c r="N831" s="3">
        <v>12</v>
      </c>
      <c r="O831" s="3">
        <v>4</v>
      </c>
      <c r="P831" s="11">
        <f>Clean_Data[[#This Row],[Quantity]]*Clean_Data[[#This Row],[UnitPrice]]</f>
        <v>620</v>
      </c>
      <c r="Q831" s="11">
        <f>ROUND(Clean_Data[[#This Row],[GrossSales]]*Clean_Data[[#This Row],[DiscountPct]],2)</f>
        <v>0</v>
      </c>
      <c r="R831" s="11">
        <f>IF(Clean_Data[[#This Row],[Status]]="Delivered",ROUND(Clean_Data[[#This Row],[GrossSales]]-Clean_Data[[#This Row],[DiscountAmount]],2),0)</f>
        <v>620</v>
      </c>
      <c r="S831" s="3" t="str">
        <f>IF(Clean_Data[[#This Row],[OrderHour]]&lt;6,"Night",IF(Clean_Data[[#This Row],[OrderHour]]&lt;12,"Morning",IF(Clean_Data[[#This Row],[OrderHour]]&lt;18,"Afternoon","Evening")))</f>
        <v>Evening</v>
      </c>
      <c r="T831" s="3" t="str">
        <f>TEXT(Clean_Data[[#This Row],[OrderDate]],"[$-409]ddd")</f>
        <v>Mon</v>
      </c>
      <c r="U831" s="3">
        <f>WEEKDAY(Clean_Data[[#This Row],[OrderDate]],2)</f>
        <v>1</v>
      </c>
      <c r="V831" s="3">
        <f>INT(Clean_Data[[#This Row],[OrderHour]]/6)+1</f>
        <v>4</v>
      </c>
      <c r="W831" s="3">
        <f>IF(Clean_Data[[#This Row],[Status]]="Delivered",1,0)</f>
        <v>1</v>
      </c>
      <c r="X831" s="3">
        <f>IF(Clean_Data[[#This Row],[Status]]="Delivered",IF(Clean_Data[[#This Row],[DeliveryMinutes]]&lt;=Dashboard!$X$5,1,0),0)</f>
        <v>1</v>
      </c>
      <c r="Y83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1" s="3">
        <f>IF(AND(Clean_Data[[#This Row],[Include]]=1,Clean_Data[[#This Row],[DeliveredFlag]]=1),1,0)</f>
        <v>1</v>
      </c>
      <c r="AA831" s="1">
        <f>IF(COUNTIF($D$2:D831,D831)=1,ROW()-1,ROWS(Clean_Data[OrderID])+1)</f>
        <v>901</v>
      </c>
      <c r="AB831" s="1">
        <f>IF(COUNTIF($F$2:F831,F831)=1,ROW()-1,ROWS(Clean_Data[OrderID])+1)</f>
        <v>901</v>
      </c>
      <c r="AC831" s="1">
        <f>IF(COUNTIF($G$2:G831,G831)=1,ROW()-1,ROWS(Clean_Data[OrderID])+1)</f>
        <v>901</v>
      </c>
      <c r="AD831" s="1">
        <f>IF(COUNTIF($H$2:H831,H831)=1,ROW()-1,ROWS(Clean_Data[OrderID])+1)</f>
        <v>901</v>
      </c>
      <c r="AE831" s="1">
        <f>IF(COUNTIF($V$2:V831,V831)=1,V831,ROWS(Clean_Data[OrderID])+1)</f>
        <v>901</v>
      </c>
      <c r="AF831" s="1">
        <f>IF(COUNTIF($U$2:U831,U831)=1,U831,ROWS(Clean_Data[OrderID])+1)</f>
        <v>901</v>
      </c>
      <c r="AG831" s="1">
        <f>IF(COUNTIF($E$2:E831,E831)=1,ROW()-1,ROWS(Clean_Data[OrderID])+1)</f>
        <v>901</v>
      </c>
    </row>
    <row r="832" spans="1:33" ht="20" customHeight="1">
      <c r="A832" s="3" t="s">
        <v>1236</v>
      </c>
      <c r="B832" s="2">
        <v>46293</v>
      </c>
      <c r="C832" s="3">
        <v>9</v>
      </c>
      <c r="D832" s="3" t="s">
        <v>322</v>
      </c>
      <c r="E832" s="3" t="s">
        <v>117</v>
      </c>
      <c r="F832" s="3" t="s">
        <v>139</v>
      </c>
      <c r="G832" s="3" t="s">
        <v>110</v>
      </c>
      <c r="H832" s="3" t="s">
        <v>114</v>
      </c>
      <c r="I832" s="3">
        <v>2</v>
      </c>
      <c r="J832" s="11">
        <v>145</v>
      </c>
      <c r="K832" s="4">
        <v>0</v>
      </c>
      <c r="L832" s="3" t="s">
        <v>95</v>
      </c>
      <c r="M832" s="3">
        <v>22</v>
      </c>
      <c r="N832" s="3">
        <v>12</v>
      </c>
      <c r="O832" s="3">
        <v>5</v>
      </c>
      <c r="P832" s="11">
        <f>Clean_Data[[#This Row],[Quantity]]*Clean_Data[[#This Row],[UnitPrice]]</f>
        <v>290</v>
      </c>
      <c r="Q832" s="11">
        <f>ROUND(Clean_Data[[#This Row],[GrossSales]]*Clean_Data[[#This Row],[DiscountPct]],2)</f>
        <v>0</v>
      </c>
      <c r="R832" s="11">
        <f>IF(Clean_Data[[#This Row],[Status]]="Delivered",ROUND(Clean_Data[[#This Row],[GrossSales]]-Clean_Data[[#This Row],[DiscountAmount]],2),0)</f>
        <v>290</v>
      </c>
      <c r="S832" s="3" t="str">
        <f>IF(Clean_Data[[#This Row],[OrderHour]]&lt;6,"Night",IF(Clean_Data[[#This Row],[OrderHour]]&lt;12,"Morning",IF(Clean_Data[[#This Row],[OrderHour]]&lt;18,"Afternoon","Evening")))</f>
        <v>Morning</v>
      </c>
      <c r="T832" s="3" t="str">
        <f>TEXT(Clean_Data[[#This Row],[OrderDate]],"[$-409]ddd")</f>
        <v>Mon</v>
      </c>
      <c r="U832" s="3">
        <f>WEEKDAY(Clean_Data[[#This Row],[OrderDate]],2)</f>
        <v>1</v>
      </c>
      <c r="V832" s="3">
        <f>INT(Clean_Data[[#This Row],[OrderHour]]/6)+1</f>
        <v>2</v>
      </c>
      <c r="W832" s="3">
        <f>IF(Clean_Data[[#This Row],[Status]]="Delivered",1,0)</f>
        <v>1</v>
      </c>
      <c r="X832" s="3">
        <f>IF(Clean_Data[[#This Row],[Status]]="Delivered",IF(Clean_Data[[#This Row],[DeliveryMinutes]]&lt;=Dashboard!$X$5,1,0),0)</f>
        <v>1</v>
      </c>
      <c r="Y83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2" s="3">
        <f>IF(AND(Clean_Data[[#This Row],[Include]]=1,Clean_Data[[#This Row],[DeliveredFlag]]=1),1,0)</f>
        <v>1</v>
      </c>
      <c r="AA832" s="1">
        <f>IF(COUNTIF($D$2:D832,D832)=1,ROW()-1,ROWS(Clean_Data[OrderID])+1)</f>
        <v>901</v>
      </c>
      <c r="AB832" s="1">
        <f>IF(COUNTIF($F$2:F832,F832)=1,ROW()-1,ROWS(Clean_Data[OrderID])+1)</f>
        <v>901</v>
      </c>
      <c r="AC832" s="1">
        <f>IF(COUNTIF($G$2:G832,G832)=1,ROW()-1,ROWS(Clean_Data[OrderID])+1)</f>
        <v>901</v>
      </c>
      <c r="AD832" s="1">
        <f>IF(COUNTIF($H$2:H832,H832)=1,ROW()-1,ROWS(Clean_Data[OrderID])+1)</f>
        <v>901</v>
      </c>
      <c r="AE832" s="1">
        <f>IF(COUNTIF($V$2:V832,V832)=1,V832,ROWS(Clean_Data[OrderID])+1)</f>
        <v>901</v>
      </c>
      <c r="AF832" s="1">
        <f>IF(COUNTIF($U$2:U832,U832)=1,U832,ROWS(Clean_Data[OrderID])+1)</f>
        <v>901</v>
      </c>
      <c r="AG832" s="1">
        <f>IF(COUNTIF($E$2:E832,E832)=1,ROW()-1,ROWS(Clean_Data[OrderID])+1)</f>
        <v>901</v>
      </c>
    </row>
    <row r="833" spans="1:33" ht="20" customHeight="1">
      <c r="A833" s="3" t="s">
        <v>1237</v>
      </c>
      <c r="B833" s="2">
        <v>46293</v>
      </c>
      <c r="C833" s="3">
        <v>20</v>
      </c>
      <c r="D833" s="3" t="s">
        <v>628</v>
      </c>
      <c r="E833" s="3" t="s">
        <v>91</v>
      </c>
      <c r="F833" s="3" t="s">
        <v>92</v>
      </c>
      <c r="G833" s="3" t="s">
        <v>135</v>
      </c>
      <c r="H833" s="3" t="s">
        <v>162</v>
      </c>
      <c r="I833" s="3">
        <v>1</v>
      </c>
      <c r="J833" s="11">
        <v>180</v>
      </c>
      <c r="K833" s="4">
        <v>0</v>
      </c>
      <c r="L833" s="3" t="s">
        <v>95</v>
      </c>
      <c r="M833" s="3">
        <v>19</v>
      </c>
      <c r="N833" s="3">
        <v>6</v>
      </c>
      <c r="O833" s="3">
        <v>4</v>
      </c>
      <c r="P833" s="11">
        <f>Clean_Data[[#This Row],[Quantity]]*Clean_Data[[#This Row],[UnitPrice]]</f>
        <v>180</v>
      </c>
      <c r="Q833" s="11">
        <f>ROUND(Clean_Data[[#This Row],[GrossSales]]*Clean_Data[[#This Row],[DiscountPct]],2)</f>
        <v>0</v>
      </c>
      <c r="R833" s="11">
        <f>IF(Clean_Data[[#This Row],[Status]]="Delivered",ROUND(Clean_Data[[#This Row],[GrossSales]]-Clean_Data[[#This Row],[DiscountAmount]],2),0)</f>
        <v>180</v>
      </c>
      <c r="S833" s="3" t="str">
        <f>IF(Clean_Data[[#This Row],[OrderHour]]&lt;6,"Night",IF(Clean_Data[[#This Row],[OrderHour]]&lt;12,"Morning",IF(Clean_Data[[#This Row],[OrderHour]]&lt;18,"Afternoon","Evening")))</f>
        <v>Evening</v>
      </c>
      <c r="T833" s="3" t="str">
        <f>TEXT(Clean_Data[[#This Row],[OrderDate]],"[$-409]ddd")</f>
        <v>Mon</v>
      </c>
      <c r="U833" s="3">
        <f>WEEKDAY(Clean_Data[[#This Row],[OrderDate]],2)</f>
        <v>1</v>
      </c>
      <c r="V833" s="3">
        <f>INT(Clean_Data[[#This Row],[OrderHour]]/6)+1</f>
        <v>4</v>
      </c>
      <c r="W833" s="3">
        <f>IF(Clean_Data[[#This Row],[Status]]="Delivered",1,0)</f>
        <v>1</v>
      </c>
      <c r="X833" s="3">
        <f>IF(Clean_Data[[#This Row],[Status]]="Delivered",IF(Clean_Data[[#This Row],[DeliveryMinutes]]&lt;=Dashboard!$X$5,1,0),0)</f>
        <v>1</v>
      </c>
      <c r="Y83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3" s="3">
        <f>IF(AND(Clean_Data[[#This Row],[Include]]=1,Clean_Data[[#This Row],[DeliveredFlag]]=1),1,0)</f>
        <v>1</v>
      </c>
      <c r="AA833" s="1">
        <f>IF(COUNTIF($D$2:D833,D833)=1,ROW()-1,ROWS(Clean_Data[OrderID])+1)</f>
        <v>901</v>
      </c>
      <c r="AB833" s="1">
        <f>IF(COUNTIF($F$2:F833,F833)=1,ROW()-1,ROWS(Clean_Data[OrderID])+1)</f>
        <v>901</v>
      </c>
      <c r="AC833" s="1">
        <f>IF(COUNTIF($G$2:G833,G833)=1,ROW()-1,ROWS(Clean_Data[OrderID])+1)</f>
        <v>901</v>
      </c>
      <c r="AD833" s="1">
        <f>IF(COUNTIF($H$2:H833,H833)=1,ROW()-1,ROWS(Clean_Data[OrderID])+1)</f>
        <v>901</v>
      </c>
      <c r="AE833" s="1">
        <f>IF(COUNTIF($V$2:V833,V833)=1,V833,ROWS(Clean_Data[OrderID])+1)</f>
        <v>901</v>
      </c>
      <c r="AF833" s="1">
        <f>IF(COUNTIF($U$2:U833,U833)=1,U833,ROWS(Clean_Data[OrderID])+1)</f>
        <v>901</v>
      </c>
      <c r="AG833" s="1">
        <f>IF(COUNTIF($E$2:E833,E833)=1,ROW()-1,ROWS(Clean_Data[OrderID])+1)</f>
        <v>901</v>
      </c>
    </row>
    <row r="834" spans="1:33" ht="20" customHeight="1">
      <c r="A834" s="3" t="s">
        <v>1238</v>
      </c>
      <c r="B834" s="2">
        <v>46293</v>
      </c>
      <c r="C834" s="3">
        <v>8</v>
      </c>
      <c r="D834" s="3" t="s">
        <v>191</v>
      </c>
      <c r="E834" s="3" t="s">
        <v>91</v>
      </c>
      <c r="F834" s="3" t="s">
        <v>98</v>
      </c>
      <c r="G834" s="3" t="s">
        <v>93</v>
      </c>
      <c r="H834" s="3" t="s">
        <v>146</v>
      </c>
      <c r="I834" s="3">
        <v>1</v>
      </c>
      <c r="J834" s="11">
        <v>110</v>
      </c>
      <c r="K834" s="4">
        <v>0.1</v>
      </c>
      <c r="L834" s="3" t="s">
        <v>95</v>
      </c>
      <c r="M834" s="3">
        <v>33</v>
      </c>
      <c r="N834" s="3">
        <v>7</v>
      </c>
      <c r="O834" s="3">
        <v>5</v>
      </c>
      <c r="P834" s="11">
        <f>Clean_Data[[#This Row],[Quantity]]*Clean_Data[[#This Row],[UnitPrice]]</f>
        <v>110</v>
      </c>
      <c r="Q834" s="11">
        <f>ROUND(Clean_Data[[#This Row],[GrossSales]]*Clean_Data[[#This Row],[DiscountPct]],2)</f>
        <v>11</v>
      </c>
      <c r="R834" s="11">
        <f>IF(Clean_Data[[#This Row],[Status]]="Delivered",ROUND(Clean_Data[[#This Row],[GrossSales]]-Clean_Data[[#This Row],[DiscountAmount]],2),0)</f>
        <v>99</v>
      </c>
      <c r="S834" s="3" t="str">
        <f>IF(Clean_Data[[#This Row],[OrderHour]]&lt;6,"Night",IF(Clean_Data[[#This Row],[OrderHour]]&lt;12,"Morning",IF(Clean_Data[[#This Row],[OrderHour]]&lt;18,"Afternoon","Evening")))</f>
        <v>Morning</v>
      </c>
      <c r="T834" s="3" t="str">
        <f>TEXT(Clean_Data[[#This Row],[OrderDate]],"[$-409]ddd")</f>
        <v>Mon</v>
      </c>
      <c r="U834" s="3">
        <f>WEEKDAY(Clean_Data[[#This Row],[OrderDate]],2)</f>
        <v>1</v>
      </c>
      <c r="V834" s="3">
        <f>INT(Clean_Data[[#This Row],[OrderHour]]/6)+1</f>
        <v>2</v>
      </c>
      <c r="W834" s="3">
        <f>IF(Clean_Data[[#This Row],[Status]]="Delivered",1,0)</f>
        <v>1</v>
      </c>
      <c r="X834" s="3">
        <f>IF(Clean_Data[[#This Row],[Status]]="Delivered",IF(Clean_Data[[#This Row],[DeliveryMinutes]]&lt;=Dashboard!$X$5,1,0),0)</f>
        <v>0</v>
      </c>
      <c r="Y83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4" s="3">
        <f>IF(AND(Clean_Data[[#This Row],[Include]]=1,Clean_Data[[#This Row],[DeliveredFlag]]=1),1,0)</f>
        <v>1</v>
      </c>
      <c r="AA834" s="1">
        <f>IF(COUNTIF($D$2:D834,D834)=1,ROW()-1,ROWS(Clean_Data[OrderID])+1)</f>
        <v>901</v>
      </c>
      <c r="AB834" s="1">
        <f>IF(COUNTIF($F$2:F834,F834)=1,ROW()-1,ROWS(Clean_Data[OrderID])+1)</f>
        <v>901</v>
      </c>
      <c r="AC834" s="1">
        <f>IF(COUNTIF($G$2:G834,G834)=1,ROW()-1,ROWS(Clean_Data[OrderID])+1)</f>
        <v>901</v>
      </c>
      <c r="AD834" s="1">
        <f>IF(COUNTIF($H$2:H834,H834)=1,ROW()-1,ROWS(Clean_Data[OrderID])+1)</f>
        <v>901</v>
      </c>
      <c r="AE834" s="1">
        <f>IF(COUNTIF($V$2:V834,V834)=1,V834,ROWS(Clean_Data[OrderID])+1)</f>
        <v>901</v>
      </c>
      <c r="AF834" s="1">
        <f>IF(COUNTIF($U$2:U834,U834)=1,U834,ROWS(Clean_Data[OrderID])+1)</f>
        <v>901</v>
      </c>
      <c r="AG834" s="1">
        <f>IF(COUNTIF($E$2:E834,E834)=1,ROW()-1,ROWS(Clean_Data[OrderID])+1)</f>
        <v>901</v>
      </c>
    </row>
    <row r="835" spans="1:33" ht="20" customHeight="1">
      <c r="A835" s="3" t="s">
        <v>1239</v>
      </c>
      <c r="B835" s="2">
        <v>46293</v>
      </c>
      <c r="C835" s="3">
        <v>12</v>
      </c>
      <c r="D835" s="3" t="s">
        <v>630</v>
      </c>
      <c r="E835" s="3" t="s">
        <v>91</v>
      </c>
      <c r="F835" s="3" t="s">
        <v>121</v>
      </c>
      <c r="G835" s="3" t="s">
        <v>135</v>
      </c>
      <c r="H835" s="3" t="s">
        <v>217</v>
      </c>
      <c r="I835" s="3">
        <v>5</v>
      </c>
      <c r="J835" s="11">
        <v>65</v>
      </c>
      <c r="K835" s="4">
        <v>0.1</v>
      </c>
      <c r="L835" s="3" t="s">
        <v>95</v>
      </c>
      <c r="M835" s="3">
        <v>26</v>
      </c>
      <c r="N835" s="3">
        <v>8</v>
      </c>
      <c r="O835" s="3">
        <v>4</v>
      </c>
      <c r="P835" s="11">
        <f>Clean_Data[[#This Row],[Quantity]]*Clean_Data[[#This Row],[UnitPrice]]</f>
        <v>325</v>
      </c>
      <c r="Q835" s="11">
        <f>ROUND(Clean_Data[[#This Row],[GrossSales]]*Clean_Data[[#This Row],[DiscountPct]],2)</f>
        <v>32.5</v>
      </c>
      <c r="R835" s="11">
        <f>IF(Clean_Data[[#This Row],[Status]]="Delivered",ROUND(Clean_Data[[#This Row],[GrossSales]]-Clean_Data[[#This Row],[DiscountAmount]],2),0)</f>
        <v>292.5</v>
      </c>
      <c r="S835" s="3" t="str">
        <f>IF(Clean_Data[[#This Row],[OrderHour]]&lt;6,"Night",IF(Clean_Data[[#This Row],[OrderHour]]&lt;12,"Morning",IF(Clean_Data[[#This Row],[OrderHour]]&lt;18,"Afternoon","Evening")))</f>
        <v>Afternoon</v>
      </c>
      <c r="T835" s="3" t="str">
        <f>TEXT(Clean_Data[[#This Row],[OrderDate]],"[$-409]ddd")</f>
        <v>Mon</v>
      </c>
      <c r="U835" s="3">
        <f>WEEKDAY(Clean_Data[[#This Row],[OrderDate]],2)</f>
        <v>1</v>
      </c>
      <c r="V835" s="3">
        <f>INT(Clean_Data[[#This Row],[OrderHour]]/6)+1</f>
        <v>3</v>
      </c>
      <c r="W835" s="3">
        <f>IF(Clean_Data[[#This Row],[Status]]="Delivered",1,0)</f>
        <v>1</v>
      </c>
      <c r="X835" s="3">
        <f>IF(Clean_Data[[#This Row],[Status]]="Delivered",IF(Clean_Data[[#This Row],[DeliveryMinutes]]&lt;=Dashboard!$X$5,1,0),0)</f>
        <v>1</v>
      </c>
      <c r="Y83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5" s="3">
        <f>IF(AND(Clean_Data[[#This Row],[Include]]=1,Clean_Data[[#This Row],[DeliveredFlag]]=1),1,0)</f>
        <v>1</v>
      </c>
      <c r="AA835" s="1">
        <f>IF(COUNTIF($D$2:D835,D835)=1,ROW()-1,ROWS(Clean_Data[OrderID])+1)</f>
        <v>901</v>
      </c>
      <c r="AB835" s="1">
        <f>IF(COUNTIF($F$2:F835,F835)=1,ROW()-1,ROWS(Clean_Data[OrderID])+1)</f>
        <v>901</v>
      </c>
      <c r="AC835" s="1">
        <f>IF(COUNTIF($G$2:G835,G835)=1,ROW()-1,ROWS(Clean_Data[OrderID])+1)</f>
        <v>901</v>
      </c>
      <c r="AD835" s="1">
        <f>IF(COUNTIF($H$2:H835,H835)=1,ROW()-1,ROWS(Clean_Data[OrderID])+1)</f>
        <v>901</v>
      </c>
      <c r="AE835" s="1">
        <f>IF(COUNTIF($V$2:V835,V835)=1,V835,ROWS(Clean_Data[OrderID])+1)</f>
        <v>901</v>
      </c>
      <c r="AF835" s="1">
        <f>IF(COUNTIF($U$2:U835,U835)=1,U835,ROWS(Clean_Data[OrderID])+1)</f>
        <v>901</v>
      </c>
      <c r="AG835" s="1">
        <f>IF(COUNTIF($E$2:E835,E835)=1,ROW()-1,ROWS(Clean_Data[OrderID])+1)</f>
        <v>901</v>
      </c>
    </row>
    <row r="836" spans="1:33" ht="20" customHeight="1">
      <c r="A836" s="3" t="s">
        <v>1240</v>
      </c>
      <c r="B836" s="2">
        <v>46293</v>
      </c>
      <c r="C836" s="3">
        <v>23</v>
      </c>
      <c r="D836" s="3" t="s">
        <v>1241</v>
      </c>
      <c r="E836" s="3" t="s">
        <v>117</v>
      </c>
      <c r="F836" s="3" t="s">
        <v>92</v>
      </c>
      <c r="G836" s="3" t="s">
        <v>110</v>
      </c>
      <c r="H836" s="3" t="s">
        <v>206</v>
      </c>
      <c r="I836" s="3">
        <v>5</v>
      </c>
      <c r="J836" s="11">
        <v>220</v>
      </c>
      <c r="K836" s="4">
        <v>0.05</v>
      </c>
      <c r="L836" s="3" t="s">
        <v>95</v>
      </c>
      <c r="M836" s="3">
        <v>33</v>
      </c>
      <c r="N836" s="3">
        <v>10</v>
      </c>
      <c r="O836" s="3">
        <v>4</v>
      </c>
      <c r="P836" s="11">
        <f>Clean_Data[[#This Row],[Quantity]]*Clean_Data[[#This Row],[UnitPrice]]</f>
        <v>1100</v>
      </c>
      <c r="Q836" s="11">
        <f>ROUND(Clean_Data[[#This Row],[GrossSales]]*Clean_Data[[#This Row],[DiscountPct]],2)</f>
        <v>55</v>
      </c>
      <c r="R836" s="11">
        <f>IF(Clean_Data[[#This Row],[Status]]="Delivered",ROUND(Clean_Data[[#This Row],[GrossSales]]-Clean_Data[[#This Row],[DiscountAmount]],2),0)</f>
        <v>1045</v>
      </c>
      <c r="S836" s="3" t="str">
        <f>IF(Clean_Data[[#This Row],[OrderHour]]&lt;6,"Night",IF(Clean_Data[[#This Row],[OrderHour]]&lt;12,"Morning",IF(Clean_Data[[#This Row],[OrderHour]]&lt;18,"Afternoon","Evening")))</f>
        <v>Evening</v>
      </c>
      <c r="T836" s="3" t="str">
        <f>TEXT(Clean_Data[[#This Row],[OrderDate]],"[$-409]ddd")</f>
        <v>Mon</v>
      </c>
      <c r="U836" s="3">
        <f>WEEKDAY(Clean_Data[[#This Row],[OrderDate]],2)</f>
        <v>1</v>
      </c>
      <c r="V836" s="3">
        <f>INT(Clean_Data[[#This Row],[OrderHour]]/6)+1</f>
        <v>4</v>
      </c>
      <c r="W836" s="3">
        <f>IF(Clean_Data[[#This Row],[Status]]="Delivered",1,0)</f>
        <v>1</v>
      </c>
      <c r="X836" s="3">
        <f>IF(Clean_Data[[#This Row],[Status]]="Delivered",IF(Clean_Data[[#This Row],[DeliveryMinutes]]&lt;=Dashboard!$X$5,1,0),0)</f>
        <v>0</v>
      </c>
      <c r="Y83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6" s="3">
        <f>IF(AND(Clean_Data[[#This Row],[Include]]=1,Clean_Data[[#This Row],[DeliveredFlag]]=1),1,0)</f>
        <v>1</v>
      </c>
      <c r="AA836" s="1">
        <f>IF(COUNTIF($D$2:D836,D836)=1,ROW()-1,ROWS(Clean_Data[OrderID])+1)</f>
        <v>835</v>
      </c>
      <c r="AB836" s="1">
        <f>IF(COUNTIF($F$2:F836,F836)=1,ROW()-1,ROWS(Clean_Data[OrderID])+1)</f>
        <v>901</v>
      </c>
      <c r="AC836" s="1">
        <f>IF(COUNTIF($G$2:G836,G836)=1,ROW()-1,ROWS(Clean_Data[OrderID])+1)</f>
        <v>901</v>
      </c>
      <c r="AD836" s="1">
        <f>IF(COUNTIF($H$2:H836,H836)=1,ROW()-1,ROWS(Clean_Data[OrderID])+1)</f>
        <v>901</v>
      </c>
      <c r="AE836" s="1">
        <f>IF(COUNTIF($V$2:V836,V836)=1,V836,ROWS(Clean_Data[OrderID])+1)</f>
        <v>901</v>
      </c>
      <c r="AF836" s="1">
        <f>IF(COUNTIF($U$2:U836,U836)=1,U836,ROWS(Clean_Data[OrderID])+1)</f>
        <v>901</v>
      </c>
      <c r="AG836" s="1">
        <f>IF(COUNTIF($E$2:E836,E836)=1,ROW()-1,ROWS(Clean_Data[OrderID])+1)</f>
        <v>901</v>
      </c>
    </row>
    <row r="837" spans="1:33" ht="20" customHeight="1">
      <c r="A837" s="3" t="s">
        <v>1242</v>
      </c>
      <c r="B837" s="2">
        <v>46293</v>
      </c>
      <c r="C837" s="3">
        <v>20</v>
      </c>
      <c r="D837" s="3" t="s">
        <v>736</v>
      </c>
      <c r="E837" s="3" t="s">
        <v>117</v>
      </c>
      <c r="F837" s="3" t="s">
        <v>139</v>
      </c>
      <c r="G837" s="3" t="s">
        <v>174</v>
      </c>
      <c r="H837" s="3" t="s">
        <v>274</v>
      </c>
      <c r="I837" s="3">
        <v>2</v>
      </c>
      <c r="J837" s="11">
        <v>90</v>
      </c>
      <c r="K837" s="4">
        <v>0</v>
      </c>
      <c r="L837" s="3" t="s">
        <v>95</v>
      </c>
      <c r="M837" s="3">
        <v>34</v>
      </c>
      <c r="N837" s="3">
        <v>13</v>
      </c>
      <c r="O837" s="3">
        <v>4</v>
      </c>
      <c r="P837" s="11">
        <f>Clean_Data[[#This Row],[Quantity]]*Clean_Data[[#This Row],[UnitPrice]]</f>
        <v>180</v>
      </c>
      <c r="Q837" s="11">
        <f>ROUND(Clean_Data[[#This Row],[GrossSales]]*Clean_Data[[#This Row],[DiscountPct]],2)</f>
        <v>0</v>
      </c>
      <c r="R837" s="11">
        <f>IF(Clean_Data[[#This Row],[Status]]="Delivered",ROUND(Clean_Data[[#This Row],[GrossSales]]-Clean_Data[[#This Row],[DiscountAmount]],2),0)</f>
        <v>180</v>
      </c>
      <c r="S837" s="3" t="str">
        <f>IF(Clean_Data[[#This Row],[OrderHour]]&lt;6,"Night",IF(Clean_Data[[#This Row],[OrderHour]]&lt;12,"Morning",IF(Clean_Data[[#This Row],[OrderHour]]&lt;18,"Afternoon","Evening")))</f>
        <v>Evening</v>
      </c>
      <c r="T837" s="3" t="str">
        <f>TEXT(Clean_Data[[#This Row],[OrderDate]],"[$-409]ddd")</f>
        <v>Mon</v>
      </c>
      <c r="U837" s="3">
        <f>WEEKDAY(Clean_Data[[#This Row],[OrderDate]],2)</f>
        <v>1</v>
      </c>
      <c r="V837" s="3">
        <f>INT(Clean_Data[[#This Row],[OrderHour]]/6)+1</f>
        <v>4</v>
      </c>
      <c r="W837" s="3">
        <f>IF(Clean_Data[[#This Row],[Status]]="Delivered",1,0)</f>
        <v>1</v>
      </c>
      <c r="X837" s="3">
        <f>IF(Clean_Data[[#This Row],[Status]]="Delivered",IF(Clean_Data[[#This Row],[DeliveryMinutes]]&lt;=Dashboard!$X$5,1,0),0)</f>
        <v>0</v>
      </c>
      <c r="Y83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7" s="3">
        <f>IF(AND(Clean_Data[[#This Row],[Include]]=1,Clean_Data[[#This Row],[DeliveredFlag]]=1),1,0)</f>
        <v>1</v>
      </c>
      <c r="AA837" s="1">
        <f>IF(COUNTIF($D$2:D837,D837)=1,ROW()-1,ROWS(Clean_Data[OrderID])+1)</f>
        <v>901</v>
      </c>
      <c r="AB837" s="1">
        <f>IF(COUNTIF($F$2:F837,F837)=1,ROW()-1,ROWS(Clean_Data[OrderID])+1)</f>
        <v>901</v>
      </c>
      <c r="AC837" s="1">
        <f>IF(COUNTIF($G$2:G837,G837)=1,ROW()-1,ROWS(Clean_Data[OrderID])+1)</f>
        <v>901</v>
      </c>
      <c r="AD837" s="1">
        <f>IF(COUNTIF($H$2:H837,H837)=1,ROW()-1,ROWS(Clean_Data[OrderID])+1)</f>
        <v>901</v>
      </c>
      <c r="AE837" s="1">
        <f>IF(COUNTIF($V$2:V837,V837)=1,V837,ROWS(Clean_Data[OrderID])+1)</f>
        <v>901</v>
      </c>
      <c r="AF837" s="1">
        <f>IF(COUNTIF($U$2:U837,U837)=1,U837,ROWS(Clean_Data[OrderID])+1)</f>
        <v>901</v>
      </c>
      <c r="AG837" s="1">
        <f>IF(COUNTIF($E$2:E837,E837)=1,ROW()-1,ROWS(Clean_Data[OrderID])+1)</f>
        <v>901</v>
      </c>
    </row>
    <row r="838" spans="1:33" ht="20" customHeight="1">
      <c r="A838" s="3" t="s">
        <v>1243</v>
      </c>
      <c r="B838" s="2">
        <v>46293</v>
      </c>
      <c r="C838" s="3">
        <v>18</v>
      </c>
      <c r="D838" s="3" t="s">
        <v>1115</v>
      </c>
      <c r="E838" s="3" t="s">
        <v>91</v>
      </c>
      <c r="F838" s="3" t="s">
        <v>109</v>
      </c>
      <c r="G838" s="3" t="s">
        <v>174</v>
      </c>
      <c r="H838" s="3" t="s">
        <v>175</v>
      </c>
      <c r="I838" s="3">
        <v>2</v>
      </c>
      <c r="J838" s="11">
        <v>155</v>
      </c>
      <c r="K838" s="4">
        <v>0.15</v>
      </c>
      <c r="L838" s="3" t="s">
        <v>95</v>
      </c>
      <c r="M838" s="3">
        <v>22</v>
      </c>
      <c r="N838" s="3">
        <v>14</v>
      </c>
      <c r="O838" s="3">
        <v>4</v>
      </c>
      <c r="P838" s="11">
        <f>Clean_Data[[#This Row],[Quantity]]*Clean_Data[[#This Row],[UnitPrice]]</f>
        <v>310</v>
      </c>
      <c r="Q838" s="11">
        <f>ROUND(Clean_Data[[#This Row],[GrossSales]]*Clean_Data[[#This Row],[DiscountPct]],2)</f>
        <v>46.5</v>
      </c>
      <c r="R838" s="11">
        <f>IF(Clean_Data[[#This Row],[Status]]="Delivered",ROUND(Clean_Data[[#This Row],[GrossSales]]-Clean_Data[[#This Row],[DiscountAmount]],2),0)</f>
        <v>263.5</v>
      </c>
      <c r="S838" s="3" t="str">
        <f>IF(Clean_Data[[#This Row],[OrderHour]]&lt;6,"Night",IF(Clean_Data[[#This Row],[OrderHour]]&lt;12,"Morning",IF(Clean_Data[[#This Row],[OrderHour]]&lt;18,"Afternoon","Evening")))</f>
        <v>Evening</v>
      </c>
      <c r="T838" s="3" t="str">
        <f>TEXT(Clean_Data[[#This Row],[OrderDate]],"[$-409]ddd")</f>
        <v>Mon</v>
      </c>
      <c r="U838" s="3">
        <f>WEEKDAY(Clean_Data[[#This Row],[OrderDate]],2)</f>
        <v>1</v>
      </c>
      <c r="V838" s="3">
        <f>INT(Clean_Data[[#This Row],[OrderHour]]/6)+1</f>
        <v>4</v>
      </c>
      <c r="W838" s="3">
        <f>IF(Clean_Data[[#This Row],[Status]]="Delivered",1,0)</f>
        <v>1</v>
      </c>
      <c r="X838" s="3">
        <f>IF(Clean_Data[[#This Row],[Status]]="Delivered",IF(Clean_Data[[#This Row],[DeliveryMinutes]]&lt;=Dashboard!$X$5,1,0),0)</f>
        <v>1</v>
      </c>
      <c r="Y83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8" s="3">
        <f>IF(AND(Clean_Data[[#This Row],[Include]]=1,Clean_Data[[#This Row],[DeliveredFlag]]=1),1,0)</f>
        <v>1</v>
      </c>
      <c r="AA838" s="1">
        <f>IF(COUNTIF($D$2:D838,D838)=1,ROW()-1,ROWS(Clean_Data[OrderID])+1)</f>
        <v>901</v>
      </c>
      <c r="AB838" s="1">
        <f>IF(COUNTIF($F$2:F838,F838)=1,ROW()-1,ROWS(Clean_Data[OrderID])+1)</f>
        <v>901</v>
      </c>
      <c r="AC838" s="1">
        <f>IF(COUNTIF($G$2:G838,G838)=1,ROW()-1,ROWS(Clean_Data[OrderID])+1)</f>
        <v>901</v>
      </c>
      <c r="AD838" s="1">
        <f>IF(COUNTIF($H$2:H838,H838)=1,ROW()-1,ROWS(Clean_Data[OrderID])+1)</f>
        <v>901</v>
      </c>
      <c r="AE838" s="1">
        <f>IF(COUNTIF($V$2:V838,V838)=1,V838,ROWS(Clean_Data[OrderID])+1)</f>
        <v>901</v>
      </c>
      <c r="AF838" s="1">
        <f>IF(COUNTIF($U$2:U838,U838)=1,U838,ROWS(Clean_Data[OrderID])+1)</f>
        <v>901</v>
      </c>
      <c r="AG838" s="1">
        <f>IF(COUNTIF($E$2:E838,E838)=1,ROW()-1,ROWS(Clean_Data[OrderID])+1)</f>
        <v>901</v>
      </c>
    </row>
    <row r="839" spans="1:33" ht="20" customHeight="1">
      <c r="A839" s="3" t="s">
        <v>1244</v>
      </c>
      <c r="B839" s="2">
        <v>46293</v>
      </c>
      <c r="C839" s="3">
        <v>16</v>
      </c>
      <c r="D839" s="3" t="s">
        <v>452</v>
      </c>
      <c r="E839" s="3" t="s">
        <v>91</v>
      </c>
      <c r="F839" s="3" t="s">
        <v>109</v>
      </c>
      <c r="G839" s="3" t="s">
        <v>122</v>
      </c>
      <c r="H839" s="3" t="s">
        <v>123</v>
      </c>
      <c r="I839" s="3">
        <v>2</v>
      </c>
      <c r="J839" s="11">
        <v>45</v>
      </c>
      <c r="K839" s="4">
        <v>0</v>
      </c>
      <c r="L839" s="3" t="s">
        <v>95</v>
      </c>
      <c r="M839" s="3">
        <v>23</v>
      </c>
      <c r="N839" s="3">
        <v>11</v>
      </c>
      <c r="O839" s="3">
        <v>4</v>
      </c>
      <c r="P839" s="11">
        <f>Clean_Data[[#This Row],[Quantity]]*Clean_Data[[#This Row],[UnitPrice]]</f>
        <v>90</v>
      </c>
      <c r="Q839" s="11">
        <f>ROUND(Clean_Data[[#This Row],[GrossSales]]*Clean_Data[[#This Row],[DiscountPct]],2)</f>
        <v>0</v>
      </c>
      <c r="R839" s="11">
        <f>IF(Clean_Data[[#This Row],[Status]]="Delivered",ROUND(Clean_Data[[#This Row],[GrossSales]]-Clean_Data[[#This Row],[DiscountAmount]],2),0)</f>
        <v>90</v>
      </c>
      <c r="S839" s="3" t="str">
        <f>IF(Clean_Data[[#This Row],[OrderHour]]&lt;6,"Night",IF(Clean_Data[[#This Row],[OrderHour]]&lt;12,"Morning",IF(Clean_Data[[#This Row],[OrderHour]]&lt;18,"Afternoon","Evening")))</f>
        <v>Afternoon</v>
      </c>
      <c r="T839" s="3" t="str">
        <f>TEXT(Clean_Data[[#This Row],[OrderDate]],"[$-409]ddd")</f>
        <v>Mon</v>
      </c>
      <c r="U839" s="3">
        <f>WEEKDAY(Clean_Data[[#This Row],[OrderDate]],2)</f>
        <v>1</v>
      </c>
      <c r="V839" s="3">
        <f>INT(Clean_Data[[#This Row],[OrderHour]]/6)+1</f>
        <v>3</v>
      </c>
      <c r="W839" s="3">
        <f>IF(Clean_Data[[#This Row],[Status]]="Delivered",1,0)</f>
        <v>1</v>
      </c>
      <c r="X839" s="3">
        <f>IF(Clean_Data[[#This Row],[Status]]="Delivered",IF(Clean_Data[[#This Row],[DeliveryMinutes]]&lt;=Dashboard!$X$5,1,0),0)</f>
        <v>1</v>
      </c>
      <c r="Y83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39" s="3">
        <f>IF(AND(Clean_Data[[#This Row],[Include]]=1,Clean_Data[[#This Row],[DeliveredFlag]]=1),1,0)</f>
        <v>1</v>
      </c>
      <c r="AA839" s="1">
        <f>IF(COUNTIF($D$2:D839,D839)=1,ROW()-1,ROWS(Clean_Data[OrderID])+1)</f>
        <v>901</v>
      </c>
      <c r="AB839" s="1">
        <f>IF(COUNTIF($F$2:F839,F839)=1,ROW()-1,ROWS(Clean_Data[OrderID])+1)</f>
        <v>901</v>
      </c>
      <c r="AC839" s="1">
        <f>IF(COUNTIF($G$2:G839,G839)=1,ROW()-1,ROWS(Clean_Data[OrderID])+1)</f>
        <v>901</v>
      </c>
      <c r="AD839" s="1">
        <f>IF(COUNTIF($H$2:H839,H839)=1,ROW()-1,ROWS(Clean_Data[OrderID])+1)</f>
        <v>901</v>
      </c>
      <c r="AE839" s="1">
        <f>IF(COUNTIF($V$2:V839,V839)=1,V839,ROWS(Clean_Data[OrderID])+1)</f>
        <v>901</v>
      </c>
      <c r="AF839" s="1">
        <f>IF(COUNTIF($U$2:U839,U839)=1,U839,ROWS(Clean_Data[OrderID])+1)</f>
        <v>901</v>
      </c>
      <c r="AG839" s="1">
        <f>IF(COUNTIF($E$2:E839,E839)=1,ROW()-1,ROWS(Clean_Data[OrderID])+1)</f>
        <v>901</v>
      </c>
    </row>
    <row r="840" spans="1:33" ht="20" customHeight="1">
      <c r="A840" s="3" t="s">
        <v>1245</v>
      </c>
      <c r="B840" s="2">
        <v>46293</v>
      </c>
      <c r="C840" s="3">
        <v>12</v>
      </c>
      <c r="D840" s="3" t="s">
        <v>833</v>
      </c>
      <c r="E840" s="3" t="s">
        <v>91</v>
      </c>
      <c r="F840" s="3" t="s">
        <v>139</v>
      </c>
      <c r="G840" s="3" t="s">
        <v>93</v>
      </c>
      <c r="H840" s="3" t="s">
        <v>118</v>
      </c>
      <c r="I840" s="3">
        <v>5</v>
      </c>
      <c r="J840" s="11">
        <v>45</v>
      </c>
      <c r="K840" s="4">
        <v>0.1</v>
      </c>
      <c r="L840" s="3" t="s">
        <v>95</v>
      </c>
      <c r="M840" s="3">
        <v>20</v>
      </c>
      <c r="N840" s="3">
        <v>6</v>
      </c>
      <c r="O840" s="3">
        <v>4</v>
      </c>
      <c r="P840" s="11">
        <f>Clean_Data[[#This Row],[Quantity]]*Clean_Data[[#This Row],[UnitPrice]]</f>
        <v>225</v>
      </c>
      <c r="Q840" s="11">
        <f>ROUND(Clean_Data[[#This Row],[GrossSales]]*Clean_Data[[#This Row],[DiscountPct]],2)</f>
        <v>22.5</v>
      </c>
      <c r="R840" s="11">
        <f>IF(Clean_Data[[#This Row],[Status]]="Delivered",ROUND(Clean_Data[[#This Row],[GrossSales]]-Clean_Data[[#This Row],[DiscountAmount]],2),0)</f>
        <v>202.5</v>
      </c>
      <c r="S840" s="3" t="str">
        <f>IF(Clean_Data[[#This Row],[OrderHour]]&lt;6,"Night",IF(Clean_Data[[#This Row],[OrderHour]]&lt;12,"Morning",IF(Clean_Data[[#This Row],[OrderHour]]&lt;18,"Afternoon","Evening")))</f>
        <v>Afternoon</v>
      </c>
      <c r="T840" s="3" t="str">
        <f>TEXT(Clean_Data[[#This Row],[OrderDate]],"[$-409]ddd")</f>
        <v>Mon</v>
      </c>
      <c r="U840" s="3">
        <f>WEEKDAY(Clean_Data[[#This Row],[OrderDate]],2)</f>
        <v>1</v>
      </c>
      <c r="V840" s="3">
        <f>INT(Clean_Data[[#This Row],[OrderHour]]/6)+1</f>
        <v>3</v>
      </c>
      <c r="W840" s="3">
        <f>IF(Clean_Data[[#This Row],[Status]]="Delivered",1,0)</f>
        <v>1</v>
      </c>
      <c r="X840" s="3">
        <f>IF(Clean_Data[[#This Row],[Status]]="Delivered",IF(Clean_Data[[#This Row],[DeliveryMinutes]]&lt;=Dashboard!$X$5,1,0),0)</f>
        <v>1</v>
      </c>
      <c r="Y84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0" s="3">
        <f>IF(AND(Clean_Data[[#This Row],[Include]]=1,Clean_Data[[#This Row],[DeliveredFlag]]=1),1,0)</f>
        <v>1</v>
      </c>
      <c r="AA840" s="1">
        <f>IF(COUNTIF($D$2:D840,D840)=1,ROW()-1,ROWS(Clean_Data[OrderID])+1)</f>
        <v>901</v>
      </c>
      <c r="AB840" s="1">
        <f>IF(COUNTIF($F$2:F840,F840)=1,ROW()-1,ROWS(Clean_Data[OrderID])+1)</f>
        <v>901</v>
      </c>
      <c r="AC840" s="1">
        <f>IF(COUNTIF($G$2:G840,G840)=1,ROW()-1,ROWS(Clean_Data[OrderID])+1)</f>
        <v>901</v>
      </c>
      <c r="AD840" s="1">
        <f>IF(COUNTIF($H$2:H840,H840)=1,ROW()-1,ROWS(Clean_Data[OrderID])+1)</f>
        <v>901</v>
      </c>
      <c r="AE840" s="1">
        <f>IF(COUNTIF($V$2:V840,V840)=1,V840,ROWS(Clean_Data[OrderID])+1)</f>
        <v>901</v>
      </c>
      <c r="AF840" s="1">
        <f>IF(COUNTIF($U$2:U840,U840)=1,U840,ROWS(Clean_Data[OrderID])+1)</f>
        <v>901</v>
      </c>
      <c r="AG840" s="1">
        <f>IF(COUNTIF($E$2:E840,E840)=1,ROW()-1,ROWS(Clean_Data[OrderID])+1)</f>
        <v>901</v>
      </c>
    </row>
    <row r="841" spans="1:33" ht="20" customHeight="1">
      <c r="A841" s="3" t="s">
        <v>1246</v>
      </c>
      <c r="B841" s="2">
        <v>46293</v>
      </c>
      <c r="C841" s="3">
        <v>18</v>
      </c>
      <c r="D841" s="3" t="s">
        <v>963</v>
      </c>
      <c r="E841" s="3" t="s">
        <v>91</v>
      </c>
      <c r="F841" s="3" t="s">
        <v>139</v>
      </c>
      <c r="G841" s="3" t="s">
        <v>174</v>
      </c>
      <c r="H841" s="3" t="s">
        <v>175</v>
      </c>
      <c r="I841" s="3">
        <v>5</v>
      </c>
      <c r="J841" s="11">
        <v>155</v>
      </c>
      <c r="K841" s="4">
        <v>0.1</v>
      </c>
      <c r="L841" s="3" t="s">
        <v>95</v>
      </c>
      <c r="M841" s="3">
        <v>16</v>
      </c>
      <c r="N841" s="3">
        <v>4</v>
      </c>
      <c r="O841" s="3">
        <v>4</v>
      </c>
      <c r="P841" s="11">
        <f>Clean_Data[[#This Row],[Quantity]]*Clean_Data[[#This Row],[UnitPrice]]</f>
        <v>775</v>
      </c>
      <c r="Q841" s="11">
        <f>ROUND(Clean_Data[[#This Row],[GrossSales]]*Clean_Data[[#This Row],[DiscountPct]],2)</f>
        <v>77.5</v>
      </c>
      <c r="R841" s="11">
        <f>IF(Clean_Data[[#This Row],[Status]]="Delivered",ROUND(Clean_Data[[#This Row],[GrossSales]]-Clean_Data[[#This Row],[DiscountAmount]],2),0)</f>
        <v>697.5</v>
      </c>
      <c r="S841" s="3" t="str">
        <f>IF(Clean_Data[[#This Row],[OrderHour]]&lt;6,"Night",IF(Clean_Data[[#This Row],[OrderHour]]&lt;12,"Morning",IF(Clean_Data[[#This Row],[OrderHour]]&lt;18,"Afternoon","Evening")))</f>
        <v>Evening</v>
      </c>
      <c r="T841" s="3" t="str">
        <f>TEXT(Clean_Data[[#This Row],[OrderDate]],"[$-409]ddd")</f>
        <v>Mon</v>
      </c>
      <c r="U841" s="3">
        <f>WEEKDAY(Clean_Data[[#This Row],[OrderDate]],2)</f>
        <v>1</v>
      </c>
      <c r="V841" s="3">
        <f>INT(Clean_Data[[#This Row],[OrderHour]]/6)+1</f>
        <v>4</v>
      </c>
      <c r="W841" s="3">
        <f>IF(Clean_Data[[#This Row],[Status]]="Delivered",1,0)</f>
        <v>1</v>
      </c>
      <c r="X841" s="3">
        <f>IF(Clean_Data[[#This Row],[Status]]="Delivered",IF(Clean_Data[[#This Row],[DeliveryMinutes]]&lt;=Dashboard!$X$5,1,0),0)</f>
        <v>1</v>
      </c>
      <c r="Y84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1" s="3">
        <f>IF(AND(Clean_Data[[#This Row],[Include]]=1,Clean_Data[[#This Row],[DeliveredFlag]]=1),1,0)</f>
        <v>1</v>
      </c>
      <c r="AA841" s="1">
        <f>IF(COUNTIF($D$2:D841,D841)=1,ROW()-1,ROWS(Clean_Data[OrderID])+1)</f>
        <v>901</v>
      </c>
      <c r="AB841" s="1">
        <f>IF(COUNTIF($F$2:F841,F841)=1,ROW()-1,ROWS(Clean_Data[OrderID])+1)</f>
        <v>901</v>
      </c>
      <c r="AC841" s="1">
        <f>IF(COUNTIF($G$2:G841,G841)=1,ROW()-1,ROWS(Clean_Data[OrderID])+1)</f>
        <v>901</v>
      </c>
      <c r="AD841" s="1">
        <f>IF(COUNTIF($H$2:H841,H841)=1,ROW()-1,ROWS(Clean_Data[OrderID])+1)</f>
        <v>901</v>
      </c>
      <c r="AE841" s="1">
        <f>IF(COUNTIF($V$2:V841,V841)=1,V841,ROWS(Clean_Data[OrderID])+1)</f>
        <v>901</v>
      </c>
      <c r="AF841" s="1">
        <f>IF(COUNTIF($U$2:U841,U841)=1,U841,ROWS(Clean_Data[OrderID])+1)</f>
        <v>901</v>
      </c>
      <c r="AG841" s="1">
        <f>IF(COUNTIF($E$2:E841,E841)=1,ROW()-1,ROWS(Clean_Data[OrderID])+1)</f>
        <v>901</v>
      </c>
    </row>
    <row r="842" spans="1:33" ht="20" customHeight="1">
      <c r="A842" s="3" t="s">
        <v>1247</v>
      </c>
      <c r="B842" s="2">
        <v>46294</v>
      </c>
      <c r="C842" s="3">
        <v>8</v>
      </c>
      <c r="D842" s="3" t="s">
        <v>749</v>
      </c>
      <c r="E842" s="3" t="s">
        <v>91</v>
      </c>
      <c r="F842" s="3" t="s">
        <v>139</v>
      </c>
      <c r="G842" s="3" t="s">
        <v>93</v>
      </c>
      <c r="H842" s="3" t="s">
        <v>94</v>
      </c>
      <c r="I842" s="3">
        <v>5</v>
      </c>
      <c r="J842" s="11">
        <v>95</v>
      </c>
      <c r="K842" s="4">
        <v>0.1</v>
      </c>
      <c r="L842" s="3" t="s">
        <v>95</v>
      </c>
      <c r="M842" s="3">
        <v>21</v>
      </c>
      <c r="N842" s="3">
        <v>5</v>
      </c>
      <c r="O842" s="3">
        <v>3</v>
      </c>
      <c r="P842" s="11">
        <f>Clean_Data[[#This Row],[Quantity]]*Clean_Data[[#This Row],[UnitPrice]]</f>
        <v>475</v>
      </c>
      <c r="Q842" s="11">
        <f>ROUND(Clean_Data[[#This Row],[GrossSales]]*Clean_Data[[#This Row],[DiscountPct]],2)</f>
        <v>47.5</v>
      </c>
      <c r="R842" s="11">
        <f>IF(Clean_Data[[#This Row],[Status]]="Delivered",ROUND(Clean_Data[[#This Row],[GrossSales]]-Clean_Data[[#This Row],[DiscountAmount]],2),0)</f>
        <v>427.5</v>
      </c>
      <c r="S842" s="3" t="str">
        <f>IF(Clean_Data[[#This Row],[OrderHour]]&lt;6,"Night",IF(Clean_Data[[#This Row],[OrderHour]]&lt;12,"Morning",IF(Clean_Data[[#This Row],[OrderHour]]&lt;18,"Afternoon","Evening")))</f>
        <v>Morning</v>
      </c>
      <c r="T842" s="3" t="str">
        <f>TEXT(Clean_Data[[#This Row],[OrderDate]],"[$-409]ddd")</f>
        <v>Tue</v>
      </c>
      <c r="U842" s="3">
        <f>WEEKDAY(Clean_Data[[#This Row],[OrderDate]],2)</f>
        <v>2</v>
      </c>
      <c r="V842" s="3">
        <f>INT(Clean_Data[[#This Row],[OrderHour]]/6)+1</f>
        <v>2</v>
      </c>
      <c r="W842" s="3">
        <f>IF(Clean_Data[[#This Row],[Status]]="Delivered",1,0)</f>
        <v>1</v>
      </c>
      <c r="X842" s="3">
        <f>IF(Clean_Data[[#This Row],[Status]]="Delivered",IF(Clean_Data[[#This Row],[DeliveryMinutes]]&lt;=Dashboard!$X$5,1,0),0)</f>
        <v>1</v>
      </c>
      <c r="Y84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2" s="3">
        <f>IF(AND(Clean_Data[[#This Row],[Include]]=1,Clean_Data[[#This Row],[DeliveredFlag]]=1),1,0)</f>
        <v>1</v>
      </c>
      <c r="AA842" s="1">
        <f>IF(COUNTIF($D$2:D842,D842)=1,ROW()-1,ROWS(Clean_Data[OrderID])+1)</f>
        <v>901</v>
      </c>
      <c r="AB842" s="1">
        <f>IF(COUNTIF($F$2:F842,F842)=1,ROW()-1,ROWS(Clean_Data[OrderID])+1)</f>
        <v>901</v>
      </c>
      <c r="AC842" s="1">
        <f>IF(COUNTIF($G$2:G842,G842)=1,ROW()-1,ROWS(Clean_Data[OrderID])+1)</f>
        <v>901</v>
      </c>
      <c r="AD842" s="1">
        <f>IF(COUNTIF($H$2:H842,H842)=1,ROW()-1,ROWS(Clean_Data[OrderID])+1)</f>
        <v>901</v>
      </c>
      <c r="AE842" s="1">
        <f>IF(COUNTIF($V$2:V842,V842)=1,V842,ROWS(Clean_Data[OrderID])+1)</f>
        <v>901</v>
      </c>
      <c r="AF842" s="1">
        <f>IF(COUNTIF($U$2:U842,U842)=1,U842,ROWS(Clean_Data[OrderID])+1)</f>
        <v>901</v>
      </c>
      <c r="AG842" s="1">
        <f>IF(COUNTIF($E$2:E842,E842)=1,ROW()-1,ROWS(Clean_Data[OrderID])+1)</f>
        <v>901</v>
      </c>
    </row>
    <row r="843" spans="1:33" ht="20" customHeight="1">
      <c r="A843" s="3" t="s">
        <v>1248</v>
      </c>
      <c r="B843" s="2">
        <v>46294</v>
      </c>
      <c r="C843" s="3">
        <v>6</v>
      </c>
      <c r="D843" s="3" t="s">
        <v>436</v>
      </c>
      <c r="E843" s="3" t="s">
        <v>117</v>
      </c>
      <c r="F843" s="3" t="s">
        <v>109</v>
      </c>
      <c r="G843" s="3" t="s">
        <v>99</v>
      </c>
      <c r="H843" s="3" t="s">
        <v>104</v>
      </c>
      <c r="I843" s="3">
        <v>6</v>
      </c>
      <c r="J843" s="11">
        <v>240</v>
      </c>
      <c r="K843" s="4">
        <v>0.1</v>
      </c>
      <c r="L843" s="3" t="s">
        <v>95</v>
      </c>
      <c r="M843" s="3">
        <v>17</v>
      </c>
      <c r="N843" s="3">
        <v>9</v>
      </c>
      <c r="O843" s="3">
        <v>3</v>
      </c>
      <c r="P843" s="11">
        <f>Clean_Data[[#This Row],[Quantity]]*Clean_Data[[#This Row],[UnitPrice]]</f>
        <v>1440</v>
      </c>
      <c r="Q843" s="11">
        <f>ROUND(Clean_Data[[#This Row],[GrossSales]]*Clean_Data[[#This Row],[DiscountPct]],2)</f>
        <v>144</v>
      </c>
      <c r="R843" s="11">
        <f>IF(Clean_Data[[#This Row],[Status]]="Delivered",ROUND(Clean_Data[[#This Row],[GrossSales]]-Clean_Data[[#This Row],[DiscountAmount]],2),0)</f>
        <v>1296</v>
      </c>
      <c r="S843" s="3" t="str">
        <f>IF(Clean_Data[[#This Row],[OrderHour]]&lt;6,"Night",IF(Clean_Data[[#This Row],[OrderHour]]&lt;12,"Morning",IF(Clean_Data[[#This Row],[OrderHour]]&lt;18,"Afternoon","Evening")))</f>
        <v>Morning</v>
      </c>
      <c r="T843" s="3" t="str">
        <f>TEXT(Clean_Data[[#This Row],[OrderDate]],"[$-409]ddd")</f>
        <v>Tue</v>
      </c>
      <c r="U843" s="3">
        <f>WEEKDAY(Clean_Data[[#This Row],[OrderDate]],2)</f>
        <v>2</v>
      </c>
      <c r="V843" s="3">
        <f>INT(Clean_Data[[#This Row],[OrderHour]]/6)+1</f>
        <v>2</v>
      </c>
      <c r="W843" s="3">
        <f>IF(Clean_Data[[#This Row],[Status]]="Delivered",1,0)</f>
        <v>1</v>
      </c>
      <c r="X843" s="3">
        <f>IF(Clean_Data[[#This Row],[Status]]="Delivered",IF(Clean_Data[[#This Row],[DeliveryMinutes]]&lt;=Dashboard!$X$5,1,0),0)</f>
        <v>1</v>
      </c>
      <c r="Y84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3" s="3">
        <f>IF(AND(Clean_Data[[#This Row],[Include]]=1,Clean_Data[[#This Row],[DeliveredFlag]]=1),1,0)</f>
        <v>1</v>
      </c>
      <c r="AA843" s="1">
        <f>IF(COUNTIF($D$2:D843,D843)=1,ROW()-1,ROWS(Clean_Data[OrderID])+1)</f>
        <v>901</v>
      </c>
      <c r="AB843" s="1">
        <f>IF(COUNTIF($F$2:F843,F843)=1,ROW()-1,ROWS(Clean_Data[OrderID])+1)</f>
        <v>901</v>
      </c>
      <c r="AC843" s="1">
        <f>IF(COUNTIF($G$2:G843,G843)=1,ROW()-1,ROWS(Clean_Data[OrderID])+1)</f>
        <v>901</v>
      </c>
      <c r="AD843" s="1">
        <f>IF(COUNTIF($H$2:H843,H843)=1,ROW()-1,ROWS(Clean_Data[OrderID])+1)</f>
        <v>901</v>
      </c>
      <c r="AE843" s="1">
        <f>IF(COUNTIF($V$2:V843,V843)=1,V843,ROWS(Clean_Data[OrderID])+1)</f>
        <v>901</v>
      </c>
      <c r="AF843" s="1">
        <f>IF(COUNTIF($U$2:U843,U843)=1,U843,ROWS(Clean_Data[OrderID])+1)</f>
        <v>901</v>
      </c>
      <c r="AG843" s="1">
        <f>IF(COUNTIF($E$2:E843,E843)=1,ROW()-1,ROWS(Clean_Data[OrderID])+1)</f>
        <v>901</v>
      </c>
    </row>
    <row r="844" spans="1:33" ht="20" customHeight="1">
      <c r="A844" s="3" t="s">
        <v>1249</v>
      </c>
      <c r="B844" s="2">
        <v>46294</v>
      </c>
      <c r="C844" s="3">
        <v>20</v>
      </c>
      <c r="D844" s="3" t="s">
        <v>369</v>
      </c>
      <c r="E844" s="3" t="s">
        <v>91</v>
      </c>
      <c r="F844" s="3" t="s">
        <v>109</v>
      </c>
      <c r="G844" s="3" t="s">
        <v>99</v>
      </c>
      <c r="H844" s="3" t="s">
        <v>100</v>
      </c>
      <c r="I844" s="3">
        <v>3</v>
      </c>
      <c r="J844" s="11">
        <v>120</v>
      </c>
      <c r="K844" s="4">
        <v>0.1</v>
      </c>
      <c r="L844" s="3" t="s">
        <v>95</v>
      </c>
      <c r="M844" s="3">
        <v>36</v>
      </c>
      <c r="N844" s="3">
        <v>8</v>
      </c>
      <c r="O844" s="3">
        <v>5</v>
      </c>
      <c r="P844" s="11">
        <f>Clean_Data[[#This Row],[Quantity]]*Clean_Data[[#This Row],[UnitPrice]]</f>
        <v>360</v>
      </c>
      <c r="Q844" s="11">
        <f>ROUND(Clean_Data[[#This Row],[GrossSales]]*Clean_Data[[#This Row],[DiscountPct]],2)</f>
        <v>36</v>
      </c>
      <c r="R844" s="11">
        <f>IF(Clean_Data[[#This Row],[Status]]="Delivered",ROUND(Clean_Data[[#This Row],[GrossSales]]-Clean_Data[[#This Row],[DiscountAmount]],2),0)</f>
        <v>324</v>
      </c>
      <c r="S844" s="3" t="str">
        <f>IF(Clean_Data[[#This Row],[OrderHour]]&lt;6,"Night",IF(Clean_Data[[#This Row],[OrderHour]]&lt;12,"Morning",IF(Clean_Data[[#This Row],[OrderHour]]&lt;18,"Afternoon","Evening")))</f>
        <v>Evening</v>
      </c>
      <c r="T844" s="3" t="str">
        <f>TEXT(Clean_Data[[#This Row],[OrderDate]],"[$-409]ddd")</f>
        <v>Tue</v>
      </c>
      <c r="U844" s="3">
        <f>WEEKDAY(Clean_Data[[#This Row],[OrderDate]],2)</f>
        <v>2</v>
      </c>
      <c r="V844" s="3">
        <f>INT(Clean_Data[[#This Row],[OrderHour]]/6)+1</f>
        <v>4</v>
      </c>
      <c r="W844" s="3">
        <f>IF(Clean_Data[[#This Row],[Status]]="Delivered",1,0)</f>
        <v>1</v>
      </c>
      <c r="X844" s="3">
        <f>IF(Clean_Data[[#This Row],[Status]]="Delivered",IF(Clean_Data[[#This Row],[DeliveryMinutes]]&lt;=Dashboard!$X$5,1,0),0)</f>
        <v>0</v>
      </c>
      <c r="Y84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4" s="3">
        <f>IF(AND(Clean_Data[[#This Row],[Include]]=1,Clean_Data[[#This Row],[DeliveredFlag]]=1),1,0)</f>
        <v>1</v>
      </c>
      <c r="AA844" s="1">
        <f>IF(COUNTIF($D$2:D844,D844)=1,ROW()-1,ROWS(Clean_Data[OrderID])+1)</f>
        <v>901</v>
      </c>
      <c r="AB844" s="1">
        <f>IF(COUNTIF($F$2:F844,F844)=1,ROW()-1,ROWS(Clean_Data[OrderID])+1)</f>
        <v>901</v>
      </c>
      <c r="AC844" s="1">
        <f>IF(COUNTIF($G$2:G844,G844)=1,ROW()-1,ROWS(Clean_Data[OrderID])+1)</f>
        <v>901</v>
      </c>
      <c r="AD844" s="1">
        <f>IF(COUNTIF($H$2:H844,H844)=1,ROW()-1,ROWS(Clean_Data[OrderID])+1)</f>
        <v>901</v>
      </c>
      <c r="AE844" s="1">
        <f>IF(COUNTIF($V$2:V844,V844)=1,V844,ROWS(Clean_Data[OrderID])+1)</f>
        <v>901</v>
      </c>
      <c r="AF844" s="1">
        <f>IF(COUNTIF($U$2:U844,U844)=1,U844,ROWS(Clean_Data[OrderID])+1)</f>
        <v>901</v>
      </c>
      <c r="AG844" s="1">
        <f>IF(COUNTIF($E$2:E844,E844)=1,ROW()-1,ROWS(Clean_Data[OrderID])+1)</f>
        <v>901</v>
      </c>
    </row>
    <row r="845" spans="1:33" ht="20" customHeight="1">
      <c r="A845" s="3" t="s">
        <v>1250</v>
      </c>
      <c r="B845" s="2">
        <v>46294</v>
      </c>
      <c r="C845" s="3">
        <v>11</v>
      </c>
      <c r="D845" s="3" t="s">
        <v>359</v>
      </c>
      <c r="E845" s="3" t="s">
        <v>91</v>
      </c>
      <c r="F845" s="3" t="s">
        <v>109</v>
      </c>
      <c r="G845" s="3" t="s">
        <v>93</v>
      </c>
      <c r="H845" s="3" t="s">
        <v>118</v>
      </c>
      <c r="I845" s="3">
        <v>6</v>
      </c>
      <c r="J845" s="11">
        <v>45</v>
      </c>
      <c r="K845" s="4">
        <v>0</v>
      </c>
      <c r="L845" s="3" t="s">
        <v>95</v>
      </c>
      <c r="M845" s="3">
        <v>21</v>
      </c>
      <c r="N845" s="3">
        <v>11</v>
      </c>
      <c r="O845" s="3">
        <v>4</v>
      </c>
      <c r="P845" s="11">
        <f>Clean_Data[[#This Row],[Quantity]]*Clean_Data[[#This Row],[UnitPrice]]</f>
        <v>270</v>
      </c>
      <c r="Q845" s="11">
        <f>ROUND(Clean_Data[[#This Row],[GrossSales]]*Clean_Data[[#This Row],[DiscountPct]],2)</f>
        <v>0</v>
      </c>
      <c r="R845" s="11">
        <f>IF(Clean_Data[[#This Row],[Status]]="Delivered",ROUND(Clean_Data[[#This Row],[GrossSales]]-Clean_Data[[#This Row],[DiscountAmount]],2),0)</f>
        <v>270</v>
      </c>
      <c r="S845" s="3" t="str">
        <f>IF(Clean_Data[[#This Row],[OrderHour]]&lt;6,"Night",IF(Clean_Data[[#This Row],[OrderHour]]&lt;12,"Morning",IF(Clean_Data[[#This Row],[OrderHour]]&lt;18,"Afternoon","Evening")))</f>
        <v>Morning</v>
      </c>
      <c r="T845" s="3" t="str">
        <f>TEXT(Clean_Data[[#This Row],[OrderDate]],"[$-409]ddd")</f>
        <v>Tue</v>
      </c>
      <c r="U845" s="3">
        <f>WEEKDAY(Clean_Data[[#This Row],[OrderDate]],2)</f>
        <v>2</v>
      </c>
      <c r="V845" s="3">
        <f>INT(Clean_Data[[#This Row],[OrderHour]]/6)+1</f>
        <v>2</v>
      </c>
      <c r="W845" s="3">
        <f>IF(Clean_Data[[#This Row],[Status]]="Delivered",1,0)</f>
        <v>1</v>
      </c>
      <c r="X845" s="3">
        <f>IF(Clean_Data[[#This Row],[Status]]="Delivered",IF(Clean_Data[[#This Row],[DeliveryMinutes]]&lt;=Dashboard!$X$5,1,0),0)</f>
        <v>1</v>
      </c>
      <c r="Y84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5" s="3">
        <f>IF(AND(Clean_Data[[#This Row],[Include]]=1,Clean_Data[[#This Row],[DeliveredFlag]]=1),1,0)</f>
        <v>1</v>
      </c>
      <c r="AA845" s="1">
        <f>IF(COUNTIF($D$2:D845,D845)=1,ROW()-1,ROWS(Clean_Data[OrderID])+1)</f>
        <v>901</v>
      </c>
      <c r="AB845" s="1">
        <f>IF(COUNTIF($F$2:F845,F845)=1,ROW()-1,ROWS(Clean_Data[OrderID])+1)</f>
        <v>901</v>
      </c>
      <c r="AC845" s="1">
        <f>IF(COUNTIF($G$2:G845,G845)=1,ROW()-1,ROWS(Clean_Data[OrderID])+1)</f>
        <v>901</v>
      </c>
      <c r="AD845" s="1">
        <f>IF(COUNTIF($H$2:H845,H845)=1,ROW()-1,ROWS(Clean_Data[OrderID])+1)</f>
        <v>901</v>
      </c>
      <c r="AE845" s="1">
        <f>IF(COUNTIF($V$2:V845,V845)=1,V845,ROWS(Clean_Data[OrderID])+1)</f>
        <v>901</v>
      </c>
      <c r="AF845" s="1">
        <f>IF(COUNTIF($U$2:U845,U845)=1,U845,ROWS(Clean_Data[OrderID])+1)</f>
        <v>901</v>
      </c>
      <c r="AG845" s="1">
        <f>IF(COUNTIF($E$2:E845,E845)=1,ROW()-1,ROWS(Clean_Data[OrderID])+1)</f>
        <v>901</v>
      </c>
    </row>
    <row r="846" spans="1:33" ht="20" customHeight="1">
      <c r="A846" s="3" t="s">
        <v>1251</v>
      </c>
      <c r="B846" s="2">
        <v>46294</v>
      </c>
      <c r="C846" s="3">
        <v>18</v>
      </c>
      <c r="D846" s="3" t="s">
        <v>1252</v>
      </c>
      <c r="E846" s="3" t="s">
        <v>91</v>
      </c>
      <c r="F846" s="3" t="s">
        <v>121</v>
      </c>
      <c r="G846" s="3" t="s">
        <v>174</v>
      </c>
      <c r="H846" s="3" t="s">
        <v>184</v>
      </c>
      <c r="I846" s="3">
        <v>6</v>
      </c>
      <c r="J846" s="11">
        <v>62</v>
      </c>
      <c r="K846" s="4">
        <v>0</v>
      </c>
      <c r="L846" s="3" t="s">
        <v>95</v>
      </c>
      <c r="M846" s="3">
        <v>26</v>
      </c>
      <c r="N846" s="3">
        <v>10</v>
      </c>
      <c r="O846" s="3">
        <v>5</v>
      </c>
      <c r="P846" s="11">
        <f>Clean_Data[[#This Row],[Quantity]]*Clean_Data[[#This Row],[UnitPrice]]</f>
        <v>372</v>
      </c>
      <c r="Q846" s="11">
        <f>ROUND(Clean_Data[[#This Row],[GrossSales]]*Clean_Data[[#This Row],[DiscountPct]],2)</f>
        <v>0</v>
      </c>
      <c r="R846" s="11">
        <f>IF(Clean_Data[[#This Row],[Status]]="Delivered",ROUND(Clean_Data[[#This Row],[GrossSales]]-Clean_Data[[#This Row],[DiscountAmount]],2),0)</f>
        <v>372</v>
      </c>
      <c r="S846" s="3" t="str">
        <f>IF(Clean_Data[[#This Row],[OrderHour]]&lt;6,"Night",IF(Clean_Data[[#This Row],[OrderHour]]&lt;12,"Morning",IF(Clean_Data[[#This Row],[OrderHour]]&lt;18,"Afternoon","Evening")))</f>
        <v>Evening</v>
      </c>
      <c r="T846" s="3" t="str">
        <f>TEXT(Clean_Data[[#This Row],[OrderDate]],"[$-409]ddd")</f>
        <v>Tue</v>
      </c>
      <c r="U846" s="3">
        <f>WEEKDAY(Clean_Data[[#This Row],[OrderDate]],2)</f>
        <v>2</v>
      </c>
      <c r="V846" s="3">
        <f>INT(Clean_Data[[#This Row],[OrderHour]]/6)+1</f>
        <v>4</v>
      </c>
      <c r="W846" s="3">
        <f>IF(Clean_Data[[#This Row],[Status]]="Delivered",1,0)</f>
        <v>1</v>
      </c>
      <c r="X846" s="3">
        <f>IF(Clean_Data[[#This Row],[Status]]="Delivered",IF(Clean_Data[[#This Row],[DeliveryMinutes]]&lt;=Dashboard!$X$5,1,0),0)</f>
        <v>1</v>
      </c>
      <c r="Y84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6" s="3">
        <f>IF(AND(Clean_Data[[#This Row],[Include]]=1,Clean_Data[[#This Row],[DeliveredFlag]]=1),1,0)</f>
        <v>1</v>
      </c>
      <c r="AA846" s="1">
        <f>IF(COUNTIF($D$2:D846,D846)=1,ROW()-1,ROWS(Clean_Data[OrderID])+1)</f>
        <v>845</v>
      </c>
      <c r="AB846" s="1">
        <f>IF(COUNTIF($F$2:F846,F846)=1,ROW()-1,ROWS(Clean_Data[OrderID])+1)</f>
        <v>901</v>
      </c>
      <c r="AC846" s="1">
        <f>IF(COUNTIF($G$2:G846,G846)=1,ROW()-1,ROWS(Clean_Data[OrderID])+1)</f>
        <v>901</v>
      </c>
      <c r="AD846" s="1">
        <f>IF(COUNTIF($H$2:H846,H846)=1,ROW()-1,ROWS(Clean_Data[OrderID])+1)</f>
        <v>901</v>
      </c>
      <c r="AE846" s="1">
        <f>IF(COUNTIF($V$2:V846,V846)=1,V846,ROWS(Clean_Data[OrderID])+1)</f>
        <v>901</v>
      </c>
      <c r="AF846" s="1">
        <f>IF(COUNTIF($U$2:U846,U846)=1,U846,ROWS(Clean_Data[OrderID])+1)</f>
        <v>901</v>
      </c>
      <c r="AG846" s="1">
        <f>IF(COUNTIF($E$2:E846,E846)=1,ROW()-1,ROWS(Clean_Data[OrderID])+1)</f>
        <v>901</v>
      </c>
    </row>
    <row r="847" spans="1:33" ht="20" customHeight="1">
      <c r="A847" s="3" t="s">
        <v>1253</v>
      </c>
      <c r="B847" s="2">
        <v>46294</v>
      </c>
      <c r="C847" s="3">
        <v>19</v>
      </c>
      <c r="D847" s="3" t="s">
        <v>1061</v>
      </c>
      <c r="E847" s="3" t="s">
        <v>91</v>
      </c>
      <c r="F847" s="3" t="s">
        <v>139</v>
      </c>
      <c r="G847" s="3" t="s">
        <v>135</v>
      </c>
      <c r="H847" s="3" t="s">
        <v>162</v>
      </c>
      <c r="I847" s="3">
        <v>1</v>
      </c>
      <c r="J847" s="11">
        <v>180</v>
      </c>
      <c r="K847" s="4">
        <v>0.1</v>
      </c>
      <c r="L847" s="3" t="s">
        <v>95</v>
      </c>
      <c r="M847" s="3">
        <v>21</v>
      </c>
      <c r="N847" s="3">
        <v>9</v>
      </c>
      <c r="O847" s="3">
        <v>4</v>
      </c>
      <c r="P847" s="11">
        <f>Clean_Data[[#This Row],[Quantity]]*Clean_Data[[#This Row],[UnitPrice]]</f>
        <v>180</v>
      </c>
      <c r="Q847" s="11">
        <f>ROUND(Clean_Data[[#This Row],[GrossSales]]*Clean_Data[[#This Row],[DiscountPct]],2)</f>
        <v>18</v>
      </c>
      <c r="R847" s="11">
        <f>IF(Clean_Data[[#This Row],[Status]]="Delivered",ROUND(Clean_Data[[#This Row],[GrossSales]]-Clean_Data[[#This Row],[DiscountAmount]],2),0)</f>
        <v>162</v>
      </c>
      <c r="S847" s="3" t="str">
        <f>IF(Clean_Data[[#This Row],[OrderHour]]&lt;6,"Night",IF(Clean_Data[[#This Row],[OrderHour]]&lt;12,"Morning",IF(Clean_Data[[#This Row],[OrderHour]]&lt;18,"Afternoon","Evening")))</f>
        <v>Evening</v>
      </c>
      <c r="T847" s="3" t="str">
        <f>TEXT(Clean_Data[[#This Row],[OrderDate]],"[$-409]ddd")</f>
        <v>Tue</v>
      </c>
      <c r="U847" s="3">
        <f>WEEKDAY(Clean_Data[[#This Row],[OrderDate]],2)</f>
        <v>2</v>
      </c>
      <c r="V847" s="3">
        <f>INT(Clean_Data[[#This Row],[OrderHour]]/6)+1</f>
        <v>4</v>
      </c>
      <c r="W847" s="3">
        <f>IF(Clean_Data[[#This Row],[Status]]="Delivered",1,0)</f>
        <v>1</v>
      </c>
      <c r="X847" s="3">
        <f>IF(Clean_Data[[#This Row],[Status]]="Delivered",IF(Clean_Data[[#This Row],[DeliveryMinutes]]&lt;=Dashboard!$X$5,1,0),0)</f>
        <v>1</v>
      </c>
      <c r="Y84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7" s="3">
        <f>IF(AND(Clean_Data[[#This Row],[Include]]=1,Clean_Data[[#This Row],[DeliveredFlag]]=1),1,0)</f>
        <v>1</v>
      </c>
      <c r="AA847" s="1">
        <f>IF(COUNTIF($D$2:D847,D847)=1,ROW()-1,ROWS(Clean_Data[OrderID])+1)</f>
        <v>901</v>
      </c>
      <c r="AB847" s="1">
        <f>IF(COUNTIF($F$2:F847,F847)=1,ROW()-1,ROWS(Clean_Data[OrderID])+1)</f>
        <v>901</v>
      </c>
      <c r="AC847" s="1">
        <f>IF(COUNTIF($G$2:G847,G847)=1,ROW()-1,ROWS(Clean_Data[OrderID])+1)</f>
        <v>901</v>
      </c>
      <c r="AD847" s="1">
        <f>IF(COUNTIF($H$2:H847,H847)=1,ROW()-1,ROWS(Clean_Data[OrderID])+1)</f>
        <v>901</v>
      </c>
      <c r="AE847" s="1">
        <f>IF(COUNTIF($V$2:V847,V847)=1,V847,ROWS(Clean_Data[OrderID])+1)</f>
        <v>901</v>
      </c>
      <c r="AF847" s="1">
        <f>IF(COUNTIF($U$2:U847,U847)=1,U847,ROWS(Clean_Data[OrderID])+1)</f>
        <v>901</v>
      </c>
      <c r="AG847" s="1">
        <f>IF(COUNTIF($E$2:E847,E847)=1,ROW()-1,ROWS(Clean_Data[OrderID])+1)</f>
        <v>901</v>
      </c>
    </row>
    <row r="848" spans="1:33" ht="20" customHeight="1">
      <c r="A848" s="3" t="s">
        <v>1254</v>
      </c>
      <c r="B848" s="2">
        <v>46294</v>
      </c>
      <c r="C848" s="3">
        <v>20</v>
      </c>
      <c r="D848" s="3" t="s">
        <v>228</v>
      </c>
      <c r="E848" s="3" t="s">
        <v>91</v>
      </c>
      <c r="F848" s="3" t="s">
        <v>98</v>
      </c>
      <c r="G848" s="3" t="s">
        <v>99</v>
      </c>
      <c r="H848" s="3" t="s">
        <v>100</v>
      </c>
      <c r="I848" s="3">
        <v>1</v>
      </c>
      <c r="J848" s="11">
        <v>120</v>
      </c>
      <c r="K848" s="4">
        <v>0</v>
      </c>
      <c r="L848" s="3" t="s">
        <v>95</v>
      </c>
      <c r="M848" s="3">
        <v>12</v>
      </c>
      <c r="N848" s="3">
        <v>12</v>
      </c>
      <c r="O848" s="3">
        <v>5</v>
      </c>
      <c r="P848" s="11">
        <f>Clean_Data[[#This Row],[Quantity]]*Clean_Data[[#This Row],[UnitPrice]]</f>
        <v>120</v>
      </c>
      <c r="Q848" s="11">
        <f>ROUND(Clean_Data[[#This Row],[GrossSales]]*Clean_Data[[#This Row],[DiscountPct]],2)</f>
        <v>0</v>
      </c>
      <c r="R848" s="11">
        <f>IF(Clean_Data[[#This Row],[Status]]="Delivered",ROUND(Clean_Data[[#This Row],[GrossSales]]-Clean_Data[[#This Row],[DiscountAmount]],2),0)</f>
        <v>120</v>
      </c>
      <c r="S848" s="3" t="str">
        <f>IF(Clean_Data[[#This Row],[OrderHour]]&lt;6,"Night",IF(Clean_Data[[#This Row],[OrderHour]]&lt;12,"Morning",IF(Clean_Data[[#This Row],[OrderHour]]&lt;18,"Afternoon","Evening")))</f>
        <v>Evening</v>
      </c>
      <c r="T848" s="3" t="str">
        <f>TEXT(Clean_Data[[#This Row],[OrderDate]],"[$-409]ddd")</f>
        <v>Tue</v>
      </c>
      <c r="U848" s="3">
        <f>WEEKDAY(Clean_Data[[#This Row],[OrderDate]],2)</f>
        <v>2</v>
      </c>
      <c r="V848" s="3">
        <f>INT(Clean_Data[[#This Row],[OrderHour]]/6)+1</f>
        <v>4</v>
      </c>
      <c r="W848" s="3">
        <f>IF(Clean_Data[[#This Row],[Status]]="Delivered",1,0)</f>
        <v>1</v>
      </c>
      <c r="X848" s="3">
        <f>IF(Clean_Data[[#This Row],[Status]]="Delivered",IF(Clean_Data[[#This Row],[DeliveryMinutes]]&lt;=Dashboard!$X$5,1,0),0)</f>
        <v>1</v>
      </c>
      <c r="Y84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8" s="3">
        <f>IF(AND(Clean_Data[[#This Row],[Include]]=1,Clean_Data[[#This Row],[DeliveredFlag]]=1),1,0)</f>
        <v>1</v>
      </c>
      <c r="AA848" s="1">
        <f>IF(COUNTIF($D$2:D848,D848)=1,ROW()-1,ROWS(Clean_Data[OrderID])+1)</f>
        <v>901</v>
      </c>
      <c r="AB848" s="1">
        <f>IF(COUNTIF($F$2:F848,F848)=1,ROW()-1,ROWS(Clean_Data[OrderID])+1)</f>
        <v>901</v>
      </c>
      <c r="AC848" s="1">
        <f>IF(COUNTIF($G$2:G848,G848)=1,ROW()-1,ROWS(Clean_Data[OrderID])+1)</f>
        <v>901</v>
      </c>
      <c r="AD848" s="1">
        <f>IF(COUNTIF($H$2:H848,H848)=1,ROW()-1,ROWS(Clean_Data[OrderID])+1)</f>
        <v>901</v>
      </c>
      <c r="AE848" s="1">
        <f>IF(COUNTIF($V$2:V848,V848)=1,V848,ROWS(Clean_Data[OrderID])+1)</f>
        <v>901</v>
      </c>
      <c r="AF848" s="1">
        <f>IF(COUNTIF($U$2:U848,U848)=1,U848,ROWS(Clean_Data[OrderID])+1)</f>
        <v>901</v>
      </c>
      <c r="AG848" s="1">
        <f>IF(COUNTIF($E$2:E848,E848)=1,ROW()-1,ROWS(Clean_Data[OrderID])+1)</f>
        <v>901</v>
      </c>
    </row>
    <row r="849" spans="1:33" ht="20" customHeight="1">
      <c r="A849" s="3" t="s">
        <v>1255</v>
      </c>
      <c r="B849" s="2">
        <v>46294</v>
      </c>
      <c r="C849" s="3">
        <v>20</v>
      </c>
      <c r="D849" s="3" t="s">
        <v>236</v>
      </c>
      <c r="E849" s="3" t="s">
        <v>91</v>
      </c>
      <c r="F849" s="3" t="s">
        <v>98</v>
      </c>
      <c r="G849" s="3" t="s">
        <v>122</v>
      </c>
      <c r="H849" s="3" t="s">
        <v>123</v>
      </c>
      <c r="I849" s="3">
        <v>4</v>
      </c>
      <c r="J849" s="11">
        <v>45</v>
      </c>
      <c r="K849" s="4">
        <v>0.05</v>
      </c>
      <c r="L849" s="3" t="s">
        <v>95</v>
      </c>
      <c r="M849" s="3">
        <v>22</v>
      </c>
      <c r="N849" s="3">
        <v>13</v>
      </c>
      <c r="O849" s="3">
        <v>4</v>
      </c>
      <c r="P849" s="11">
        <f>Clean_Data[[#This Row],[Quantity]]*Clean_Data[[#This Row],[UnitPrice]]</f>
        <v>180</v>
      </c>
      <c r="Q849" s="11">
        <f>ROUND(Clean_Data[[#This Row],[GrossSales]]*Clean_Data[[#This Row],[DiscountPct]],2)</f>
        <v>9</v>
      </c>
      <c r="R849" s="11">
        <f>IF(Clean_Data[[#This Row],[Status]]="Delivered",ROUND(Clean_Data[[#This Row],[GrossSales]]-Clean_Data[[#This Row],[DiscountAmount]],2),0)</f>
        <v>171</v>
      </c>
      <c r="S849" s="3" t="str">
        <f>IF(Clean_Data[[#This Row],[OrderHour]]&lt;6,"Night",IF(Clean_Data[[#This Row],[OrderHour]]&lt;12,"Morning",IF(Clean_Data[[#This Row],[OrderHour]]&lt;18,"Afternoon","Evening")))</f>
        <v>Evening</v>
      </c>
      <c r="T849" s="3" t="str">
        <f>TEXT(Clean_Data[[#This Row],[OrderDate]],"[$-409]ddd")</f>
        <v>Tue</v>
      </c>
      <c r="U849" s="3">
        <f>WEEKDAY(Clean_Data[[#This Row],[OrderDate]],2)</f>
        <v>2</v>
      </c>
      <c r="V849" s="3">
        <f>INT(Clean_Data[[#This Row],[OrderHour]]/6)+1</f>
        <v>4</v>
      </c>
      <c r="W849" s="3">
        <f>IF(Clean_Data[[#This Row],[Status]]="Delivered",1,0)</f>
        <v>1</v>
      </c>
      <c r="X849" s="3">
        <f>IF(Clean_Data[[#This Row],[Status]]="Delivered",IF(Clean_Data[[#This Row],[DeliveryMinutes]]&lt;=Dashboard!$X$5,1,0),0)</f>
        <v>1</v>
      </c>
      <c r="Y84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49" s="3">
        <f>IF(AND(Clean_Data[[#This Row],[Include]]=1,Clean_Data[[#This Row],[DeliveredFlag]]=1),1,0)</f>
        <v>1</v>
      </c>
      <c r="AA849" s="1">
        <f>IF(COUNTIF($D$2:D849,D849)=1,ROW()-1,ROWS(Clean_Data[OrderID])+1)</f>
        <v>901</v>
      </c>
      <c r="AB849" s="1">
        <f>IF(COUNTIF($F$2:F849,F849)=1,ROW()-1,ROWS(Clean_Data[OrderID])+1)</f>
        <v>901</v>
      </c>
      <c r="AC849" s="1">
        <f>IF(COUNTIF($G$2:G849,G849)=1,ROW()-1,ROWS(Clean_Data[OrderID])+1)</f>
        <v>901</v>
      </c>
      <c r="AD849" s="1">
        <f>IF(COUNTIF($H$2:H849,H849)=1,ROW()-1,ROWS(Clean_Data[OrderID])+1)</f>
        <v>901</v>
      </c>
      <c r="AE849" s="1">
        <f>IF(COUNTIF($V$2:V849,V849)=1,V849,ROWS(Clean_Data[OrderID])+1)</f>
        <v>901</v>
      </c>
      <c r="AF849" s="1">
        <f>IF(COUNTIF($U$2:U849,U849)=1,U849,ROWS(Clean_Data[OrderID])+1)</f>
        <v>901</v>
      </c>
      <c r="AG849" s="1">
        <f>IF(COUNTIF($E$2:E849,E849)=1,ROW()-1,ROWS(Clean_Data[OrderID])+1)</f>
        <v>901</v>
      </c>
    </row>
    <row r="850" spans="1:33" ht="20" customHeight="1">
      <c r="A850" s="3" t="s">
        <v>1256</v>
      </c>
      <c r="B850" s="2">
        <v>46294</v>
      </c>
      <c r="C850" s="3">
        <v>17</v>
      </c>
      <c r="D850" s="3" t="s">
        <v>392</v>
      </c>
      <c r="E850" s="3" t="s">
        <v>91</v>
      </c>
      <c r="F850" s="3" t="s">
        <v>109</v>
      </c>
      <c r="G850" s="3" t="s">
        <v>93</v>
      </c>
      <c r="H850" s="3" t="s">
        <v>94</v>
      </c>
      <c r="I850" s="3">
        <v>2</v>
      </c>
      <c r="J850" s="11">
        <v>95</v>
      </c>
      <c r="K850" s="4">
        <v>0</v>
      </c>
      <c r="L850" s="3" t="s">
        <v>95</v>
      </c>
      <c r="M850" s="3">
        <v>35</v>
      </c>
      <c r="N850" s="3">
        <v>15</v>
      </c>
      <c r="O850" s="3">
        <v>3</v>
      </c>
      <c r="P850" s="11">
        <f>Clean_Data[[#This Row],[Quantity]]*Clean_Data[[#This Row],[UnitPrice]]</f>
        <v>190</v>
      </c>
      <c r="Q850" s="11">
        <f>ROUND(Clean_Data[[#This Row],[GrossSales]]*Clean_Data[[#This Row],[DiscountPct]],2)</f>
        <v>0</v>
      </c>
      <c r="R850" s="11">
        <f>IF(Clean_Data[[#This Row],[Status]]="Delivered",ROUND(Clean_Data[[#This Row],[GrossSales]]-Clean_Data[[#This Row],[DiscountAmount]],2),0)</f>
        <v>190</v>
      </c>
      <c r="S850" s="3" t="str">
        <f>IF(Clean_Data[[#This Row],[OrderHour]]&lt;6,"Night",IF(Clean_Data[[#This Row],[OrderHour]]&lt;12,"Morning",IF(Clean_Data[[#This Row],[OrderHour]]&lt;18,"Afternoon","Evening")))</f>
        <v>Afternoon</v>
      </c>
      <c r="T850" s="3" t="str">
        <f>TEXT(Clean_Data[[#This Row],[OrderDate]],"[$-409]ddd")</f>
        <v>Tue</v>
      </c>
      <c r="U850" s="3">
        <f>WEEKDAY(Clean_Data[[#This Row],[OrderDate]],2)</f>
        <v>2</v>
      </c>
      <c r="V850" s="3">
        <f>INT(Clean_Data[[#This Row],[OrderHour]]/6)+1</f>
        <v>3</v>
      </c>
      <c r="W850" s="3">
        <f>IF(Clean_Data[[#This Row],[Status]]="Delivered",1,0)</f>
        <v>1</v>
      </c>
      <c r="X850" s="3">
        <f>IF(Clean_Data[[#This Row],[Status]]="Delivered",IF(Clean_Data[[#This Row],[DeliveryMinutes]]&lt;=Dashboard!$X$5,1,0),0)</f>
        <v>0</v>
      </c>
      <c r="Y85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0" s="3">
        <f>IF(AND(Clean_Data[[#This Row],[Include]]=1,Clean_Data[[#This Row],[DeliveredFlag]]=1),1,0)</f>
        <v>1</v>
      </c>
      <c r="AA850" s="1">
        <f>IF(COUNTIF($D$2:D850,D850)=1,ROW()-1,ROWS(Clean_Data[OrderID])+1)</f>
        <v>901</v>
      </c>
      <c r="AB850" s="1">
        <f>IF(COUNTIF($F$2:F850,F850)=1,ROW()-1,ROWS(Clean_Data[OrderID])+1)</f>
        <v>901</v>
      </c>
      <c r="AC850" s="1">
        <f>IF(COUNTIF($G$2:G850,G850)=1,ROW()-1,ROWS(Clean_Data[OrderID])+1)</f>
        <v>901</v>
      </c>
      <c r="AD850" s="1">
        <f>IF(COUNTIF($H$2:H850,H850)=1,ROW()-1,ROWS(Clean_Data[OrderID])+1)</f>
        <v>901</v>
      </c>
      <c r="AE850" s="1">
        <f>IF(COUNTIF($V$2:V850,V850)=1,V850,ROWS(Clean_Data[OrderID])+1)</f>
        <v>901</v>
      </c>
      <c r="AF850" s="1">
        <f>IF(COUNTIF($U$2:U850,U850)=1,U850,ROWS(Clean_Data[OrderID])+1)</f>
        <v>901</v>
      </c>
      <c r="AG850" s="1">
        <f>IF(COUNTIF($E$2:E850,E850)=1,ROW()-1,ROWS(Clean_Data[OrderID])+1)</f>
        <v>901</v>
      </c>
    </row>
    <row r="851" spans="1:33" ht="20" customHeight="1">
      <c r="A851" s="3" t="s">
        <v>1257</v>
      </c>
      <c r="B851" s="2">
        <v>46294</v>
      </c>
      <c r="C851" s="3">
        <v>18</v>
      </c>
      <c r="D851" s="3" t="s">
        <v>305</v>
      </c>
      <c r="E851" s="3" t="s">
        <v>91</v>
      </c>
      <c r="F851" s="3" t="s">
        <v>121</v>
      </c>
      <c r="G851" s="3" t="s">
        <v>135</v>
      </c>
      <c r="H851" s="3" t="s">
        <v>136</v>
      </c>
      <c r="I851" s="3">
        <v>4</v>
      </c>
      <c r="J851" s="11">
        <v>40</v>
      </c>
      <c r="K851" s="4">
        <v>0</v>
      </c>
      <c r="L851" s="3" t="s">
        <v>95</v>
      </c>
      <c r="M851" s="3">
        <v>29</v>
      </c>
      <c r="N851" s="3">
        <v>11</v>
      </c>
      <c r="O851" s="3">
        <v>4</v>
      </c>
      <c r="P851" s="11">
        <f>Clean_Data[[#This Row],[Quantity]]*Clean_Data[[#This Row],[UnitPrice]]</f>
        <v>160</v>
      </c>
      <c r="Q851" s="11">
        <f>ROUND(Clean_Data[[#This Row],[GrossSales]]*Clean_Data[[#This Row],[DiscountPct]],2)</f>
        <v>0</v>
      </c>
      <c r="R851" s="11">
        <f>IF(Clean_Data[[#This Row],[Status]]="Delivered",ROUND(Clean_Data[[#This Row],[GrossSales]]-Clean_Data[[#This Row],[DiscountAmount]],2),0)</f>
        <v>160</v>
      </c>
      <c r="S851" s="3" t="str">
        <f>IF(Clean_Data[[#This Row],[OrderHour]]&lt;6,"Night",IF(Clean_Data[[#This Row],[OrderHour]]&lt;12,"Morning",IF(Clean_Data[[#This Row],[OrderHour]]&lt;18,"Afternoon","Evening")))</f>
        <v>Evening</v>
      </c>
      <c r="T851" s="3" t="str">
        <f>TEXT(Clean_Data[[#This Row],[OrderDate]],"[$-409]ddd")</f>
        <v>Tue</v>
      </c>
      <c r="U851" s="3">
        <f>WEEKDAY(Clean_Data[[#This Row],[OrderDate]],2)</f>
        <v>2</v>
      </c>
      <c r="V851" s="3">
        <f>INT(Clean_Data[[#This Row],[OrderHour]]/6)+1</f>
        <v>4</v>
      </c>
      <c r="W851" s="3">
        <f>IF(Clean_Data[[#This Row],[Status]]="Delivered",1,0)</f>
        <v>1</v>
      </c>
      <c r="X851" s="3">
        <f>IF(Clean_Data[[#This Row],[Status]]="Delivered",IF(Clean_Data[[#This Row],[DeliveryMinutes]]&lt;=Dashboard!$X$5,1,0),0)</f>
        <v>1</v>
      </c>
      <c r="Y85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1" s="3">
        <f>IF(AND(Clean_Data[[#This Row],[Include]]=1,Clean_Data[[#This Row],[DeliveredFlag]]=1),1,0)</f>
        <v>1</v>
      </c>
      <c r="AA851" s="1">
        <f>IF(COUNTIF($D$2:D851,D851)=1,ROW()-1,ROWS(Clean_Data[OrderID])+1)</f>
        <v>901</v>
      </c>
      <c r="AB851" s="1">
        <f>IF(COUNTIF($F$2:F851,F851)=1,ROW()-1,ROWS(Clean_Data[OrderID])+1)</f>
        <v>901</v>
      </c>
      <c r="AC851" s="1">
        <f>IF(COUNTIF($G$2:G851,G851)=1,ROW()-1,ROWS(Clean_Data[OrderID])+1)</f>
        <v>901</v>
      </c>
      <c r="AD851" s="1">
        <f>IF(COUNTIF($H$2:H851,H851)=1,ROW()-1,ROWS(Clean_Data[OrderID])+1)</f>
        <v>901</v>
      </c>
      <c r="AE851" s="1">
        <f>IF(COUNTIF($V$2:V851,V851)=1,V851,ROWS(Clean_Data[OrderID])+1)</f>
        <v>901</v>
      </c>
      <c r="AF851" s="1">
        <f>IF(COUNTIF($U$2:U851,U851)=1,U851,ROWS(Clean_Data[OrderID])+1)</f>
        <v>901</v>
      </c>
      <c r="AG851" s="1">
        <f>IF(COUNTIF($E$2:E851,E851)=1,ROW()-1,ROWS(Clean_Data[OrderID])+1)</f>
        <v>901</v>
      </c>
    </row>
    <row r="852" spans="1:33" ht="20" customHeight="1">
      <c r="A852" s="3" t="s">
        <v>1258</v>
      </c>
      <c r="B852" s="2">
        <v>46294</v>
      </c>
      <c r="C852" s="3">
        <v>15</v>
      </c>
      <c r="D852" s="3" t="s">
        <v>372</v>
      </c>
      <c r="E852" s="3" t="s">
        <v>117</v>
      </c>
      <c r="F852" s="3" t="s">
        <v>139</v>
      </c>
      <c r="G852" s="3" t="s">
        <v>135</v>
      </c>
      <c r="H852" s="3" t="s">
        <v>162</v>
      </c>
      <c r="I852" s="3">
        <v>5</v>
      </c>
      <c r="J852" s="11">
        <v>180</v>
      </c>
      <c r="K852" s="4">
        <v>0</v>
      </c>
      <c r="L852" s="3" t="s">
        <v>101</v>
      </c>
      <c r="M852" s="3"/>
      <c r="N852" s="3"/>
      <c r="O852" s="3"/>
      <c r="P852" s="11">
        <f>Clean_Data[[#This Row],[Quantity]]*Clean_Data[[#This Row],[UnitPrice]]</f>
        <v>900</v>
      </c>
      <c r="Q852" s="11">
        <f>ROUND(Clean_Data[[#This Row],[GrossSales]]*Clean_Data[[#This Row],[DiscountPct]],2)</f>
        <v>0</v>
      </c>
      <c r="R852" s="11">
        <f>IF(Clean_Data[[#This Row],[Status]]="Delivered",ROUND(Clean_Data[[#This Row],[GrossSales]]-Clean_Data[[#This Row],[DiscountAmount]],2),0)</f>
        <v>0</v>
      </c>
      <c r="S852" s="3" t="str">
        <f>IF(Clean_Data[[#This Row],[OrderHour]]&lt;6,"Night",IF(Clean_Data[[#This Row],[OrderHour]]&lt;12,"Morning",IF(Clean_Data[[#This Row],[OrderHour]]&lt;18,"Afternoon","Evening")))</f>
        <v>Afternoon</v>
      </c>
      <c r="T852" s="3" t="str">
        <f>TEXT(Clean_Data[[#This Row],[OrderDate]],"[$-409]ddd")</f>
        <v>Tue</v>
      </c>
      <c r="U852" s="3">
        <f>WEEKDAY(Clean_Data[[#This Row],[OrderDate]],2)</f>
        <v>2</v>
      </c>
      <c r="V852" s="3">
        <f>INT(Clean_Data[[#This Row],[OrderHour]]/6)+1</f>
        <v>3</v>
      </c>
      <c r="W852" s="3">
        <f>IF(Clean_Data[[#This Row],[Status]]="Delivered",1,0)</f>
        <v>0</v>
      </c>
      <c r="X852" s="3">
        <f>IF(Clean_Data[[#This Row],[Status]]="Delivered",IF(Clean_Data[[#This Row],[DeliveryMinutes]]&lt;=Dashboard!$X$5,1,0),0)</f>
        <v>0</v>
      </c>
      <c r="Y85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2" s="3">
        <f>IF(AND(Clean_Data[[#This Row],[Include]]=1,Clean_Data[[#This Row],[DeliveredFlag]]=1),1,0)</f>
        <v>0</v>
      </c>
      <c r="AA852" s="1">
        <f>IF(COUNTIF($D$2:D852,D852)=1,ROW()-1,ROWS(Clean_Data[OrderID])+1)</f>
        <v>901</v>
      </c>
      <c r="AB852" s="1">
        <f>IF(COUNTIF($F$2:F852,F852)=1,ROW()-1,ROWS(Clean_Data[OrderID])+1)</f>
        <v>901</v>
      </c>
      <c r="AC852" s="1">
        <f>IF(COUNTIF($G$2:G852,G852)=1,ROW()-1,ROWS(Clean_Data[OrderID])+1)</f>
        <v>901</v>
      </c>
      <c r="AD852" s="1">
        <f>IF(COUNTIF($H$2:H852,H852)=1,ROW()-1,ROWS(Clean_Data[OrderID])+1)</f>
        <v>901</v>
      </c>
      <c r="AE852" s="1">
        <f>IF(COUNTIF($V$2:V852,V852)=1,V852,ROWS(Clean_Data[OrderID])+1)</f>
        <v>901</v>
      </c>
      <c r="AF852" s="1">
        <f>IF(COUNTIF($U$2:U852,U852)=1,U852,ROWS(Clean_Data[OrderID])+1)</f>
        <v>901</v>
      </c>
      <c r="AG852" s="1">
        <f>IF(COUNTIF($E$2:E852,E852)=1,ROW()-1,ROWS(Clean_Data[OrderID])+1)</f>
        <v>901</v>
      </c>
    </row>
    <row r="853" spans="1:33" ht="20" customHeight="1">
      <c r="A853" s="3" t="s">
        <v>1259</v>
      </c>
      <c r="B853" s="2">
        <v>46294</v>
      </c>
      <c r="C853" s="3">
        <v>18</v>
      </c>
      <c r="D853" s="3" t="s">
        <v>460</v>
      </c>
      <c r="E853" s="3" t="s">
        <v>117</v>
      </c>
      <c r="F853" s="3" t="s">
        <v>139</v>
      </c>
      <c r="G853" s="3" t="s">
        <v>122</v>
      </c>
      <c r="H853" s="3" t="s">
        <v>214</v>
      </c>
      <c r="I853" s="3">
        <v>2</v>
      </c>
      <c r="J853" s="11">
        <v>55</v>
      </c>
      <c r="K853" s="4">
        <v>0</v>
      </c>
      <c r="L853" s="3" t="s">
        <v>95</v>
      </c>
      <c r="M853" s="3">
        <v>29</v>
      </c>
      <c r="N853" s="3">
        <v>11</v>
      </c>
      <c r="O853" s="3">
        <v>5</v>
      </c>
      <c r="P853" s="11">
        <f>Clean_Data[[#This Row],[Quantity]]*Clean_Data[[#This Row],[UnitPrice]]</f>
        <v>110</v>
      </c>
      <c r="Q853" s="11">
        <f>ROUND(Clean_Data[[#This Row],[GrossSales]]*Clean_Data[[#This Row],[DiscountPct]],2)</f>
        <v>0</v>
      </c>
      <c r="R853" s="11">
        <f>IF(Clean_Data[[#This Row],[Status]]="Delivered",ROUND(Clean_Data[[#This Row],[GrossSales]]-Clean_Data[[#This Row],[DiscountAmount]],2),0)</f>
        <v>110</v>
      </c>
      <c r="S853" s="3" t="str">
        <f>IF(Clean_Data[[#This Row],[OrderHour]]&lt;6,"Night",IF(Clean_Data[[#This Row],[OrderHour]]&lt;12,"Morning",IF(Clean_Data[[#This Row],[OrderHour]]&lt;18,"Afternoon","Evening")))</f>
        <v>Evening</v>
      </c>
      <c r="T853" s="3" t="str">
        <f>TEXT(Clean_Data[[#This Row],[OrderDate]],"[$-409]ddd")</f>
        <v>Tue</v>
      </c>
      <c r="U853" s="3">
        <f>WEEKDAY(Clean_Data[[#This Row],[OrderDate]],2)</f>
        <v>2</v>
      </c>
      <c r="V853" s="3">
        <f>INT(Clean_Data[[#This Row],[OrderHour]]/6)+1</f>
        <v>4</v>
      </c>
      <c r="W853" s="3">
        <f>IF(Clean_Data[[#This Row],[Status]]="Delivered",1,0)</f>
        <v>1</v>
      </c>
      <c r="X853" s="3">
        <f>IF(Clean_Data[[#This Row],[Status]]="Delivered",IF(Clean_Data[[#This Row],[DeliveryMinutes]]&lt;=Dashboard!$X$5,1,0),0)</f>
        <v>1</v>
      </c>
      <c r="Y85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3" s="3">
        <f>IF(AND(Clean_Data[[#This Row],[Include]]=1,Clean_Data[[#This Row],[DeliveredFlag]]=1),1,0)</f>
        <v>1</v>
      </c>
      <c r="AA853" s="1">
        <f>IF(COUNTIF($D$2:D853,D853)=1,ROW()-1,ROWS(Clean_Data[OrderID])+1)</f>
        <v>901</v>
      </c>
      <c r="AB853" s="1">
        <f>IF(COUNTIF($F$2:F853,F853)=1,ROW()-1,ROWS(Clean_Data[OrderID])+1)</f>
        <v>901</v>
      </c>
      <c r="AC853" s="1">
        <f>IF(COUNTIF($G$2:G853,G853)=1,ROW()-1,ROWS(Clean_Data[OrderID])+1)</f>
        <v>901</v>
      </c>
      <c r="AD853" s="1">
        <f>IF(COUNTIF($H$2:H853,H853)=1,ROW()-1,ROWS(Clean_Data[OrderID])+1)</f>
        <v>901</v>
      </c>
      <c r="AE853" s="1">
        <f>IF(COUNTIF($V$2:V853,V853)=1,V853,ROWS(Clean_Data[OrderID])+1)</f>
        <v>901</v>
      </c>
      <c r="AF853" s="1">
        <f>IF(COUNTIF($U$2:U853,U853)=1,U853,ROWS(Clean_Data[OrderID])+1)</f>
        <v>901</v>
      </c>
      <c r="AG853" s="1">
        <f>IF(COUNTIF($E$2:E853,E853)=1,ROW()-1,ROWS(Clean_Data[OrderID])+1)</f>
        <v>901</v>
      </c>
    </row>
    <row r="854" spans="1:33" ht="20" customHeight="1">
      <c r="A854" s="3" t="s">
        <v>1260</v>
      </c>
      <c r="B854" s="2">
        <v>46294</v>
      </c>
      <c r="C854" s="3">
        <v>18</v>
      </c>
      <c r="D854" s="3" t="s">
        <v>181</v>
      </c>
      <c r="E854" s="3" t="s">
        <v>117</v>
      </c>
      <c r="F854" s="3" t="s">
        <v>139</v>
      </c>
      <c r="G854" s="3" t="s">
        <v>122</v>
      </c>
      <c r="H854" s="3" t="s">
        <v>153</v>
      </c>
      <c r="I854" s="3">
        <v>3</v>
      </c>
      <c r="J854" s="11">
        <v>130</v>
      </c>
      <c r="K854" s="4">
        <v>0.15</v>
      </c>
      <c r="L854" s="3" t="s">
        <v>95</v>
      </c>
      <c r="M854" s="3">
        <v>24</v>
      </c>
      <c r="N854" s="3">
        <v>9</v>
      </c>
      <c r="O854" s="3">
        <v>5</v>
      </c>
      <c r="P854" s="11">
        <f>Clean_Data[[#This Row],[Quantity]]*Clean_Data[[#This Row],[UnitPrice]]</f>
        <v>390</v>
      </c>
      <c r="Q854" s="11">
        <f>ROUND(Clean_Data[[#This Row],[GrossSales]]*Clean_Data[[#This Row],[DiscountPct]],2)</f>
        <v>58.5</v>
      </c>
      <c r="R854" s="11">
        <f>IF(Clean_Data[[#This Row],[Status]]="Delivered",ROUND(Clean_Data[[#This Row],[GrossSales]]-Clean_Data[[#This Row],[DiscountAmount]],2),0)</f>
        <v>331.5</v>
      </c>
      <c r="S854" s="3" t="str">
        <f>IF(Clean_Data[[#This Row],[OrderHour]]&lt;6,"Night",IF(Clean_Data[[#This Row],[OrderHour]]&lt;12,"Morning",IF(Clean_Data[[#This Row],[OrderHour]]&lt;18,"Afternoon","Evening")))</f>
        <v>Evening</v>
      </c>
      <c r="T854" s="3" t="str">
        <f>TEXT(Clean_Data[[#This Row],[OrderDate]],"[$-409]ddd")</f>
        <v>Tue</v>
      </c>
      <c r="U854" s="3">
        <f>WEEKDAY(Clean_Data[[#This Row],[OrderDate]],2)</f>
        <v>2</v>
      </c>
      <c r="V854" s="3">
        <f>INT(Clean_Data[[#This Row],[OrderHour]]/6)+1</f>
        <v>4</v>
      </c>
      <c r="W854" s="3">
        <f>IF(Clean_Data[[#This Row],[Status]]="Delivered",1,0)</f>
        <v>1</v>
      </c>
      <c r="X854" s="3">
        <f>IF(Clean_Data[[#This Row],[Status]]="Delivered",IF(Clean_Data[[#This Row],[DeliveryMinutes]]&lt;=Dashboard!$X$5,1,0),0)</f>
        <v>1</v>
      </c>
      <c r="Y85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4" s="3">
        <f>IF(AND(Clean_Data[[#This Row],[Include]]=1,Clean_Data[[#This Row],[DeliveredFlag]]=1),1,0)</f>
        <v>1</v>
      </c>
      <c r="AA854" s="1">
        <f>IF(COUNTIF($D$2:D854,D854)=1,ROW()-1,ROWS(Clean_Data[OrderID])+1)</f>
        <v>901</v>
      </c>
      <c r="AB854" s="1">
        <f>IF(COUNTIF($F$2:F854,F854)=1,ROW()-1,ROWS(Clean_Data[OrderID])+1)</f>
        <v>901</v>
      </c>
      <c r="AC854" s="1">
        <f>IF(COUNTIF($G$2:G854,G854)=1,ROW()-1,ROWS(Clean_Data[OrderID])+1)</f>
        <v>901</v>
      </c>
      <c r="AD854" s="1">
        <f>IF(COUNTIF($H$2:H854,H854)=1,ROW()-1,ROWS(Clean_Data[OrderID])+1)</f>
        <v>901</v>
      </c>
      <c r="AE854" s="1">
        <f>IF(COUNTIF($V$2:V854,V854)=1,V854,ROWS(Clean_Data[OrderID])+1)</f>
        <v>901</v>
      </c>
      <c r="AF854" s="1">
        <f>IF(COUNTIF($U$2:U854,U854)=1,U854,ROWS(Clean_Data[OrderID])+1)</f>
        <v>901</v>
      </c>
      <c r="AG854" s="1">
        <f>IF(COUNTIF($E$2:E854,E854)=1,ROW()-1,ROWS(Clean_Data[OrderID])+1)</f>
        <v>901</v>
      </c>
    </row>
    <row r="855" spans="1:33" ht="20" customHeight="1">
      <c r="A855" s="3" t="s">
        <v>1261</v>
      </c>
      <c r="B855" s="2">
        <v>46294</v>
      </c>
      <c r="C855" s="3">
        <v>9</v>
      </c>
      <c r="D855" s="3" t="s">
        <v>545</v>
      </c>
      <c r="E855" s="3" t="s">
        <v>117</v>
      </c>
      <c r="F855" s="3" t="s">
        <v>139</v>
      </c>
      <c r="G855" s="3" t="s">
        <v>135</v>
      </c>
      <c r="H855" s="3" t="s">
        <v>217</v>
      </c>
      <c r="I855" s="3">
        <v>5</v>
      </c>
      <c r="J855" s="11">
        <v>65</v>
      </c>
      <c r="K855" s="4">
        <v>0</v>
      </c>
      <c r="L855" s="3" t="s">
        <v>95</v>
      </c>
      <c r="M855" s="3">
        <v>28</v>
      </c>
      <c r="N855" s="3">
        <v>15</v>
      </c>
      <c r="O855" s="3">
        <v>5</v>
      </c>
      <c r="P855" s="11">
        <f>Clean_Data[[#This Row],[Quantity]]*Clean_Data[[#This Row],[UnitPrice]]</f>
        <v>325</v>
      </c>
      <c r="Q855" s="11">
        <f>ROUND(Clean_Data[[#This Row],[GrossSales]]*Clean_Data[[#This Row],[DiscountPct]],2)</f>
        <v>0</v>
      </c>
      <c r="R855" s="11">
        <f>IF(Clean_Data[[#This Row],[Status]]="Delivered",ROUND(Clean_Data[[#This Row],[GrossSales]]-Clean_Data[[#This Row],[DiscountAmount]],2),0)</f>
        <v>325</v>
      </c>
      <c r="S855" s="3" t="str">
        <f>IF(Clean_Data[[#This Row],[OrderHour]]&lt;6,"Night",IF(Clean_Data[[#This Row],[OrderHour]]&lt;12,"Morning",IF(Clean_Data[[#This Row],[OrderHour]]&lt;18,"Afternoon","Evening")))</f>
        <v>Morning</v>
      </c>
      <c r="T855" s="3" t="str">
        <f>TEXT(Clean_Data[[#This Row],[OrderDate]],"[$-409]ddd")</f>
        <v>Tue</v>
      </c>
      <c r="U855" s="3">
        <f>WEEKDAY(Clean_Data[[#This Row],[OrderDate]],2)</f>
        <v>2</v>
      </c>
      <c r="V855" s="3">
        <f>INT(Clean_Data[[#This Row],[OrderHour]]/6)+1</f>
        <v>2</v>
      </c>
      <c r="W855" s="3">
        <f>IF(Clean_Data[[#This Row],[Status]]="Delivered",1,0)</f>
        <v>1</v>
      </c>
      <c r="X855" s="3">
        <f>IF(Clean_Data[[#This Row],[Status]]="Delivered",IF(Clean_Data[[#This Row],[DeliveryMinutes]]&lt;=Dashboard!$X$5,1,0),0)</f>
        <v>1</v>
      </c>
      <c r="Y85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5" s="3">
        <f>IF(AND(Clean_Data[[#This Row],[Include]]=1,Clean_Data[[#This Row],[DeliveredFlag]]=1),1,0)</f>
        <v>1</v>
      </c>
      <c r="AA855" s="1">
        <f>IF(COUNTIF($D$2:D855,D855)=1,ROW()-1,ROWS(Clean_Data[OrderID])+1)</f>
        <v>901</v>
      </c>
      <c r="AB855" s="1">
        <f>IF(COUNTIF($F$2:F855,F855)=1,ROW()-1,ROWS(Clean_Data[OrderID])+1)</f>
        <v>901</v>
      </c>
      <c r="AC855" s="1">
        <f>IF(COUNTIF($G$2:G855,G855)=1,ROW()-1,ROWS(Clean_Data[OrderID])+1)</f>
        <v>901</v>
      </c>
      <c r="AD855" s="1">
        <f>IF(COUNTIF($H$2:H855,H855)=1,ROW()-1,ROWS(Clean_Data[OrderID])+1)</f>
        <v>901</v>
      </c>
      <c r="AE855" s="1">
        <f>IF(COUNTIF($V$2:V855,V855)=1,V855,ROWS(Clean_Data[OrderID])+1)</f>
        <v>901</v>
      </c>
      <c r="AF855" s="1">
        <f>IF(COUNTIF($U$2:U855,U855)=1,U855,ROWS(Clean_Data[OrderID])+1)</f>
        <v>901</v>
      </c>
      <c r="AG855" s="1">
        <f>IF(COUNTIF($E$2:E855,E855)=1,ROW()-1,ROWS(Clean_Data[OrderID])+1)</f>
        <v>901</v>
      </c>
    </row>
    <row r="856" spans="1:33" ht="20" customHeight="1">
      <c r="A856" s="3" t="s">
        <v>1262</v>
      </c>
      <c r="B856" s="2">
        <v>46294</v>
      </c>
      <c r="C856" s="3">
        <v>18</v>
      </c>
      <c r="D856" s="3" t="s">
        <v>436</v>
      </c>
      <c r="E856" s="3" t="s">
        <v>117</v>
      </c>
      <c r="F856" s="3" t="s">
        <v>92</v>
      </c>
      <c r="G856" s="3" t="s">
        <v>99</v>
      </c>
      <c r="H856" s="3" t="s">
        <v>130</v>
      </c>
      <c r="I856" s="3">
        <v>5</v>
      </c>
      <c r="J856" s="11">
        <v>85</v>
      </c>
      <c r="K856" s="4">
        <v>0</v>
      </c>
      <c r="L856" s="3" t="s">
        <v>95</v>
      </c>
      <c r="M856" s="3">
        <v>36</v>
      </c>
      <c r="N856" s="3">
        <v>6</v>
      </c>
      <c r="O856" s="3">
        <v>4</v>
      </c>
      <c r="P856" s="11">
        <f>Clean_Data[[#This Row],[Quantity]]*Clean_Data[[#This Row],[UnitPrice]]</f>
        <v>425</v>
      </c>
      <c r="Q856" s="11">
        <f>ROUND(Clean_Data[[#This Row],[GrossSales]]*Clean_Data[[#This Row],[DiscountPct]],2)</f>
        <v>0</v>
      </c>
      <c r="R856" s="11">
        <f>IF(Clean_Data[[#This Row],[Status]]="Delivered",ROUND(Clean_Data[[#This Row],[GrossSales]]-Clean_Data[[#This Row],[DiscountAmount]],2),0)</f>
        <v>425</v>
      </c>
      <c r="S856" s="3" t="str">
        <f>IF(Clean_Data[[#This Row],[OrderHour]]&lt;6,"Night",IF(Clean_Data[[#This Row],[OrderHour]]&lt;12,"Morning",IF(Clean_Data[[#This Row],[OrderHour]]&lt;18,"Afternoon","Evening")))</f>
        <v>Evening</v>
      </c>
      <c r="T856" s="3" t="str">
        <f>TEXT(Clean_Data[[#This Row],[OrderDate]],"[$-409]ddd")</f>
        <v>Tue</v>
      </c>
      <c r="U856" s="3">
        <f>WEEKDAY(Clean_Data[[#This Row],[OrderDate]],2)</f>
        <v>2</v>
      </c>
      <c r="V856" s="3">
        <f>INT(Clean_Data[[#This Row],[OrderHour]]/6)+1</f>
        <v>4</v>
      </c>
      <c r="W856" s="3">
        <f>IF(Clean_Data[[#This Row],[Status]]="Delivered",1,0)</f>
        <v>1</v>
      </c>
      <c r="X856" s="3">
        <f>IF(Clean_Data[[#This Row],[Status]]="Delivered",IF(Clean_Data[[#This Row],[DeliveryMinutes]]&lt;=Dashboard!$X$5,1,0),0)</f>
        <v>0</v>
      </c>
      <c r="Y85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6" s="3">
        <f>IF(AND(Clean_Data[[#This Row],[Include]]=1,Clean_Data[[#This Row],[DeliveredFlag]]=1),1,0)</f>
        <v>1</v>
      </c>
      <c r="AA856" s="1">
        <f>IF(COUNTIF($D$2:D856,D856)=1,ROW()-1,ROWS(Clean_Data[OrderID])+1)</f>
        <v>901</v>
      </c>
      <c r="AB856" s="1">
        <f>IF(COUNTIF($F$2:F856,F856)=1,ROW()-1,ROWS(Clean_Data[OrderID])+1)</f>
        <v>901</v>
      </c>
      <c r="AC856" s="1">
        <f>IF(COUNTIF($G$2:G856,G856)=1,ROW()-1,ROWS(Clean_Data[OrderID])+1)</f>
        <v>901</v>
      </c>
      <c r="AD856" s="1">
        <f>IF(COUNTIF($H$2:H856,H856)=1,ROW()-1,ROWS(Clean_Data[OrderID])+1)</f>
        <v>901</v>
      </c>
      <c r="AE856" s="1">
        <f>IF(COUNTIF($V$2:V856,V856)=1,V856,ROWS(Clean_Data[OrderID])+1)</f>
        <v>901</v>
      </c>
      <c r="AF856" s="1">
        <f>IF(COUNTIF($U$2:U856,U856)=1,U856,ROWS(Clean_Data[OrderID])+1)</f>
        <v>901</v>
      </c>
      <c r="AG856" s="1">
        <f>IF(COUNTIF($E$2:E856,E856)=1,ROW()-1,ROWS(Clean_Data[OrderID])+1)</f>
        <v>901</v>
      </c>
    </row>
    <row r="857" spans="1:33" ht="20" customHeight="1">
      <c r="A857" s="3" t="s">
        <v>1263</v>
      </c>
      <c r="B857" s="2">
        <v>46294</v>
      </c>
      <c r="C857" s="3">
        <v>22</v>
      </c>
      <c r="D857" s="3" t="s">
        <v>454</v>
      </c>
      <c r="E857" s="3" t="s">
        <v>91</v>
      </c>
      <c r="F857" s="3" t="s">
        <v>139</v>
      </c>
      <c r="G857" s="3" t="s">
        <v>174</v>
      </c>
      <c r="H857" s="3" t="s">
        <v>175</v>
      </c>
      <c r="I857" s="3">
        <v>1</v>
      </c>
      <c r="J857" s="11">
        <v>155</v>
      </c>
      <c r="K857" s="4">
        <v>0</v>
      </c>
      <c r="L857" s="3" t="s">
        <v>95</v>
      </c>
      <c r="M857" s="3">
        <v>26</v>
      </c>
      <c r="N857" s="3">
        <v>13</v>
      </c>
      <c r="O857" s="3">
        <v>5</v>
      </c>
      <c r="P857" s="11">
        <f>Clean_Data[[#This Row],[Quantity]]*Clean_Data[[#This Row],[UnitPrice]]</f>
        <v>155</v>
      </c>
      <c r="Q857" s="11">
        <f>ROUND(Clean_Data[[#This Row],[GrossSales]]*Clean_Data[[#This Row],[DiscountPct]],2)</f>
        <v>0</v>
      </c>
      <c r="R857" s="11">
        <f>IF(Clean_Data[[#This Row],[Status]]="Delivered",ROUND(Clean_Data[[#This Row],[GrossSales]]-Clean_Data[[#This Row],[DiscountAmount]],2),0)</f>
        <v>155</v>
      </c>
      <c r="S857" s="3" t="str">
        <f>IF(Clean_Data[[#This Row],[OrderHour]]&lt;6,"Night",IF(Clean_Data[[#This Row],[OrderHour]]&lt;12,"Morning",IF(Clean_Data[[#This Row],[OrderHour]]&lt;18,"Afternoon","Evening")))</f>
        <v>Evening</v>
      </c>
      <c r="T857" s="3" t="str">
        <f>TEXT(Clean_Data[[#This Row],[OrderDate]],"[$-409]ddd")</f>
        <v>Tue</v>
      </c>
      <c r="U857" s="3">
        <f>WEEKDAY(Clean_Data[[#This Row],[OrderDate]],2)</f>
        <v>2</v>
      </c>
      <c r="V857" s="3">
        <f>INT(Clean_Data[[#This Row],[OrderHour]]/6)+1</f>
        <v>4</v>
      </c>
      <c r="W857" s="3">
        <f>IF(Clean_Data[[#This Row],[Status]]="Delivered",1,0)</f>
        <v>1</v>
      </c>
      <c r="X857" s="3">
        <f>IF(Clean_Data[[#This Row],[Status]]="Delivered",IF(Clean_Data[[#This Row],[DeliveryMinutes]]&lt;=Dashboard!$X$5,1,0),0)</f>
        <v>1</v>
      </c>
      <c r="Y85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7" s="3">
        <f>IF(AND(Clean_Data[[#This Row],[Include]]=1,Clean_Data[[#This Row],[DeliveredFlag]]=1),1,0)</f>
        <v>1</v>
      </c>
      <c r="AA857" s="1">
        <f>IF(COUNTIF($D$2:D857,D857)=1,ROW()-1,ROWS(Clean_Data[OrderID])+1)</f>
        <v>901</v>
      </c>
      <c r="AB857" s="1">
        <f>IF(COUNTIF($F$2:F857,F857)=1,ROW()-1,ROWS(Clean_Data[OrderID])+1)</f>
        <v>901</v>
      </c>
      <c r="AC857" s="1">
        <f>IF(COUNTIF($G$2:G857,G857)=1,ROW()-1,ROWS(Clean_Data[OrderID])+1)</f>
        <v>901</v>
      </c>
      <c r="AD857" s="1">
        <f>IF(COUNTIF($H$2:H857,H857)=1,ROW()-1,ROWS(Clean_Data[OrderID])+1)</f>
        <v>901</v>
      </c>
      <c r="AE857" s="1">
        <f>IF(COUNTIF($V$2:V857,V857)=1,V857,ROWS(Clean_Data[OrderID])+1)</f>
        <v>901</v>
      </c>
      <c r="AF857" s="1">
        <f>IF(COUNTIF($U$2:U857,U857)=1,U857,ROWS(Clean_Data[OrderID])+1)</f>
        <v>901</v>
      </c>
      <c r="AG857" s="1">
        <f>IF(COUNTIF($E$2:E857,E857)=1,ROW()-1,ROWS(Clean_Data[OrderID])+1)</f>
        <v>901</v>
      </c>
    </row>
    <row r="858" spans="1:33" ht="20" customHeight="1">
      <c r="A858" s="3" t="s">
        <v>1264</v>
      </c>
      <c r="B858" s="2">
        <v>46294</v>
      </c>
      <c r="C858" s="3">
        <v>11</v>
      </c>
      <c r="D858" s="3" t="s">
        <v>255</v>
      </c>
      <c r="E858" s="3" t="s">
        <v>91</v>
      </c>
      <c r="F858" s="3" t="s">
        <v>109</v>
      </c>
      <c r="G858" s="3" t="s">
        <v>122</v>
      </c>
      <c r="H858" s="3" t="s">
        <v>123</v>
      </c>
      <c r="I858" s="3">
        <v>6</v>
      </c>
      <c r="J858" s="11">
        <v>45</v>
      </c>
      <c r="K858" s="4">
        <v>0</v>
      </c>
      <c r="L858" s="3" t="s">
        <v>95</v>
      </c>
      <c r="M858" s="3">
        <v>29</v>
      </c>
      <c r="N858" s="3">
        <v>9</v>
      </c>
      <c r="O858" s="3">
        <v>5</v>
      </c>
      <c r="P858" s="11">
        <f>Clean_Data[[#This Row],[Quantity]]*Clean_Data[[#This Row],[UnitPrice]]</f>
        <v>270</v>
      </c>
      <c r="Q858" s="11">
        <f>ROUND(Clean_Data[[#This Row],[GrossSales]]*Clean_Data[[#This Row],[DiscountPct]],2)</f>
        <v>0</v>
      </c>
      <c r="R858" s="11">
        <f>IF(Clean_Data[[#This Row],[Status]]="Delivered",ROUND(Clean_Data[[#This Row],[GrossSales]]-Clean_Data[[#This Row],[DiscountAmount]],2),0)</f>
        <v>270</v>
      </c>
      <c r="S858" s="3" t="str">
        <f>IF(Clean_Data[[#This Row],[OrderHour]]&lt;6,"Night",IF(Clean_Data[[#This Row],[OrderHour]]&lt;12,"Morning",IF(Clean_Data[[#This Row],[OrderHour]]&lt;18,"Afternoon","Evening")))</f>
        <v>Morning</v>
      </c>
      <c r="T858" s="3" t="str">
        <f>TEXT(Clean_Data[[#This Row],[OrderDate]],"[$-409]ddd")</f>
        <v>Tue</v>
      </c>
      <c r="U858" s="3">
        <f>WEEKDAY(Clean_Data[[#This Row],[OrderDate]],2)</f>
        <v>2</v>
      </c>
      <c r="V858" s="3">
        <f>INT(Clean_Data[[#This Row],[OrderHour]]/6)+1</f>
        <v>2</v>
      </c>
      <c r="W858" s="3">
        <f>IF(Clean_Data[[#This Row],[Status]]="Delivered",1,0)</f>
        <v>1</v>
      </c>
      <c r="X858" s="3">
        <f>IF(Clean_Data[[#This Row],[Status]]="Delivered",IF(Clean_Data[[#This Row],[DeliveryMinutes]]&lt;=Dashboard!$X$5,1,0),0)</f>
        <v>1</v>
      </c>
      <c r="Y85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8" s="3">
        <f>IF(AND(Clean_Data[[#This Row],[Include]]=1,Clean_Data[[#This Row],[DeliveredFlag]]=1),1,0)</f>
        <v>1</v>
      </c>
      <c r="AA858" s="1">
        <f>IF(COUNTIF($D$2:D858,D858)=1,ROW()-1,ROWS(Clean_Data[OrderID])+1)</f>
        <v>901</v>
      </c>
      <c r="AB858" s="1">
        <f>IF(COUNTIF($F$2:F858,F858)=1,ROW()-1,ROWS(Clean_Data[OrderID])+1)</f>
        <v>901</v>
      </c>
      <c r="AC858" s="1">
        <f>IF(COUNTIF($G$2:G858,G858)=1,ROW()-1,ROWS(Clean_Data[OrderID])+1)</f>
        <v>901</v>
      </c>
      <c r="AD858" s="1">
        <f>IF(COUNTIF($H$2:H858,H858)=1,ROW()-1,ROWS(Clean_Data[OrderID])+1)</f>
        <v>901</v>
      </c>
      <c r="AE858" s="1">
        <f>IF(COUNTIF($V$2:V858,V858)=1,V858,ROWS(Clean_Data[OrderID])+1)</f>
        <v>901</v>
      </c>
      <c r="AF858" s="1">
        <f>IF(COUNTIF($U$2:U858,U858)=1,U858,ROWS(Clean_Data[OrderID])+1)</f>
        <v>901</v>
      </c>
      <c r="AG858" s="1">
        <f>IF(COUNTIF($E$2:E858,E858)=1,ROW()-1,ROWS(Clean_Data[OrderID])+1)</f>
        <v>901</v>
      </c>
    </row>
    <row r="859" spans="1:33" ht="20" customHeight="1">
      <c r="A859" s="3" t="s">
        <v>1265</v>
      </c>
      <c r="B859" s="2">
        <v>46294</v>
      </c>
      <c r="C859" s="3">
        <v>12</v>
      </c>
      <c r="D859" s="3" t="s">
        <v>845</v>
      </c>
      <c r="E859" s="3" t="s">
        <v>91</v>
      </c>
      <c r="F859" s="3" t="s">
        <v>121</v>
      </c>
      <c r="G859" s="3" t="s">
        <v>110</v>
      </c>
      <c r="H859" s="3" t="s">
        <v>111</v>
      </c>
      <c r="I859" s="3">
        <v>3</v>
      </c>
      <c r="J859" s="11">
        <v>115</v>
      </c>
      <c r="K859" s="4">
        <v>0.15</v>
      </c>
      <c r="L859" s="3" t="s">
        <v>95</v>
      </c>
      <c r="M859" s="3">
        <v>29</v>
      </c>
      <c r="N859" s="3">
        <v>11</v>
      </c>
      <c r="O859" s="3">
        <v>5</v>
      </c>
      <c r="P859" s="11">
        <f>Clean_Data[[#This Row],[Quantity]]*Clean_Data[[#This Row],[UnitPrice]]</f>
        <v>345</v>
      </c>
      <c r="Q859" s="11">
        <f>ROUND(Clean_Data[[#This Row],[GrossSales]]*Clean_Data[[#This Row],[DiscountPct]],2)</f>
        <v>51.75</v>
      </c>
      <c r="R859" s="11">
        <f>IF(Clean_Data[[#This Row],[Status]]="Delivered",ROUND(Clean_Data[[#This Row],[GrossSales]]-Clean_Data[[#This Row],[DiscountAmount]],2),0)</f>
        <v>293.25</v>
      </c>
      <c r="S859" s="3" t="str">
        <f>IF(Clean_Data[[#This Row],[OrderHour]]&lt;6,"Night",IF(Clean_Data[[#This Row],[OrderHour]]&lt;12,"Morning",IF(Clean_Data[[#This Row],[OrderHour]]&lt;18,"Afternoon","Evening")))</f>
        <v>Afternoon</v>
      </c>
      <c r="T859" s="3" t="str">
        <f>TEXT(Clean_Data[[#This Row],[OrderDate]],"[$-409]ddd")</f>
        <v>Tue</v>
      </c>
      <c r="U859" s="3">
        <f>WEEKDAY(Clean_Data[[#This Row],[OrderDate]],2)</f>
        <v>2</v>
      </c>
      <c r="V859" s="3">
        <f>INT(Clean_Data[[#This Row],[OrderHour]]/6)+1</f>
        <v>3</v>
      </c>
      <c r="W859" s="3">
        <f>IF(Clean_Data[[#This Row],[Status]]="Delivered",1,0)</f>
        <v>1</v>
      </c>
      <c r="X859" s="3">
        <f>IF(Clean_Data[[#This Row],[Status]]="Delivered",IF(Clean_Data[[#This Row],[DeliveryMinutes]]&lt;=Dashboard!$X$5,1,0),0)</f>
        <v>1</v>
      </c>
      <c r="Y85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59" s="3">
        <f>IF(AND(Clean_Data[[#This Row],[Include]]=1,Clean_Data[[#This Row],[DeliveredFlag]]=1),1,0)</f>
        <v>1</v>
      </c>
      <c r="AA859" s="1">
        <f>IF(COUNTIF($D$2:D859,D859)=1,ROW()-1,ROWS(Clean_Data[OrderID])+1)</f>
        <v>901</v>
      </c>
      <c r="AB859" s="1">
        <f>IF(COUNTIF($F$2:F859,F859)=1,ROW()-1,ROWS(Clean_Data[OrderID])+1)</f>
        <v>901</v>
      </c>
      <c r="AC859" s="1">
        <f>IF(COUNTIF($G$2:G859,G859)=1,ROW()-1,ROWS(Clean_Data[OrderID])+1)</f>
        <v>901</v>
      </c>
      <c r="AD859" s="1">
        <f>IF(COUNTIF($H$2:H859,H859)=1,ROW()-1,ROWS(Clean_Data[OrderID])+1)</f>
        <v>901</v>
      </c>
      <c r="AE859" s="1">
        <f>IF(COUNTIF($V$2:V859,V859)=1,V859,ROWS(Clean_Data[OrderID])+1)</f>
        <v>901</v>
      </c>
      <c r="AF859" s="1">
        <f>IF(COUNTIF($U$2:U859,U859)=1,U859,ROWS(Clean_Data[OrderID])+1)</f>
        <v>901</v>
      </c>
      <c r="AG859" s="1">
        <f>IF(COUNTIF($E$2:E859,E859)=1,ROW()-1,ROWS(Clean_Data[OrderID])+1)</f>
        <v>901</v>
      </c>
    </row>
    <row r="860" spans="1:33" ht="20" customHeight="1">
      <c r="A860" s="3" t="s">
        <v>1266</v>
      </c>
      <c r="B860" s="2">
        <v>46294</v>
      </c>
      <c r="C860" s="3">
        <v>10</v>
      </c>
      <c r="D860" s="3" t="s">
        <v>293</v>
      </c>
      <c r="E860" s="3" t="s">
        <v>91</v>
      </c>
      <c r="F860" s="3" t="s">
        <v>92</v>
      </c>
      <c r="G860" s="3" t="s">
        <v>93</v>
      </c>
      <c r="H860" s="3" t="s">
        <v>146</v>
      </c>
      <c r="I860" s="3">
        <v>3</v>
      </c>
      <c r="J860" s="11">
        <v>110</v>
      </c>
      <c r="K860" s="4">
        <v>0.1</v>
      </c>
      <c r="L860" s="3" t="s">
        <v>95</v>
      </c>
      <c r="M860" s="3">
        <v>22</v>
      </c>
      <c r="N860" s="3">
        <v>9</v>
      </c>
      <c r="O860" s="3">
        <v>4</v>
      </c>
      <c r="P860" s="11">
        <f>Clean_Data[[#This Row],[Quantity]]*Clean_Data[[#This Row],[UnitPrice]]</f>
        <v>330</v>
      </c>
      <c r="Q860" s="11">
        <f>ROUND(Clean_Data[[#This Row],[GrossSales]]*Clean_Data[[#This Row],[DiscountPct]],2)</f>
        <v>33</v>
      </c>
      <c r="R860" s="11">
        <f>IF(Clean_Data[[#This Row],[Status]]="Delivered",ROUND(Clean_Data[[#This Row],[GrossSales]]-Clean_Data[[#This Row],[DiscountAmount]],2),0)</f>
        <v>297</v>
      </c>
      <c r="S860" s="3" t="str">
        <f>IF(Clean_Data[[#This Row],[OrderHour]]&lt;6,"Night",IF(Clean_Data[[#This Row],[OrderHour]]&lt;12,"Morning",IF(Clean_Data[[#This Row],[OrderHour]]&lt;18,"Afternoon","Evening")))</f>
        <v>Morning</v>
      </c>
      <c r="T860" s="3" t="str">
        <f>TEXT(Clean_Data[[#This Row],[OrderDate]],"[$-409]ddd")</f>
        <v>Tue</v>
      </c>
      <c r="U860" s="3">
        <f>WEEKDAY(Clean_Data[[#This Row],[OrderDate]],2)</f>
        <v>2</v>
      </c>
      <c r="V860" s="3">
        <f>INT(Clean_Data[[#This Row],[OrderHour]]/6)+1</f>
        <v>2</v>
      </c>
      <c r="W860" s="3">
        <f>IF(Clean_Data[[#This Row],[Status]]="Delivered",1,0)</f>
        <v>1</v>
      </c>
      <c r="X860" s="3">
        <f>IF(Clean_Data[[#This Row],[Status]]="Delivered",IF(Clean_Data[[#This Row],[DeliveryMinutes]]&lt;=Dashboard!$X$5,1,0),0)</f>
        <v>1</v>
      </c>
      <c r="Y86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0" s="3">
        <f>IF(AND(Clean_Data[[#This Row],[Include]]=1,Clean_Data[[#This Row],[DeliveredFlag]]=1),1,0)</f>
        <v>1</v>
      </c>
      <c r="AA860" s="1">
        <f>IF(COUNTIF($D$2:D860,D860)=1,ROW()-1,ROWS(Clean_Data[OrderID])+1)</f>
        <v>901</v>
      </c>
      <c r="AB860" s="1">
        <f>IF(COUNTIF($F$2:F860,F860)=1,ROW()-1,ROWS(Clean_Data[OrderID])+1)</f>
        <v>901</v>
      </c>
      <c r="AC860" s="1">
        <f>IF(COUNTIF($G$2:G860,G860)=1,ROW()-1,ROWS(Clean_Data[OrderID])+1)</f>
        <v>901</v>
      </c>
      <c r="AD860" s="1">
        <f>IF(COUNTIF($H$2:H860,H860)=1,ROW()-1,ROWS(Clean_Data[OrderID])+1)</f>
        <v>901</v>
      </c>
      <c r="AE860" s="1">
        <f>IF(COUNTIF($V$2:V860,V860)=1,V860,ROWS(Clean_Data[OrderID])+1)</f>
        <v>901</v>
      </c>
      <c r="AF860" s="1">
        <f>IF(COUNTIF($U$2:U860,U860)=1,U860,ROWS(Clean_Data[OrderID])+1)</f>
        <v>901</v>
      </c>
      <c r="AG860" s="1">
        <f>IF(COUNTIF($E$2:E860,E860)=1,ROW()-1,ROWS(Clean_Data[OrderID])+1)</f>
        <v>901</v>
      </c>
    </row>
    <row r="861" spans="1:33" ht="20" customHeight="1">
      <c r="A861" s="3" t="s">
        <v>1267</v>
      </c>
      <c r="B861" s="2">
        <v>46294</v>
      </c>
      <c r="C861" s="3">
        <v>16</v>
      </c>
      <c r="D861" s="3" t="s">
        <v>201</v>
      </c>
      <c r="E861" s="3" t="s">
        <v>91</v>
      </c>
      <c r="F861" s="3" t="s">
        <v>121</v>
      </c>
      <c r="G861" s="3" t="s">
        <v>174</v>
      </c>
      <c r="H861" s="3" t="s">
        <v>184</v>
      </c>
      <c r="I861" s="3">
        <v>5</v>
      </c>
      <c r="J861" s="11">
        <v>62</v>
      </c>
      <c r="K861" s="4">
        <v>0.15</v>
      </c>
      <c r="L861" s="3" t="s">
        <v>95</v>
      </c>
      <c r="M861" s="3">
        <v>34</v>
      </c>
      <c r="N861" s="3">
        <v>5</v>
      </c>
      <c r="O861" s="3">
        <v>4</v>
      </c>
      <c r="P861" s="11">
        <f>Clean_Data[[#This Row],[Quantity]]*Clean_Data[[#This Row],[UnitPrice]]</f>
        <v>310</v>
      </c>
      <c r="Q861" s="11">
        <f>ROUND(Clean_Data[[#This Row],[GrossSales]]*Clean_Data[[#This Row],[DiscountPct]],2)</f>
        <v>46.5</v>
      </c>
      <c r="R861" s="11">
        <f>IF(Clean_Data[[#This Row],[Status]]="Delivered",ROUND(Clean_Data[[#This Row],[GrossSales]]-Clean_Data[[#This Row],[DiscountAmount]],2),0)</f>
        <v>263.5</v>
      </c>
      <c r="S861" s="3" t="str">
        <f>IF(Clean_Data[[#This Row],[OrderHour]]&lt;6,"Night",IF(Clean_Data[[#This Row],[OrderHour]]&lt;12,"Morning",IF(Clean_Data[[#This Row],[OrderHour]]&lt;18,"Afternoon","Evening")))</f>
        <v>Afternoon</v>
      </c>
      <c r="T861" s="3" t="str">
        <f>TEXT(Clean_Data[[#This Row],[OrderDate]],"[$-409]ddd")</f>
        <v>Tue</v>
      </c>
      <c r="U861" s="3">
        <f>WEEKDAY(Clean_Data[[#This Row],[OrderDate]],2)</f>
        <v>2</v>
      </c>
      <c r="V861" s="3">
        <f>INT(Clean_Data[[#This Row],[OrderHour]]/6)+1</f>
        <v>3</v>
      </c>
      <c r="W861" s="3">
        <f>IF(Clean_Data[[#This Row],[Status]]="Delivered",1,0)</f>
        <v>1</v>
      </c>
      <c r="X861" s="3">
        <f>IF(Clean_Data[[#This Row],[Status]]="Delivered",IF(Clean_Data[[#This Row],[DeliveryMinutes]]&lt;=Dashboard!$X$5,1,0),0)</f>
        <v>0</v>
      </c>
      <c r="Y86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1" s="3">
        <f>IF(AND(Clean_Data[[#This Row],[Include]]=1,Clean_Data[[#This Row],[DeliveredFlag]]=1),1,0)</f>
        <v>1</v>
      </c>
      <c r="AA861" s="1">
        <f>IF(COUNTIF($D$2:D861,D861)=1,ROW()-1,ROWS(Clean_Data[OrderID])+1)</f>
        <v>901</v>
      </c>
      <c r="AB861" s="1">
        <f>IF(COUNTIF($F$2:F861,F861)=1,ROW()-1,ROWS(Clean_Data[OrderID])+1)</f>
        <v>901</v>
      </c>
      <c r="AC861" s="1">
        <f>IF(COUNTIF($G$2:G861,G861)=1,ROW()-1,ROWS(Clean_Data[OrderID])+1)</f>
        <v>901</v>
      </c>
      <c r="AD861" s="1">
        <f>IF(COUNTIF($H$2:H861,H861)=1,ROW()-1,ROWS(Clean_Data[OrderID])+1)</f>
        <v>901</v>
      </c>
      <c r="AE861" s="1">
        <f>IF(COUNTIF($V$2:V861,V861)=1,V861,ROWS(Clean_Data[OrderID])+1)</f>
        <v>901</v>
      </c>
      <c r="AF861" s="1">
        <f>IF(COUNTIF($U$2:U861,U861)=1,U861,ROWS(Clean_Data[OrderID])+1)</f>
        <v>901</v>
      </c>
      <c r="AG861" s="1">
        <f>IF(COUNTIF($E$2:E861,E861)=1,ROW()-1,ROWS(Clean_Data[OrderID])+1)</f>
        <v>901</v>
      </c>
    </row>
    <row r="862" spans="1:33" ht="20" customHeight="1">
      <c r="A862" s="3" t="s">
        <v>1268</v>
      </c>
      <c r="B862" s="2">
        <v>46294</v>
      </c>
      <c r="C862" s="3">
        <v>8</v>
      </c>
      <c r="D862" s="3" t="s">
        <v>273</v>
      </c>
      <c r="E862" s="3" t="s">
        <v>117</v>
      </c>
      <c r="F862" s="3" t="s">
        <v>139</v>
      </c>
      <c r="G862" s="3" t="s">
        <v>122</v>
      </c>
      <c r="H862" s="3" t="s">
        <v>153</v>
      </c>
      <c r="I862" s="3">
        <v>4</v>
      </c>
      <c r="J862" s="11">
        <v>130</v>
      </c>
      <c r="K862" s="4">
        <v>0.05</v>
      </c>
      <c r="L862" s="3" t="s">
        <v>95</v>
      </c>
      <c r="M862" s="3">
        <v>27</v>
      </c>
      <c r="N862" s="3">
        <v>5</v>
      </c>
      <c r="O862" s="3">
        <v>5</v>
      </c>
      <c r="P862" s="11">
        <f>Clean_Data[[#This Row],[Quantity]]*Clean_Data[[#This Row],[UnitPrice]]</f>
        <v>520</v>
      </c>
      <c r="Q862" s="11">
        <f>ROUND(Clean_Data[[#This Row],[GrossSales]]*Clean_Data[[#This Row],[DiscountPct]],2)</f>
        <v>26</v>
      </c>
      <c r="R862" s="11">
        <f>IF(Clean_Data[[#This Row],[Status]]="Delivered",ROUND(Clean_Data[[#This Row],[GrossSales]]-Clean_Data[[#This Row],[DiscountAmount]],2),0)</f>
        <v>494</v>
      </c>
      <c r="S862" s="3" t="str">
        <f>IF(Clean_Data[[#This Row],[OrderHour]]&lt;6,"Night",IF(Clean_Data[[#This Row],[OrderHour]]&lt;12,"Morning",IF(Clean_Data[[#This Row],[OrderHour]]&lt;18,"Afternoon","Evening")))</f>
        <v>Morning</v>
      </c>
      <c r="T862" s="3" t="str">
        <f>TEXT(Clean_Data[[#This Row],[OrderDate]],"[$-409]ddd")</f>
        <v>Tue</v>
      </c>
      <c r="U862" s="3">
        <f>WEEKDAY(Clean_Data[[#This Row],[OrderDate]],2)</f>
        <v>2</v>
      </c>
      <c r="V862" s="3">
        <f>INT(Clean_Data[[#This Row],[OrderHour]]/6)+1</f>
        <v>2</v>
      </c>
      <c r="W862" s="3">
        <f>IF(Clean_Data[[#This Row],[Status]]="Delivered",1,0)</f>
        <v>1</v>
      </c>
      <c r="X862" s="3">
        <f>IF(Clean_Data[[#This Row],[Status]]="Delivered",IF(Clean_Data[[#This Row],[DeliveryMinutes]]&lt;=Dashboard!$X$5,1,0),0)</f>
        <v>1</v>
      </c>
      <c r="Y86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2" s="3">
        <f>IF(AND(Clean_Data[[#This Row],[Include]]=1,Clean_Data[[#This Row],[DeliveredFlag]]=1),1,0)</f>
        <v>1</v>
      </c>
      <c r="AA862" s="1">
        <f>IF(COUNTIF($D$2:D862,D862)=1,ROW()-1,ROWS(Clean_Data[OrderID])+1)</f>
        <v>901</v>
      </c>
      <c r="AB862" s="1">
        <f>IF(COUNTIF($F$2:F862,F862)=1,ROW()-1,ROWS(Clean_Data[OrderID])+1)</f>
        <v>901</v>
      </c>
      <c r="AC862" s="1">
        <f>IF(COUNTIF($G$2:G862,G862)=1,ROW()-1,ROWS(Clean_Data[OrderID])+1)</f>
        <v>901</v>
      </c>
      <c r="AD862" s="1">
        <f>IF(COUNTIF($H$2:H862,H862)=1,ROW()-1,ROWS(Clean_Data[OrderID])+1)</f>
        <v>901</v>
      </c>
      <c r="AE862" s="1">
        <f>IF(COUNTIF($V$2:V862,V862)=1,V862,ROWS(Clean_Data[OrderID])+1)</f>
        <v>901</v>
      </c>
      <c r="AF862" s="1">
        <f>IF(COUNTIF($U$2:U862,U862)=1,U862,ROWS(Clean_Data[OrderID])+1)</f>
        <v>901</v>
      </c>
      <c r="AG862" s="1">
        <f>IF(COUNTIF($E$2:E862,E862)=1,ROW()-1,ROWS(Clean_Data[OrderID])+1)</f>
        <v>901</v>
      </c>
    </row>
    <row r="863" spans="1:33" ht="20" customHeight="1">
      <c r="A863" s="3" t="s">
        <v>1269</v>
      </c>
      <c r="B863" s="2">
        <v>46294</v>
      </c>
      <c r="C863" s="3">
        <v>19</v>
      </c>
      <c r="D863" s="3" t="s">
        <v>244</v>
      </c>
      <c r="E863" s="3" t="s">
        <v>117</v>
      </c>
      <c r="F863" s="3" t="s">
        <v>121</v>
      </c>
      <c r="G863" s="3" t="s">
        <v>122</v>
      </c>
      <c r="H863" s="3" t="s">
        <v>123</v>
      </c>
      <c r="I863" s="3">
        <v>1</v>
      </c>
      <c r="J863" s="11">
        <v>45</v>
      </c>
      <c r="K863" s="4">
        <v>0</v>
      </c>
      <c r="L863" s="3" t="s">
        <v>95</v>
      </c>
      <c r="M863" s="3">
        <v>26</v>
      </c>
      <c r="N863" s="3">
        <v>4</v>
      </c>
      <c r="O863" s="3">
        <v>4</v>
      </c>
      <c r="P863" s="11">
        <f>Clean_Data[[#This Row],[Quantity]]*Clean_Data[[#This Row],[UnitPrice]]</f>
        <v>45</v>
      </c>
      <c r="Q863" s="11">
        <f>ROUND(Clean_Data[[#This Row],[GrossSales]]*Clean_Data[[#This Row],[DiscountPct]],2)</f>
        <v>0</v>
      </c>
      <c r="R863" s="11">
        <f>IF(Clean_Data[[#This Row],[Status]]="Delivered",ROUND(Clean_Data[[#This Row],[GrossSales]]-Clean_Data[[#This Row],[DiscountAmount]],2),0)</f>
        <v>45</v>
      </c>
      <c r="S863" s="3" t="str">
        <f>IF(Clean_Data[[#This Row],[OrderHour]]&lt;6,"Night",IF(Clean_Data[[#This Row],[OrderHour]]&lt;12,"Morning",IF(Clean_Data[[#This Row],[OrderHour]]&lt;18,"Afternoon","Evening")))</f>
        <v>Evening</v>
      </c>
      <c r="T863" s="3" t="str">
        <f>TEXT(Clean_Data[[#This Row],[OrderDate]],"[$-409]ddd")</f>
        <v>Tue</v>
      </c>
      <c r="U863" s="3">
        <f>WEEKDAY(Clean_Data[[#This Row],[OrderDate]],2)</f>
        <v>2</v>
      </c>
      <c r="V863" s="3">
        <f>INT(Clean_Data[[#This Row],[OrderHour]]/6)+1</f>
        <v>4</v>
      </c>
      <c r="W863" s="3">
        <f>IF(Clean_Data[[#This Row],[Status]]="Delivered",1,0)</f>
        <v>1</v>
      </c>
      <c r="X863" s="3">
        <f>IF(Clean_Data[[#This Row],[Status]]="Delivered",IF(Clean_Data[[#This Row],[DeliveryMinutes]]&lt;=Dashboard!$X$5,1,0),0)</f>
        <v>1</v>
      </c>
      <c r="Y86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3" s="3">
        <f>IF(AND(Clean_Data[[#This Row],[Include]]=1,Clean_Data[[#This Row],[DeliveredFlag]]=1),1,0)</f>
        <v>1</v>
      </c>
      <c r="AA863" s="1">
        <f>IF(COUNTIF($D$2:D863,D863)=1,ROW()-1,ROWS(Clean_Data[OrderID])+1)</f>
        <v>901</v>
      </c>
      <c r="AB863" s="1">
        <f>IF(COUNTIF($F$2:F863,F863)=1,ROW()-1,ROWS(Clean_Data[OrderID])+1)</f>
        <v>901</v>
      </c>
      <c r="AC863" s="1">
        <f>IF(COUNTIF($G$2:G863,G863)=1,ROW()-1,ROWS(Clean_Data[OrderID])+1)</f>
        <v>901</v>
      </c>
      <c r="AD863" s="1">
        <f>IF(COUNTIF($H$2:H863,H863)=1,ROW()-1,ROWS(Clean_Data[OrderID])+1)</f>
        <v>901</v>
      </c>
      <c r="AE863" s="1">
        <f>IF(COUNTIF($V$2:V863,V863)=1,V863,ROWS(Clean_Data[OrderID])+1)</f>
        <v>901</v>
      </c>
      <c r="AF863" s="1">
        <f>IF(COUNTIF($U$2:U863,U863)=1,U863,ROWS(Clean_Data[OrderID])+1)</f>
        <v>901</v>
      </c>
      <c r="AG863" s="1">
        <f>IF(COUNTIF($E$2:E863,E863)=1,ROW()-1,ROWS(Clean_Data[OrderID])+1)</f>
        <v>901</v>
      </c>
    </row>
    <row r="864" spans="1:33" ht="20" customHeight="1">
      <c r="A864" s="3" t="s">
        <v>1270</v>
      </c>
      <c r="B864" s="2">
        <v>46294</v>
      </c>
      <c r="C864" s="3">
        <v>10</v>
      </c>
      <c r="D864" s="3" t="s">
        <v>881</v>
      </c>
      <c r="E864" s="3" t="s">
        <v>91</v>
      </c>
      <c r="F864" s="3" t="s">
        <v>109</v>
      </c>
      <c r="G864" s="3" t="s">
        <v>93</v>
      </c>
      <c r="H864" s="3" t="s">
        <v>146</v>
      </c>
      <c r="I864" s="3">
        <v>1</v>
      </c>
      <c r="J864" s="11">
        <v>110</v>
      </c>
      <c r="K864" s="4">
        <v>0</v>
      </c>
      <c r="L864" s="3" t="s">
        <v>95</v>
      </c>
      <c r="M864" s="3">
        <v>25</v>
      </c>
      <c r="N864" s="3">
        <v>14</v>
      </c>
      <c r="O864" s="3">
        <v>5</v>
      </c>
      <c r="P864" s="11">
        <f>Clean_Data[[#This Row],[Quantity]]*Clean_Data[[#This Row],[UnitPrice]]</f>
        <v>110</v>
      </c>
      <c r="Q864" s="11">
        <f>ROUND(Clean_Data[[#This Row],[GrossSales]]*Clean_Data[[#This Row],[DiscountPct]],2)</f>
        <v>0</v>
      </c>
      <c r="R864" s="11">
        <f>IF(Clean_Data[[#This Row],[Status]]="Delivered",ROUND(Clean_Data[[#This Row],[GrossSales]]-Clean_Data[[#This Row],[DiscountAmount]],2),0)</f>
        <v>110</v>
      </c>
      <c r="S864" s="3" t="str">
        <f>IF(Clean_Data[[#This Row],[OrderHour]]&lt;6,"Night",IF(Clean_Data[[#This Row],[OrderHour]]&lt;12,"Morning",IF(Clean_Data[[#This Row],[OrderHour]]&lt;18,"Afternoon","Evening")))</f>
        <v>Morning</v>
      </c>
      <c r="T864" s="3" t="str">
        <f>TEXT(Clean_Data[[#This Row],[OrderDate]],"[$-409]ddd")</f>
        <v>Tue</v>
      </c>
      <c r="U864" s="3">
        <f>WEEKDAY(Clean_Data[[#This Row],[OrderDate]],2)</f>
        <v>2</v>
      </c>
      <c r="V864" s="3">
        <f>INT(Clean_Data[[#This Row],[OrderHour]]/6)+1</f>
        <v>2</v>
      </c>
      <c r="W864" s="3">
        <f>IF(Clean_Data[[#This Row],[Status]]="Delivered",1,0)</f>
        <v>1</v>
      </c>
      <c r="X864" s="3">
        <f>IF(Clean_Data[[#This Row],[Status]]="Delivered",IF(Clean_Data[[#This Row],[DeliveryMinutes]]&lt;=Dashboard!$X$5,1,0),0)</f>
        <v>1</v>
      </c>
      <c r="Y86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4" s="3">
        <f>IF(AND(Clean_Data[[#This Row],[Include]]=1,Clean_Data[[#This Row],[DeliveredFlag]]=1),1,0)</f>
        <v>1</v>
      </c>
      <c r="AA864" s="1">
        <f>IF(COUNTIF($D$2:D864,D864)=1,ROW()-1,ROWS(Clean_Data[OrderID])+1)</f>
        <v>901</v>
      </c>
      <c r="AB864" s="1">
        <f>IF(COUNTIF($F$2:F864,F864)=1,ROW()-1,ROWS(Clean_Data[OrderID])+1)</f>
        <v>901</v>
      </c>
      <c r="AC864" s="1">
        <f>IF(COUNTIF($G$2:G864,G864)=1,ROW()-1,ROWS(Clean_Data[OrderID])+1)</f>
        <v>901</v>
      </c>
      <c r="AD864" s="1">
        <f>IF(COUNTIF($H$2:H864,H864)=1,ROW()-1,ROWS(Clean_Data[OrderID])+1)</f>
        <v>901</v>
      </c>
      <c r="AE864" s="1">
        <f>IF(COUNTIF($V$2:V864,V864)=1,V864,ROWS(Clean_Data[OrderID])+1)</f>
        <v>901</v>
      </c>
      <c r="AF864" s="1">
        <f>IF(COUNTIF($U$2:U864,U864)=1,U864,ROWS(Clean_Data[OrderID])+1)</f>
        <v>901</v>
      </c>
      <c r="AG864" s="1">
        <f>IF(COUNTIF($E$2:E864,E864)=1,ROW()-1,ROWS(Clean_Data[OrderID])+1)</f>
        <v>901</v>
      </c>
    </row>
    <row r="865" spans="1:33" ht="20" customHeight="1">
      <c r="A865" s="3" t="s">
        <v>1271</v>
      </c>
      <c r="B865" s="2">
        <v>46294</v>
      </c>
      <c r="C865" s="3">
        <v>20</v>
      </c>
      <c r="D865" s="3" t="s">
        <v>226</v>
      </c>
      <c r="E865" s="3" t="s">
        <v>91</v>
      </c>
      <c r="F865" s="3" t="s">
        <v>121</v>
      </c>
      <c r="G865" s="3" t="s">
        <v>135</v>
      </c>
      <c r="H865" s="3" t="s">
        <v>136</v>
      </c>
      <c r="I865" s="3">
        <v>4</v>
      </c>
      <c r="J865" s="11">
        <v>40</v>
      </c>
      <c r="K865" s="4">
        <v>0.1</v>
      </c>
      <c r="L865" s="3" t="s">
        <v>101</v>
      </c>
      <c r="M865" s="3"/>
      <c r="N865" s="3"/>
      <c r="O865" s="3"/>
      <c r="P865" s="11">
        <f>Clean_Data[[#This Row],[Quantity]]*Clean_Data[[#This Row],[UnitPrice]]</f>
        <v>160</v>
      </c>
      <c r="Q865" s="11">
        <f>ROUND(Clean_Data[[#This Row],[GrossSales]]*Clean_Data[[#This Row],[DiscountPct]],2)</f>
        <v>16</v>
      </c>
      <c r="R865" s="11">
        <f>IF(Clean_Data[[#This Row],[Status]]="Delivered",ROUND(Clean_Data[[#This Row],[GrossSales]]-Clean_Data[[#This Row],[DiscountAmount]],2),0)</f>
        <v>0</v>
      </c>
      <c r="S865" s="3" t="str">
        <f>IF(Clean_Data[[#This Row],[OrderHour]]&lt;6,"Night",IF(Clean_Data[[#This Row],[OrderHour]]&lt;12,"Morning",IF(Clean_Data[[#This Row],[OrderHour]]&lt;18,"Afternoon","Evening")))</f>
        <v>Evening</v>
      </c>
      <c r="T865" s="3" t="str">
        <f>TEXT(Clean_Data[[#This Row],[OrderDate]],"[$-409]ddd")</f>
        <v>Tue</v>
      </c>
      <c r="U865" s="3">
        <f>WEEKDAY(Clean_Data[[#This Row],[OrderDate]],2)</f>
        <v>2</v>
      </c>
      <c r="V865" s="3">
        <f>INT(Clean_Data[[#This Row],[OrderHour]]/6)+1</f>
        <v>4</v>
      </c>
      <c r="W865" s="3">
        <f>IF(Clean_Data[[#This Row],[Status]]="Delivered",1,0)</f>
        <v>0</v>
      </c>
      <c r="X865" s="3">
        <f>IF(Clean_Data[[#This Row],[Status]]="Delivered",IF(Clean_Data[[#This Row],[DeliveryMinutes]]&lt;=Dashboard!$X$5,1,0),0)</f>
        <v>0</v>
      </c>
      <c r="Y86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5" s="3">
        <f>IF(AND(Clean_Data[[#This Row],[Include]]=1,Clean_Data[[#This Row],[DeliveredFlag]]=1),1,0)</f>
        <v>0</v>
      </c>
      <c r="AA865" s="1">
        <f>IF(COUNTIF($D$2:D865,D865)=1,ROW()-1,ROWS(Clean_Data[OrderID])+1)</f>
        <v>901</v>
      </c>
      <c r="AB865" s="1">
        <f>IF(COUNTIF($F$2:F865,F865)=1,ROW()-1,ROWS(Clean_Data[OrderID])+1)</f>
        <v>901</v>
      </c>
      <c r="AC865" s="1">
        <f>IF(COUNTIF($G$2:G865,G865)=1,ROW()-1,ROWS(Clean_Data[OrderID])+1)</f>
        <v>901</v>
      </c>
      <c r="AD865" s="1">
        <f>IF(COUNTIF($H$2:H865,H865)=1,ROW()-1,ROWS(Clean_Data[OrderID])+1)</f>
        <v>901</v>
      </c>
      <c r="AE865" s="1">
        <f>IF(COUNTIF($V$2:V865,V865)=1,V865,ROWS(Clean_Data[OrderID])+1)</f>
        <v>901</v>
      </c>
      <c r="AF865" s="1">
        <f>IF(COUNTIF($U$2:U865,U865)=1,U865,ROWS(Clean_Data[OrderID])+1)</f>
        <v>901</v>
      </c>
      <c r="AG865" s="1">
        <f>IF(COUNTIF($E$2:E865,E865)=1,ROW()-1,ROWS(Clean_Data[OrderID])+1)</f>
        <v>901</v>
      </c>
    </row>
    <row r="866" spans="1:33" ht="20" customHeight="1">
      <c r="A866" s="3" t="s">
        <v>1272</v>
      </c>
      <c r="B866" s="2">
        <v>46294</v>
      </c>
      <c r="C866" s="3">
        <v>17</v>
      </c>
      <c r="D866" s="3" t="s">
        <v>860</v>
      </c>
      <c r="E866" s="3" t="s">
        <v>91</v>
      </c>
      <c r="F866" s="3" t="s">
        <v>139</v>
      </c>
      <c r="G866" s="3" t="s">
        <v>110</v>
      </c>
      <c r="H866" s="3" t="s">
        <v>114</v>
      </c>
      <c r="I866" s="3">
        <v>5</v>
      </c>
      <c r="J866" s="11">
        <v>145</v>
      </c>
      <c r="K866" s="4">
        <v>0</v>
      </c>
      <c r="L866" s="3" t="s">
        <v>95</v>
      </c>
      <c r="M866" s="3">
        <v>24</v>
      </c>
      <c r="N866" s="3">
        <v>6</v>
      </c>
      <c r="O866" s="3">
        <v>5</v>
      </c>
      <c r="P866" s="11">
        <f>Clean_Data[[#This Row],[Quantity]]*Clean_Data[[#This Row],[UnitPrice]]</f>
        <v>725</v>
      </c>
      <c r="Q866" s="11">
        <f>ROUND(Clean_Data[[#This Row],[GrossSales]]*Clean_Data[[#This Row],[DiscountPct]],2)</f>
        <v>0</v>
      </c>
      <c r="R866" s="11">
        <f>IF(Clean_Data[[#This Row],[Status]]="Delivered",ROUND(Clean_Data[[#This Row],[GrossSales]]-Clean_Data[[#This Row],[DiscountAmount]],2),0)</f>
        <v>725</v>
      </c>
      <c r="S866" s="3" t="str">
        <f>IF(Clean_Data[[#This Row],[OrderHour]]&lt;6,"Night",IF(Clean_Data[[#This Row],[OrderHour]]&lt;12,"Morning",IF(Clean_Data[[#This Row],[OrderHour]]&lt;18,"Afternoon","Evening")))</f>
        <v>Afternoon</v>
      </c>
      <c r="T866" s="3" t="str">
        <f>TEXT(Clean_Data[[#This Row],[OrderDate]],"[$-409]ddd")</f>
        <v>Tue</v>
      </c>
      <c r="U866" s="3">
        <f>WEEKDAY(Clean_Data[[#This Row],[OrderDate]],2)</f>
        <v>2</v>
      </c>
      <c r="V866" s="3">
        <f>INT(Clean_Data[[#This Row],[OrderHour]]/6)+1</f>
        <v>3</v>
      </c>
      <c r="W866" s="3">
        <f>IF(Clean_Data[[#This Row],[Status]]="Delivered",1,0)</f>
        <v>1</v>
      </c>
      <c r="X866" s="3">
        <f>IF(Clean_Data[[#This Row],[Status]]="Delivered",IF(Clean_Data[[#This Row],[DeliveryMinutes]]&lt;=Dashboard!$X$5,1,0),0)</f>
        <v>1</v>
      </c>
      <c r="Y86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6" s="3">
        <f>IF(AND(Clean_Data[[#This Row],[Include]]=1,Clean_Data[[#This Row],[DeliveredFlag]]=1),1,0)</f>
        <v>1</v>
      </c>
      <c r="AA866" s="1">
        <f>IF(COUNTIF($D$2:D866,D866)=1,ROW()-1,ROWS(Clean_Data[OrderID])+1)</f>
        <v>901</v>
      </c>
      <c r="AB866" s="1">
        <f>IF(COUNTIF($F$2:F866,F866)=1,ROW()-1,ROWS(Clean_Data[OrderID])+1)</f>
        <v>901</v>
      </c>
      <c r="AC866" s="1">
        <f>IF(COUNTIF($G$2:G866,G866)=1,ROW()-1,ROWS(Clean_Data[OrderID])+1)</f>
        <v>901</v>
      </c>
      <c r="AD866" s="1">
        <f>IF(COUNTIF($H$2:H866,H866)=1,ROW()-1,ROWS(Clean_Data[OrderID])+1)</f>
        <v>901</v>
      </c>
      <c r="AE866" s="1">
        <f>IF(COUNTIF($V$2:V866,V866)=1,V866,ROWS(Clean_Data[OrderID])+1)</f>
        <v>901</v>
      </c>
      <c r="AF866" s="1">
        <f>IF(COUNTIF($U$2:U866,U866)=1,U866,ROWS(Clean_Data[OrderID])+1)</f>
        <v>901</v>
      </c>
      <c r="AG866" s="1">
        <f>IF(COUNTIF($E$2:E866,E866)=1,ROW()-1,ROWS(Clean_Data[OrderID])+1)</f>
        <v>901</v>
      </c>
    </row>
    <row r="867" spans="1:33" ht="20" customHeight="1">
      <c r="A867" s="3" t="s">
        <v>1273</v>
      </c>
      <c r="B867" s="2">
        <v>46294</v>
      </c>
      <c r="C867" s="3">
        <v>16</v>
      </c>
      <c r="D867" s="3" t="s">
        <v>462</v>
      </c>
      <c r="E867" s="3" t="s">
        <v>91</v>
      </c>
      <c r="F867" s="3" t="s">
        <v>92</v>
      </c>
      <c r="G867" s="3" t="s">
        <v>122</v>
      </c>
      <c r="H867" s="3" t="s">
        <v>153</v>
      </c>
      <c r="I867" s="3">
        <v>3</v>
      </c>
      <c r="J867" s="11">
        <v>130</v>
      </c>
      <c r="K867" s="4">
        <v>0</v>
      </c>
      <c r="L867" s="3" t="s">
        <v>95</v>
      </c>
      <c r="M867" s="3">
        <v>20</v>
      </c>
      <c r="N867" s="3">
        <v>11</v>
      </c>
      <c r="O867" s="3">
        <v>5</v>
      </c>
      <c r="P867" s="11">
        <f>Clean_Data[[#This Row],[Quantity]]*Clean_Data[[#This Row],[UnitPrice]]</f>
        <v>390</v>
      </c>
      <c r="Q867" s="11">
        <f>ROUND(Clean_Data[[#This Row],[GrossSales]]*Clean_Data[[#This Row],[DiscountPct]],2)</f>
        <v>0</v>
      </c>
      <c r="R867" s="11">
        <f>IF(Clean_Data[[#This Row],[Status]]="Delivered",ROUND(Clean_Data[[#This Row],[GrossSales]]-Clean_Data[[#This Row],[DiscountAmount]],2),0)</f>
        <v>390</v>
      </c>
      <c r="S867" s="3" t="str">
        <f>IF(Clean_Data[[#This Row],[OrderHour]]&lt;6,"Night",IF(Clean_Data[[#This Row],[OrderHour]]&lt;12,"Morning",IF(Clean_Data[[#This Row],[OrderHour]]&lt;18,"Afternoon","Evening")))</f>
        <v>Afternoon</v>
      </c>
      <c r="T867" s="3" t="str">
        <f>TEXT(Clean_Data[[#This Row],[OrderDate]],"[$-409]ddd")</f>
        <v>Tue</v>
      </c>
      <c r="U867" s="3">
        <f>WEEKDAY(Clean_Data[[#This Row],[OrderDate]],2)</f>
        <v>2</v>
      </c>
      <c r="V867" s="3">
        <f>INT(Clean_Data[[#This Row],[OrderHour]]/6)+1</f>
        <v>3</v>
      </c>
      <c r="W867" s="3">
        <f>IF(Clean_Data[[#This Row],[Status]]="Delivered",1,0)</f>
        <v>1</v>
      </c>
      <c r="X867" s="3">
        <f>IF(Clean_Data[[#This Row],[Status]]="Delivered",IF(Clean_Data[[#This Row],[DeliveryMinutes]]&lt;=Dashboard!$X$5,1,0),0)</f>
        <v>1</v>
      </c>
      <c r="Y86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7" s="3">
        <f>IF(AND(Clean_Data[[#This Row],[Include]]=1,Clean_Data[[#This Row],[DeliveredFlag]]=1),1,0)</f>
        <v>1</v>
      </c>
      <c r="AA867" s="1">
        <f>IF(COUNTIF($D$2:D867,D867)=1,ROW()-1,ROWS(Clean_Data[OrderID])+1)</f>
        <v>901</v>
      </c>
      <c r="AB867" s="1">
        <f>IF(COUNTIF($F$2:F867,F867)=1,ROW()-1,ROWS(Clean_Data[OrderID])+1)</f>
        <v>901</v>
      </c>
      <c r="AC867" s="1">
        <f>IF(COUNTIF($G$2:G867,G867)=1,ROW()-1,ROWS(Clean_Data[OrderID])+1)</f>
        <v>901</v>
      </c>
      <c r="AD867" s="1">
        <f>IF(COUNTIF($H$2:H867,H867)=1,ROW()-1,ROWS(Clean_Data[OrderID])+1)</f>
        <v>901</v>
      </c>
      <c r="AE867" s="1">
        <f>IF(COUNTIF($V$2:V867,V867)=1,V867,ROWS(Clean_Data[OrderID])+1)</f>
        <v>901</v>
      </c>
      <c r="AF867" s="1">
        <f>IF(COUNTIF($U$2:U867,U867)=1,U867,ROWS(Clean_Data[OrderID])+1)</f>
        <v>901</v>
      </c>
      <c r="AG867" s="1">
        <f>IF(COUNTIF($E$2:E867,E867)=1,ROW()-1,ROWS(Clean_Data[OrderID])+1)</f>
        <v>901</v>
      </c>
    </row>
    <row r="868" spans="1:33" ht="20" customHeight="1">
      <c r="A868" s="3" t="s">
        <v>1274</v>
      </c>
      <c r="B868" s="2">
        <v>46294</v>
      </c>
      <c r="C868" s="3">
        <v>16</v>
      </c>
      <c r="D868" s="3" t="s">
        <v>259</v>
      </c>
      <c r="E868" s="3" t="s">
        <v>91</v>
      </c>
      <c r="F868" s="3" t="s">
        <v>139</v>
      </c>
      <c r="G868" s="3" t="s">
        <v>135</v>
      </c>
      <c r="H868" s="3" t="s">
        <v>136</v>
      </c>
      <c r="I868" s="3">
        <v>1</v>
      </c>
      <c r="J868" s="11">
        <v>40</v>
      </c>
      <c r="K868" s="4">
        <v>0</v>
      </c>
      <c r="L868" s="3" t="s">
        <v>95</v>
      </c>
      <c r="M868" s="3">
        <v>13</v>
      </c>
      <c r="N868" s="3">
        <v>7</v>
      </c>
      <c r="O868" s="3">
        <v>5</v>
      </c>
      <c r="P868" s="11">
        <f>Clean_Data[[#This Row],[Quantity]]*Clean_Data[[#This Row],[UnitPrice]]</f>
        <v>40</v>
      </c>
      <c r="Q868" s="11">
        <f>ROUND(Clean_Data[[#This Row],[GrossSales]]*Clean_Data[[#This Row],[DiscountPct]],2)</f>
        <v>0</v>
      </c>
      <c r="R868" s="11">
        <f>IF(Clean_Data[[#This Row],[Status]]="Delivered",ROUND(Clean_Data[[#This Row],[GrossSales]]-Clean_Data[[#This Row],[DiscountAmount]],2),0)</f>
        <v>40</v>
      </c>
      <c r="S868" s="3" t="str">
        <f>IF(Clean_Data[[#This Row],[OrderHour]]&lt;6,"Night",IF(Clean_Data[[#This Row],[OrderHour]]&lt;12,"Morning",IF(Clean_Data[[#This Row],[OrderHour]]&lt;18,"Afternoon","Evening")))</f>
        <v>Afternoon</v>
      </c>
      <c r="T868" s="3" t="str">
        <f>TEXT(Clean_Data[[#This Row],[OrderDate]],"[$-409]ddd")</f>
        <v>Tue</v>
      </c>
      <c r="U868" s="3">
        <f>WEEKDAY(Clean_Data[[#This Row],[OrderDate]],2)</f>
        <v>2</v>
      </c>
      <c r="V868" s="3">
        <f>INT(Clean_Data[[#This Row],[OrderHour]]/6)+1</f>
        <v>3</v>
      </c>
      <c r="W868" s="3">
        <f>IF(Clean_Data[[#This Row],[Status]]="Delivered",1,0)</f>
        <v>1</v>
      </c>
      <c r="X868" s="3">
        <f>IF(Clean_Data[[#This Row],[Status]]="Delivered",IF(Clean_Data[[#This Row],[DeliveryMinutes]]&lt;=Dashboard!$X$5,1,0),0)</f>
        <v>1</v>
      </c>
      <c r="Y86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8" s="3">
        <f>IF(AND(Clean_Data[[#This Row],[Include]]=1,Clean_Data[[#This Row],[DeliveredFlag]]=1),1,0)</f>
        <v>1</v>
      </c>
      <c r="AA868" s="1">
        <f>IF(COUNTIF($D$2:D868,D868)=1,ROW()-1,ROWS(Clean_Data[OrderID])+1)</f>
        <v>901</v>
      </c>
      <c r="AB868" s="1">
        <f>IF(COUNTIF($F$2:F868,F868)=1,ROW()-1,ROWS(Clean_Data[OrderID])+1)</f>
        <v>901</v>
      </c>
      <c r="AC868" s="1">
        <f>IF(COUNTIF($G$2:G868,G868)=1,ROW()-1,ROWS(Clean_Data[OrderID])+1)</f>
        <v>901</v>
      </c>
      <c r="AD868" s="1">
        <f>IF(COUNTIF($H$2:H868,H868)=1,ROW()-1,ROWS(Clean_Data[OrderID])+1)</f>
        <v>901</v>
      </c>
      <c r="AE868" s="1">
        <f>IF(COUNTIF($V$2:V868,V868)=1,V868,ROWS(Clean_Data[OrderID])+1)</f>
        <v>901</v>
      </c>
      <c r="AF868" s="1">
        <f>IF(COUNTIF($U$2:U868,U868)=1,U868,ROWS(Clean_Data[OrderID])+1)</f>
        <v>901</v>
      </c>
      <c r="AG868" s="1">
        <f>IF(COUNTIF($E$2:E868,E868)=1,ROW()-1,ROWS(Clean_Data[OrderID])+1)</f>
        <v>901</v>
      </c>
    </row>
    <row r="869" spans="1:33" ht="20" customHeight="1">
      <c r="A869" s="3" t="s">
        <v>1275</v>
      </c>
      <c r="B869" s="2">
        <v>46294</v>
      </c>
      <c r="C869" s="3">
        <v>11</v>
      </c>
      <c r="D869" s="3" t="s">
        <v>597</v>
      </c>
      <c r="E869" s="3" t="s">
        <v>117</v>
      </c>
      <c r="F869" s="3" t="s">
        <v>139</v>
      </c>
      <c r="G869" s="3" t="s">
        <v>122</v>
      </c>
      <c r="H869" s="3" t="s">
        <v>153</v>
      </c>
      <c r="I869" s="3">
        <v>5</v>
      </c>
      <c r="J869" s="11">
        <v>130</v>
      </c>
      <c r="K869" s="4">
        <v>0.05</v>
      </c>
      <c r="L869" s="3" t="s">
        <v>95</v>
      </c>
      <c r="M869" s="3">
        <v>25</v>
      </c>
      <c r="N869" s="3">
        <v>9</v>
      </c>
      <c r="O869" s="3">
        <v>3</v>
      </c>
      <c r="P869" s="11">
        <f>Clean_Data[[#This Row],[Quantity]]*Clean_Data[[#This Row],[UnitPrice]]</f>
        <v>650</v>
      </c>
      <c r="Q869" s="11">
        <f>ROUND(Clean_Data[[#This Row],[GrossSales]]*Clean_Data[[#This Row],[DiscountPct]],2)</f>
        <v>32.5</v>
      </c>
      <c r="R869" s="11">
        <f>IF(Clean_Data[[#This Row],[Status]]="Delivered",ROUND(Clean_Data[[#This Row],[GrossSales]]-Clean_Data[[#This Row],[DiscountAmount]],2),0)</f>
        <v>617.5</v>
      </c>
      <c r="S869" s="3" t="str">
        <f>IF(Clean_Data[[#This Row],[OrderHour]]&lt;6,"Night",IF(Clean_Data[[#This Row],[OrderHour]]&lt;12,"Morning",IF(Clean_Data[[#This Row],[OrderHour]]&lt;18,"Afternoon","Evening")))</f>
        <v>Morning</v>
      </c>
      <c r="T869" s="3" t="str">
        <f>TEXT(Clean_Data[[#This Row],[OrderDate]],"[$-409]ddd")</f>
        <v>Tue</v>
      </c>
      <c r="U869" s="3">
        <f>WEEKDAY(Clean_Data[[#This Row],[OrderDate]],2)</f>
        <v>2</v>
      </c>
      <c r="V869" s="3">
        <f>INT(Clean_Data[[#This Row],[OrderHour]]/6)+1</f>
        <v>2</v>
      </c>
      <c r="W869" s="3">
        <f>IF(Clean_Data[[#This Row],[Status]]="Delivered",1,0)</f>
        <v>1</v>
      </c>
      <c r="X869" s="3">
        <f>IF(Clean_Data[[#This Row],[Status]]="Delivered",IF(Clean_Data[[#This Row],[DeliveryMinutes]]&lt;=Dashboard!$X$5,1,0),0)</f>
        <v>1</v>
      </c>
      <c r="Y86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69" s="3">
        <f>IF(AND(Clean_Data[[#This Row],[Include]]=1,Clean_Data[[#This Row],[DeliveredFlag]]=1),1,0)</f>
        <v>1</v>
      </c>
      <c r="AA869" s="1">
        <f>IF(COUNTIF($D$2:D869,D869)=1,ROW()-1,ROWS(Clean_Data[OrderID])+1)</f>
        <v>901</v>
      </c>
      <c r="AB869" s="1">
        <f>IF(COUNTIF($F$2:F869,F869)=1,ROW()-1,ROWS(Clean_Data[OrderID])+1)</f>
        <v>901</v>
      </c>
      <c r="AC869" s="1">
        <f>IF(COUNTIF($G$2:G869,G869)=1,ROW()-1,ROWS(Clean_Data[OrderID])+1)</f>
        <v>901</v>
      </c>
      <c r="AD869" s="1">
        <f>IF(COUNTIF($H$2:H869,H869)=1,ROW()-1,ROWS(Clean_Data[OrderID])+1)</f>
        <v>901</v>
      </c>
      <c r="AE869" s="1">
        <f>IF(COUNTIF($V$2:V869,V869)=1,V869,ROWS(Clean_Data[OrderID])+1)</f>
        <v>901</v>
      </c>
      <c r="AF869" s="1">
        <f>IF(COUNTIF($U$2:U869,U869)=1,U869,ROWS(Clean_Data[OrderID])+1)</f>
        <v>901</v>
      </c>
      <c r="AG869" s="1">
        <f>IF(COUNTIF($E$2:E869,E869)=1,ROW()-1,ROWS(Clean_Data[OrderID])+1)</f>
        <v>901</v>
      </c>
    </row>
    <row r="870" spans="1:33" ht="20" customHeight="1">
      <c r="A870" s="3" t="s">
        <v>1276</v>
      </c>
      <c r="B870" s="2">
        <v>46294</v>
      </c>
      <c r="C870" s="3">
        <v>18</v>
      </c>
      <c r="D870" s="3" t="s">
        <v>173</v>
      </c>
      <c r="E870" s="3" t="s">
        <v>91</v>
      </c>
      <c r="F870" s="3" t="s">
        <v>98</v>
      </c>
      <c r="G870" s="3" t="s">
        <v>174</v>
      </c>
      <c r="H870" s="3" t="s">
        <v>175</v>
      </c>
      <c r="I870" s="3">
        <v>5</v>
      </c>
      <c r="J870" s="11">
        <v>155</v>
      </c>
      <c r="K870" s="4">
        <v>0.15</v>
      </c>
      <c r="L870" s="3" t="s">
        <v>95</v>
      </c>
      <c r="M870" s="3">
        <v>36</v>
      </c>
      <c r="N870" s="3">
        <v>14</v>
      </c>
      <c r="O870" s="3">
        <v>5</v>
      </c>
      <c r="P870" s="11">
        <f>Clean_Data[[#This Row],[Quantity]]*Clean_Data[[#This Row],[UnitPrice]]</f>
        <v>775</v>
      </c>
      <c r="Q870" s="11">
        <f>ROUND(Clean_Data[[#This Row],[GrossSales]]*Clean_Data[[#This Row],[DiscountPct]],2)</f>
        <v>116.25</v>
      </c>
      <c r="R870" s="11">
        <f>IF(Clean_Data[[#This Row],[Status]]="Delivered",ROUND(Clean_Data[[#This Row],[GrossSales]]-Clean_Data[[#This Row],[DiscountAmount]],2),0)</f>
        <v>658.75</v>
      </c>
      <c r="S870" s="3" t="str">
        <f>IF(Clean_Data[[#This Row],[OrderHour]]&lt;6,"Night",IF(Clean_Data[[#This Row],[OrderHour]]&lt;12,"Morning",IF(Clean_Data[[#This Row],[OrderHour]]&lt;18,"Afternoon","Evening")))</f>
        <v>Evening</v>
      </c>
      <c r="T870" s="3" t="str">
        <f>TEXT(Clean_Data[[#This Row],[OrderDate]],"[$-409]ddd")</f>
        <v>Tue</v>
      </c>
      <c r="U870" s="3">
        <f>WEEKDAY(Clean_Data[[#This Row],[OrderDate]],2)</f>
        <v>2</v>
      </c>
      <c r="V870" s="3">
        <f>INT(Clean_Data[[#This Row],[OrderHour]]/6)+1</f>
        <v>4</v>
      </c>
      <c r="W870" s="3">
        <f>IF(Clean_Data[[#This Row],[Status]]="Delivered",1,0)</f>
        <v>1</v>
      </c>
      <c r="X870" s="3">
        <f>IF(Clean_Data[[#This Row],[Status]]="Delivered",IF(Clean_Data[[#This Row],[DeliveryMinutes]]&lt;=Dashboard!$X$5,1,0),0)</f>
        <v>0</v>
      </c>
      <c r="Y87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0" s="3">
        <f>IF(AND(Clean_Data[[#This Row],[Include]]=1,Clean_Data[[#This Row],[DeliveredFlag]]=1),1,0)</f>
        <v>1</v>
      </c>
      <c r="AA870" s="1">
        <f>IF(COUNTIF($D$2:D870,D870)=1,ROW()-1,ROWS(Clean_Data[OrderID])+1)</f>
        <v>901</v>
      </c>
      <c r="AB870" s="1">
        <f>IF(COUNTIF($F$2:F870,F870)=1,ROW()-1,ROWS(Clean_Data[OrderID])+1)</f>
        <v>901</v>
      </c>
      <c r="AC870" s="1">
        <f>IF(COUNTIF($G$2:G870,G870)=1,ROW()-1,ROWS(Clean_Data[OrderID])+1)</f>
        <v>901</v>
      </c>
      <c r="AD870" s="1">
        <f>IF(COUNTIF($H$2:H870,H870)=1,ROW()-1,ROWS(Clean_Data[OrderID])+1)</f>
        <v>901</v>
      </c>
      <c r="AE870" s="1">
        <f>IF(COUNTIF($V$2:V870,V870)=1,V870,ROWS(Clean_Data[OrderID])+1)</f>
        <v>901</v>
      </c>
      <c r="AF870" s="1">
        <f>IF(COUNTIF($U$2:U870,U870)=1,U870,ROWS(Clean_Data[OrderID])+1)</f>
        <v>901</v>
      </c>
      <c r="AG870" s="1">
        <f>IF(COUNTIF($E$2:E870,E870)=1,ROW()-1,ROWS(Clean_Data[OrderID])+1)</f>
        <v>901</v>
      </c>
    </row>
    <row r="871" spans="1:33" ht="20" customHeight="1">
      <c r="A871" s="3" t="s">
        <v>1277</v>
      </c>
      <c r="B871" s="2">
        <v>46294</v>
      </c>
      <c r="C871" s="3">
        <v>17</v>
      </c>
      <c r="D871" s="3" t="s">
        <v>353</v>
      </c>
      <c r="E871" s="3" t="s">
        <v>91</v>
      </c>
      <c r="F871" s="3" t="s">
        <v>98</v>
      </c>
      <c r="G871" s="3" t="s">
        <v>110</v>
      </c>
      <c r="H871" s="3" t="s">
        <v>114</v>
      </c>
      <c r="I871" s="3">
        <v>1</v>
      </c>
      <c r="J871" s="11">
        <v>145</v>
      </c>
      <c r="K871" s="4">
        <v>0</v>
      </c>
      <c r="L871" s="3" t="s">
        <v>95</v>
      </c>
      <c r="M871" s="3">
        <v>16</v>
      </c>
      <c r="N871" s="3">
        <v>9</v>
      </c>
      <c r="O871" s="3">
        <v>5</v>
      </c>
      <c r="P871" s="11">
        <f>Clean_Data[[#This Row],[Quantity]]*Clean_Data[[#This Row],[UnitPrice]]</f>
        <v>145</v>
      </c>
      <c r="Q871" s="11">
        <f>ROUND(Clean_Data[[#This Row],[GrossSales]]*Clean_Data[[#This Row],[DiscountPct]],2)</f>
        <v>0</v>
      </c>
      <c r="R871" s="11">
        <f>IF(Clean_Data[[#This Row],[Status]]="Delivered",ROUND(Clean_Data[[#This Row],[GrossSales]]-Clean_Data[[#This Row],[DiscountAmount]],2),0)</f>
        <v>145</v>
      </c>
      <c r="S871" s="3" t="str">
        <f>IF(Clean_Data[[#This Row],[OrderHour]]&lt;6,"Night",IF(Clean_Data[[#This Row],[OrderHour]]&lt;12,"Morning",IF(Clean_Data[[#This Row],[OrderHour]]&lt;18,"Afternoon","Evening")))</f>
        <v>Afternoon</v>
      </c>
      <c r="T871" s="3" t="str">
        <f>TEXT(Clean_Data[[#This Row],[OrderDate]],"[$-409]ddd")</f>
        <v>Tue</v>
      </c>
      <c r="U871" s="3">
        <f>WEEKDAY(Clean_Data[[#This Row],[OrderDate]],2)</f>
        <v>2</v>
      </c>
      <c r="V871" s="3">
        <f>INT(Clean_Data[[#This Row],[OrderHour]]/6)+1</f>
        <v>3</v>
      </c>
      <c r="W871" s="3">
        <f>IF(Clean_Data[[#This Row],[Status]]="Delivered",1,0)</f>
        <v>1</v>
      </c>
      <c r="X871" s="3">
        <f>IF(Clean_Data[[#This Row],[Status]]="Delivered",IF(Clean_Data[[#This Row],[DeliveryMinutes]]&lt;=Dashboard!$X$5,1,0),0)</f>
        <v>1</v>
      </c>
      <c r="Y87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1" s="3">
        <f>IF(AND(Clean_Data[[#This Row],[Include]]=1,Clean_Data[[#This Row],[DeliveredFlag]]=1),1,0)</f>
        <v>1</v>
      </c>
      <c r="AA871" s="1">
        <f>IF(COUNTIF($D$2:D871,D871)=1,ROW()-1,ROWS(Clean_Data[OrderID])+1)</f>
        <v>901</v>
      </c>
      <c r="AB871" s="1">
        <f>IF(COUNTIF($F$2:F871,F871)=1,ROW()-1,ROWS(Clean_Data[OrderID])+1)</f>
        <v>901</v>
      </c>
      <c r="AC871" s="1">
        <f>IF(COUNTIF($G$2:G871,G871)=1,ROW()-1,ROWS(Clean_Data[OrderID])+1)</f>
        <v>901</v>
      </c>
      <c r="AD871" s="1">
        <f>IF(COUNTIF($H$2:H871,H871)=1,ROW()-1,ROWS(Clean_Data[OrderID])+1)</f>
        <v>901</v>
      </c>
      <c r="AE871" s="1">
        <f>IF(COUNTIF($V$2:V871,V871)=1,V871,ROWS(Clean_Data[OrderID])+1)</f>
        <v>901</v>
      </c>
      <c r="AF871" s="1">
        <f>IF(COUNTIF($U$2:U871,U871)=1,U871,ROWS(Clean_Data[OrderID])+1)</f>
        <v>901</v>
      </c>
      <c r="AG871" s="1">
        <f>IF(COUNTIF($E$2:E871,E871)=1,ROW()-1,ROWS(Clean_Data[OrderID])+1)</f>
        <v>901</v>
      </c>
    </row>
    <row r="872" spans="1:33" ht="20" customHeight="1">
      <c r="A872" s="3" t="s">
        <v>1278</v>
      </c>
      <c r="B872" s="2">
        <v>46295</v>
      </c>
      <c r="C872" s="3">
        <v>20</v>
      </c>
      <c r="D872" s="3" t="s">
        <v>642</v>
      </c>
      <c r="E872" s="3" t="s">
        <v>91</v>
      </c>
      <c r="F872" s="3" t="s">
        <v>92</v>
      </c>
      <c r="G872" s="3" t="s">
        <v>110</v>
      </c>
      <c r="H872" s="3" t="s">
        <v>114</v>
      </c>
      <c r="I872" s="3">
        <v>5</v>
      </c>
      <c r="J872" s="11">
        <v>145</v>
      </c>
      <c r="K872" s="4">
        <v>0.1</v>
      </c>
      <c r="L872" s="3" t="s">
        <v>95</v>
      </c>
      <c r="M872" s="3">
        <v>37</v>
      </c>
      <c r="N872" s="3">
        <v>11</v>
      </c>
      <c r="O872" s="3">
        <v>4</v>
      </c>
      <c r="P872" s="11">
        <f>Clean_Data[[#This Row],[Quantity]]*Clean_Data[[#This Row],[UnitPrice]]</f>
        <v>725</v>
      </c>
      <c r="Q872" s="11">
        <f>ROUND(Clean_Data[[#This Row],[GrossSales]]*Clean_Data[[#This Row],[DiscountPct]],2)</f>
        <v>72.5</v>
      </c>
      <c r="R872" s="11">
        <f>IF(Clean_Data[[#This Row],[Status]]="Delivered",ROUND(Clean_Data[[#This Row],[GrossSales]]-Clean_Data[[#This Row],[DiscountAmount]],2),0)</f>
        <v>652.5</v>
      </c>
      <c r="S872" s="3" t="str">
        <f>IF(Clean_Data[[#This Row],[OrderHour]]&lt;6,"Night",IF(Clean_Data[[#This Row],[OrderHour]]&lt;12,"Morning",IF(Clean_Data[[#This Row],[OrderHour]]&lt;18,"Afternoon","Evening")))</f>
        <v>Evening</v>
      </c>
      <c r="T872" s="3" t="str">
        <f>TEXT(Clean_Data[[#This Row],[OrderDate]],"[$-409]ddd")</f>
        <v>Wed</v>
      </c>
      <c r="U872" s="3">
        <f>WEEKDAY(Clean_Data[[#This Row],[OrderDate]],2)</f>
        <v>3</v>
      </c>
      <c r="V872" s="3">
        <f>INT(Clean_Data[[#This Row],[OrderHour]]/6)+1</f>
        <v>4</v>
      </c>
      <c r="W872" s="3">
        <f>IF(Clean_Data[[#This Row],[Status]]="Delivered",1,0)</f>
        <v>1</v>
      </c>
      <c r="X872" s="3">
        <f>IF(Clean_Data[[#This Row],[Status]]="Delivered",IF(Clean_Data[[#This Row],[DeliveryMinutes]]&lt;=Dashboard!$X$5,1,0),0)</f>
        <v>0</v>
      </c>
      <c r="Y87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2" s="3">
        <f>IF(AND(Clean_Data[[#This Row],[Include]]=1,Clean_Data[[#This Row],[DeliveredFlag]]=1),1,0)</f>
        <v>1</v>
      </c>
      <c r="AA872" s="1">
        <f>IF(COUNTIF($D$2:D872,D872)=1,ROW()-1,ROWS(Clean_Data[OrderID])+1)</f>
        <v>901</v>
      </c>
      <c r="AB872" s="1">
        <f>IF(COUNTIF($F$2:F872,F872)=1,ROW()-1,ROWS(Clean_Data[OrderID])+1)</f>
        <v>901</v>
      </c>
      <c r="AC872" s="1">
        <f>IF(COUNTIF($G$2:G872,G872)=1,ROW()-1,ROWS(Clean_Data[OrderID])+1)</f>
        <v>901</v>
      </c>
      <c r="AD872" s="1">
        <f>IF(COUNTIF($H$2:H872,H872)=1,ROW()-1,ROWS(Clean_Data[OrderID])+1)</f>
        <v>901</v>
      </c>
      <c r="AE872" s="1">
        <f>IF(COUNTIF($V$2:V872,V872)=1,V872,ROWS(Clean_Data[OrderID])+1)</f>
        <v>901</v>
      </c>
      <c r="AF872" s="1">
        <f>IF(COUNTIF($U$2:U872,U872)=1,U872,ROWS(Clean_Data[OrderID])+1)</f>
        <v>901</v>
      </c>
      <c r="AG872" s="1">
        <f>IF(COUNTIF($E$2:E872,E872)=1,ROW()-1,ROWS(Clean_Data[OrderID])+1)</f>
        <v>901</v>
      </c>
    </row>
    <row r="873" spans="1:33" ht="20" customHeight="1">
      <c r="A873" s="3" t="s">
        <v>1279</v>
      </c>
      <c r="B873" s="2">
        <v>46295</v>
      </c>
      <c r="C873" s="3">
        <v>19</v>
      </c>
      <c r="D873" s="3" t="s">
        <v>770</v>
      </c>
      <c r="E873" s="3" t="s">
        <v>91</v>
      </c>
      <c r="F873" s="3" t="s">
        <v>92</v>
      </c>
      <c r="G873" s="3" t="s">
        <v>93</v>
      </c>
      <c r="H873" s="3" t="s">
        <v>146</v>
      </c>
      <c r="I873" s="3">
        <v>3</v>
      </c>
      <c r="J873" s="11">
        <v>110</v>
      </c>
      <c r="K873" s="4">
        <v>0.05</v>
      </c>
      <c r="L873" s="3" t="s">
        <v>95</v>
      </c>
      <c r="M873" s="3">
        <v>25</v>
      </c>
      <c r="N873" s="3">
        <v>13</v>
      </c>
      <c r="O873" s="3">
        <v>4</v>
      </c>
      <c r="P873" s="11">
        <f>Clean_Data[[#This Row],[Quantity]]*Clean_Data[[#This Row],[UnitPrice]]</f>
        <v>330</v>
      </c>
      <c r="Q873" s="11">
        <f>ROUND(Clean_Data[[#This Row],[GrossSales]]*Clean_Data[[#This Row],[DiscountPct]],2)</f>
        <v>16.5</v>
      </c>
      <c r="R873" s="11">
        <f>IF(Clean_Data[[#This Row],[Status]]="Delivered",ROUND(Clean_Data[[#This Row],[GrossSales]]-Clean_Data[[#This Row],[DiscountAmount]],2),0)</f>
        <v>313.5</v>
      </c>
      <c r="S873" s="3" t="str">
        <f>IF(Clean_Data[[#This Row],[OrderHour]]&lt;6,"Night",IF(Clean_Data[[#This Row],[OrderHour]]&lt;12,"Morning",IF(Clean_Data[[#This Row],[OrderHour]]&lt;18,"Afternoon","Evening")))</f>
        <v>Evening</v>
      </c>
      <c r="T873" s="3" t="str">
        <f>TEXT(Clean_Data[[#This Row],[OrderDate]],"[$-409]ddd")</f>
        <v>Wed</v>
      </c>
      <c r="U873" s="3">
        <f>WEEKDAY(Clean_Data[[#This Row],[OrderDate]],2)</f>
        <v>3</v>
      </c>
      <c r="V873" s="3">
        <f>INT(Clean_Data[[#This Row],[OrderHour]]/6)+1</f>
        <v>4</v>
      </c>
      <c r="W873" s="3">
        <f>IF(Clean_Data[[#This Row],[Status]]="Delivered",1,0)</f>
        <v>1</v>
      </c>
      <c r="X873" s="3">
        <f>IF(Clean_Data[[#This Row],[Status]]="Delivered",IF(Clean_Data[[#This Row],[DeliveryMinutes]]&lt;=Dashboard!$X$5,1,0),0)</f>
        <v>1</v>
      </c>
      <c r="Y87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3" s="3">
        <f>IF(AND(Clean_Data[[#This Row],[Include]]=1,Clean_Data[[#This Row],[DeliveredFlag]]=1),1,0)</f>
        <v>1</v>
      </c>
      <c r="AA873" s="1">
        <f>IF(COUNTIF($D$2:D873,D873)=1,ROW()-1,ROWS(Clean_Data[OrderID])+1)</f>
        <v>901</v>
      </c>
      <c r="AB873" s="1">
        <f>IF(COUNTIF($F$2:F873,F873)=1,ROW()-1,ROWS(Clean_Data[OrderID])+1)</f>
        <v>901</v>
      </c>
      <c r="AC873" s="1">
        <f>IF(COUNTIF($G$2:G873,G873)=1,ROW()-1,ROWS(Clean_Data[OrderID])+1)</f>
        <v>901</v>
      </c>
      <c r="AD873" s="1">
        <f>IF(COUNTIF($H$2:H873,H873)=1,ROW()-1,ROWS(Clean_Data[OrderID])+1)</f>
        <v>901</v>
      </c>
      <c r="AE873" s="1">
        <f>IF(COUNTIF($V$2:V873,V873)=1,V873,ROWS(Clean_Data[OrderID])+1)</f>
        <v>901</v>
      </c>
      <c r="AF873" s="1">
        <f>IF(COUNTIF($U$2:U873,U873)=1,U873,ROWS(Clean_Data[OrderID])+1)</f>
        <v>901</v>
      </c>
      <c r="AG873" s="1">
        <f>IF(COUNTIF($E$2:E873,E873)=1,ROW()-1,ROWS(Clean_Data[OrderID])+1)</f>
        <v>901</v>
      </c>
    </row>
    <row r="874" spans="1:33" ht="20" customHeight="1">
      <c r="A874" s="3" t="s">
        <v>1280</v>
      </c>
      <c r="B874" s="2">
        <v>46295</v>
      </c>
      <c r="C874" s="3">
        <v>19</v>
      </c>
      <c r="D874" s="3" t="s">
        <v>719</v>
      </c>
      <c r="E874" s="3" t="s">
        <v>91</v>
      </c>
      <c r="F874" s="3" t="s">
        <v>98</v>
      </c>
      <c r="G874" s="3" t="s">
        <v>93</v>
      </c>
      <c r="H874" s="3" t="s">
        <v>94</v>
      </c>
      <c r="I874" s="3">
        <v>3</v>
      </c>
      <c r="J874" s="11">
        <v>95</v>
      </c>
      <c r="K874" s="4">
        <v>0.05</v>
      </c>
      <c r="L874" s="3" t="s">
        <v>95</v>
      </c>
      <c r="M874" s="3">
        <v>28</v>
      </c>
      <c r="N874" s="3">
        <v>12</v>
      </c>
      <c r="O874" s="3">
        <v>5</v>
      </c>
      <c r="P874" s="11">
        <f>Clean_Data[[#This Row],[Quantity]]*Clean_Data[[#This Row],[UnitPrice]]</f>
        <v>285</v>
      </c>
      <c r="Q874" s="11">
        <f>ROUND(Clean_Data[[#This Row],[GrossSales]]*Clean_Data[[#This Row],[DiscountPct]],2)</f>
        <v>14.25</v>
      </c>
      <c r="R874" s="11">
        <f>IF(Clean_Data[[#This Row],[Status]]="Delivered",ROUND(Clean_Data[[#This Row],[GrossSales]]-Clean_Data[[#This Row],[DiscountAmount]],2),0)</f>
        <v>270.75</v>
      </c>
      <c r="S874" s="3" t="str">
        <f>IF(Clean_Data[[#This Row],[OrderHour]]&lt;6,"Night",IF(Clean_Data[[#This Row],[OrderHour]]&lt;12,"Morning",IF(Clean_Data[[#This Row],[OrderHour]]&lt;18,"Afternoon","Evening")))</f>
        <v>Evening</v>
      </c>
      <c r="T874" s="3" t="str">
        <f>TEXT(Clean_Data[[#This Row],[OrderDate]],"[$-409]ddd")</f>
        <v>Wed</v>
      </c>
      <c r="U874" s="3">
        <f>WEEKDAY(Clean_Data[[#This Row],[OrderDate]],2)</f>
        <v>3</v>
      </c>
      <c r="V874" s="3">
        <f>INT(Clean_Data[[#This Row],[OrderHour]]/6)+1</f>
        <v>4</v>
      </c>
      <c r="W874" s="3">
        <f>IF(Clean_Data[[#This Row],[Status]]="Delivered",1,0)</f>
        <v>1</v>
      </c>
      <c r="X874" s="3">
        <f>IF(Clean_Data[[#This Row],[Status]]="Delivered",IF(Clean_Data[[#This Row],[DeliveryMinutes]]&lt;=Dashboard!$X$5,1,0),0)</f>
        <v>1</v>
      </c>
      <c r="Y87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4" s="3">
        <f>IF(AND(Clean_Data[[#This Row],[Include]]=1,Clean_Data[[#This Row],[DeliveredFlag]]=1),1,0)</f>
        <v>1</v>
      </c>
      <c r="AA874" s="1">
        <f>IF(COUNTIF($D$2:D874,D874)=1,ROW()-1,ROWS(Clean_Data[OrderID])+1)</f>
        <v>901</v>
      </c>
      <c r="AB874" s="1">
        <f>IF(COUNTIF($F$2:F874,F874)=1,ROW()-1,ROWS(Clean_Data[OrderID])+1)</f>
        <v>901</v>
      </c>
      <c r="AC874" s="1">
        <f>IF(COUNTIF($G$2:G874,G874)=1,ROW()-1,ROWS(Clean_Data[OrderID])+1)</f>
        <v>901</v>
      </c>
      <c r="AD874" s="1">
        <f>IF(COUNTIF($H$2:H874,H874)=1,ROW()-1,ROWS(Clean_Data[OrderID])+1)</f>
        <v>901</v>
      </c>
      <c r="AE874" s="1">
        <f>IF(COUNTIF($V$2:V874,V874)=1,V874,ROWS(Clean_Data[OrderID])+1)</f>
        <v>901</v>
      </c>
      <c r="AF874" s="1">
        <f>IF(COUNTIF($U$2:U874,U874)=1,U874,ROWS(Clean_Data[OrderID])+1)</f>
        <v>901</v>
      </c>
      <c r="AG874" s="1">
        <f>IF(COUNTIF($E$2:E874,E874)=1,ROW()-1,ROWS(Clean_Data[OrderID])+1)</f>
        <v>901</v>
      </c>
    </row>
    <row r="875" spans="1:33" ht="20" customHeight="1">
      <c r="A875" s="3" t="s">
        <v>1281</v>
      </c>
      <c r="B875" s="2">
        <v>46295</v>
      </c>
      <c r="C875" s="3">
        <v>20</v>
      </c>
      <c r="D875" s="3" t="s">
        <v>230</v>
      </c>
      <c r="E875" s="3" t="s">
        <v>91</v>
      </c>
      <c r="F875" s="3" t="s">
        <v>98</v>
      </c>
      <c r="G875" s="3" t="s">
        <v>135</v>
      </c>
      <c r="H875" s="3" t="s">
        <v>162</v>
      </c>
      <c r="I875" s="3">
        <v>3</v>
      </c>
      <c r="J875" s="11">
        <v>180</v>
      </c>
      <c r="K875" s="4">
        <v>0</v>
      </c>
      <c r="L875" s="3" t="s">
        <v>95</v>
      </c>
      <c r="M875" s="3">
        <v>29</v>
      </c>
      <c r="N875" s="3">
        <v>6</v>
      </c>
      <c r="O875" s="3">
        <v>5</v>
      </c>
      <c r="P875" s="11">
        <f>Clean_Data[[#This Row],[Quantity]]*Clean_Data[[#This Row],[UnitPrice]]</f>
        <v>540</v>
      </c>
      <c r="Q875" s="11">
        <f>ROUND(Clean_Data[[#This Row],[GrossSales]]*Clean_Data[[#This Row],[DiscountPct]],2)</f>
        <v>0</v>
      </c>
      <c r="R875" s="11">
        <f>IF(Clean_Data[[#This Row],[Status]]="Delivered",ROUND(Clean_Data[[#This Row],[GrossSales]]-Clean_Data[[#This Row],[DiscountAmount]],2),0)</f>
        <v>540</v>
      </c>
      <c r="S875" s="3" t="str">
        <f>IF(Clean_Data[[#This Row],[OrderHour]]&lt;6,"Night",IF(Clean_Data[[#This Row],[OrderHour]]&lt;12,"Morning",IF(Clean_Data[[#This Row],[OrderHour]]&lt;18,"Afternoon","Evening")))</f>
        <v>Evening</v>
      </c>
      <c r="T875" s="3" t="str">
        <f>TEXT(Clean_Data[[#This Row],[OrderDate]],"[$-409]ddd")</f>
        <v>Wed</v>
      </c>
      <c r="U875" s="3">
        <f>WEEKDAY(Clean_Data[[#This Row],[OrderDate]],2)</f>
        <v>3</v>
      </c>
      <c r="V875" s="3">
        <f>INT(Clean_Data[[#This Row],[OrderHour]]/6)+1</f>
        <v>4</v>
      </c>
      <c r="W875" s="3">
        <f>IF(Clean_Data[[#This Row],[Status]]="Delivered",1,0)</f>
        <v>1</v>
      </c>
      <c r="X875" s="3">
        <f>IF(Clean_Data[[#This Row],[Status]]="Delivered",IF(Clean_Data[[#This Row],[DeliveryMinutes]]&lt;=Dashboard!$X$5,1,0),0)</f>
        <v>1</v>
      </c>
      <c r="Y87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5" s="3">
        <f>IF(AND(Clean_Data[[#This Row],[Include]]=1,Clean_Data[[#This Row],[DeliveredFlag]]=1),1,0)</f>
        <v>1</v>
      </c>
      <c r="AA875" s="1">
        <f>IF(COUNTIF($D$2:D875,D875)=1,ROW()-1,ROWS(Clean_Data[OrderID])+1)</f>
        <v>901</v>
      </c>
      <c r="AB875" s="1">
        <f>IF(COUNTIF($F$2:F875,F875)=1,ROW()-1,ROWS(Clean_Data[OrderID])+1)</f>
        <v>901</v>
      </c>
      <c r="AC875" s="1">
        <f>IF(COUNTIF($G$2:G875,G875)=1,ROW()-1,ROWS(Clean_Data[OrderID])+1)</f>
        <v>901</v>
      </c>
      <c r="AD875" s="1">
        <f>IF(COUNTIF($H$2:H875,H875)=1,ROW()-1,ROWS(Clean_Data[OrderID])+1)</f>
        <v>901</v>
      </c>
      <c r="AE875" s="1">
        <f>IF(COUNTIF($V$2:V875,V875)=1,V875,ROWS(Clean_Data[OrderID])+1)</f>
        <v>901</v>
      </c>
      <c r="AF875" s="1">
        <f>IF(COUNTIF($U$2:U875,U875)=1,U875,ROWS(Clean_Data[OrderID])+1)</f>
        <v>901</v>
      </c>
      <c r="AG875" s="1">
        <f>IF(COUNTIF($E$2:E875,E875)=1,ROW()-1,ROWS(Clean_Data[OrderID])+1)</f>
        <v>901</v>
      </c>
    </row>
    <row r="876" spans="1:33" ht="20" customHeight="1">
      <c r="A876" s="3" t="s">
        <v>1282</v>
      </c>
      <c r="B876" s="2">
        <v>46295</v>
      </c>
      <c r="C876" s="3">
        <v>10</v>
      </c>
      <c r="D876" s="3" t="s">
        <v>195</v>
      </c>
      <c r="E876" s="3" t="s">
        <v>91</v>
      </c>
      <c r="F876" s="3" t="s">
        <v>92</v>
      </c>
      <c r="G876" s="3" t="s">
        <v>135</v>
      </c>
      <c r="H876" s="3" t="s">
        <v>136</v>
      </c>
      <c r="I876" s="3">
        <v>1</v>
      </c>
      <c r="J876" s="11">
        <v>40</v>
      </c>
      <c r="K876" s="4">
        <v>0</v>
      </c>
      <c r="L876" s="3" t="s">
        <v>95</v>
      </c>
      <c r="M876" s="3">
        <v>35</v>
      </c>
      <c r="N876" s="3">
        <v>15</v>
      </c>
      <c r="O876" s="3">
        <v>4</v>
      </c>
      <c r="P876" s="11">
        <f>Clean_Data[[#This Row],[Quantity]]*Clean_Data[[#This Row],[UnitPrice]]</f>
        <v>40</v>
      </c>
      <c r="Q876" s="11">
        <f>ROUND(Clean_Data[[#This Row],[GrossSales]]*Clean_Data[[#This Row],[DiscountPct]],2)</f>
        <v>0</v>
      </c>
      <c r="R876" s="11">
        <f>IF(Clean_Data[[#This Row],[Status]]="Delivered",ROUND(Clean_Data[[#This Row],[GrossSales]]-Clean_Data[[#This Row],[DiscountAmount]],2),0)</f>
        <v>40</v>
      </c>
      <c r="S876" s="3" t="str">
        <f>IF(Clean_Data[[#This Row],[OrderHour]]&lt;6,"Night",IF(Clean_Data[[#This Row],[OrderHour]]&lt;12,"Morning",IF(Clean_Data[[#This Row],[OrderHour]]&lt;18,"Afternoon","Evening")))</f>
        <v>Morning</v>
      </c>
      <c r="T876" s="3" t="str">
        <f>TEXT(Clean_Data[[#This Row],[OrderDate]],"[$-409]ddd")</f>
        <v>Wed</v>
      </c>
      <c r="U876" s="3">
        <f>WEEKDAY(Clean_Data[[#This Row],[OrderDate]],2)</f>
        <v>3</v>
      </c>
      <c r="V876" s="3">
        <f>INT(Clean_Data[[#This Row],[OrderHour]]/6)+1</f>
        <v>2</v>
      </c>
      <c r="W876" s="3">
        <f>IF(Clean_Data[[#This Row],[Status]]="Delivered",1,0)</f>
        <v>1</v>
      </c>
      <c r="X876" s="3">
        <f>IF(Clean_Data[[#This Row],[Status]]="Delivered",IF(Clean_Data[[#This Row],[DeliveryMinutes]]&lt;=Dashboard!$X$5,1,0),0)</f>
        <v>0</v>
      </c>
      <c r="Y87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6" s="3">
        <f>IF(AND(Clean_Data[[#This Row],[Include]]=1,Clean_Data[[#This Row],[DeliveredFlag]]=1),1,0)</f>
        <v>1</v>
      </c>
      <c r="AA876" s="1">
        <f>IF(COUNTIF($D$2:D876,D876)=1,ROW()-1,ROWS(Clean_Data[OrderID])+1)</f>
        <v>901</v>
      </c>
      <c r="AB876" s="1">
        <f>IF(COUNTIF($F$2:F876,F876)=1,ROW()-1,ROWS(Clean_Data[OrderID])+1)</f>
        <v>901</v>
      </c>
      <c r="AC876" s="1">
        <f>IF(COUNTIF($G$2:G876,G876)=1,ROW()-1,ROWS(Clean_Data[OrderID])+1)</f>
        <v>901</v>
      </c>
      <c r="AD876" s="1">
        <f>IF(COUNTIF($H$2:H876,H876)=1,ROW()-1,ROWS(Clean_Data[OrderID])+1)</f>
        <v>901</v>
      </c>
      <c r="AE876" s="1">
        <f>IF(COUNTIF($V$2:V876,V876)=1,V876,ROWS(Clean_Data[OrderID])+1)</f>
        <v>901</v>
      </c>
      <c r="AF876" s="1">
        <f>IF(COUNTIF($U$2:U876,U876)=1,U876,ROWS(Clean_Data[OrderID])+1)</f>
        <v>901</v>
      </c>
      <c r="AG876" s="1">
        <f>IF(COUNTIF($E$2:E876,E876)=1,ROW()-1,ROWS(Clean_Data[OrderID])+1)</f>
        <v>901</v>
      </c>
    </row>
    <row r="877" spans="1:33" ht="20" customHeight="1">
      <c r="A877" s="3" t="s">
        <v>1283</v>
      </c>
      <c r="B877" s="2">
        <v>46295</v>
      </c>
      <c r="C877" s="3">
        <v>23</v>
      </c>
      <c r="D877" s="3" t="s">
        <v>971</v>
      </c>
      <c r="E877" s="3" t="s">
        <v>91</v>
      </c>
      <c r="F877" s="3" t="s">
        <v>92</v>
      </c>
      <c r="G877" s="3" t="s">
        <v>93</v>
      </c>
      <c r="H877" s="3" t="s">
        <v>118</v>
      </c>
      <c r="I877" s="3">
        <v>6</v>
      </c>
      <c r="J877" s="11">
        <v>45</v>
      </c>
      <c r="K877" s="4">
        <v>0.05</v>
      </c>
      <c r="L877" s="3" t="s">
        <v>101</v>
      </c>
      <c r="M877" s="3"/>
      <c r="N877" s="3"/>
      <c r="O877" s="3"/>
      <c r="P877" s="11">
        <f>Clean_Data[[#This Row],[Quantity]]*Clean_Data[[#This Row],[UnitPrice]]</f>
        <v>270</v>
      </c>
      <c r="Q877" s="11">
        <f>ROUND(Clean_Data[[#This Row],[GrossSales]]*Clean_Data[[#This Row],[DiscountPct]],2)</f>
        <v>13.5</v>
      </c>
      <c r="R877" s="11">
        <f>IF(Clean_Data[[#This Row],[Status]]="Delivered",ROUND(Clean_Data[[#This Row],[GrossSales]]-Clean_Data[[#This Row],[DiscountAmount]],2),0)</f>
        <v>0</v>
      </c>
      <c r="S877" s="3" t="str">
        <f>IF(Clean_Data[[#This Row],[OrderHour]]&lt;6,"Night",IF(Clean_Data[[#This Row],[OrderHour]]&lt;12,"Morning",IF(Clean_Data[[#This Row],[OrderHour]]&lt;18,"Afternoon","Evening")))</f>
        <v>Evening</v>
      </c>
      <c r="T877" s="3" t="str">
        <f>TEXT(Clean_Data[[#This Row],[OrderDate]],"[$-409]ddd")</f>
        <v>Wed</v>
      </c>
      <c r="U877" s="3">
        <f>WEEKDAY(Clean_Data[[#This Row],[OrderDate]],2)</f>
        <v>3</v>
      </c>
      <c r="V877" s="3">
        <f>INT(Clean_Data[[#This Row],[OrderHour]]/6)+1</f>
        <v>4</v>
      </c>
      <c r="W877" s="3">
        <f>IF(Clean_Data[[#This Row],[Status]]="Delivered",1,0)</f>
        <v>0</v>
      </c>
      <c r="X877" s="3">
        <f>IF(Clean_Data[[#This Row],[Status]]="Delivered",IF(Clean_Data[[#This Row],[DeliveryMinutes]]&lt;=Dashboard!$X$5,1,0),0)</f>
        <v>0</v>
      </c>
      <c r="Y87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7" s="3">
        <f>IF(AND(Clean_Data[[#This Row],[Include]]=1,Clean_Data[[#This Row],[DeliveredFlag]]=1),1,0)</f>
        <v>0</v>
      </c>
      <c r="AA877" s="1">
        <f>IF(COUNTIF($D$2:D877,D877)=1,ROW()-1,ROWS(Clean_Data[OrderID])+1)</f>
        <v>901</v>
      </c>
      <c r="AB877" s="1">
        <f>IF(COUNTIF($F$2:F877,F877)=1,ROW()-1,ROWS(Clean_Data[OrderID])+1)</f>
        <v>901</v>
      </c>
      <c r="AC877" s="1">
        <f>IF(COUNTIF($G$2:G877,G877)=1,ROW()-1,ROWS(Clean_Data[OrderID])+1)</f>
        <v>901</v>
      </c>
      <c r="AD877" s="1">
        <f>IF(COUNTIF($H$2:H877,H877)=1,ROW()-1,ROWS(Clean_Data[OrderID])+1)</f>
        <v>901</v>
      </c>
      <c r="AE877" s="1">
        <f>IF(COUNTIF($V$2:V877,V877)=1,V877,ROWS(Clean_Data[OrderID])+1)</f>
        <v>901</v>
      </c>
      <c r="AF877" s="1">
        <f>IF(COUNTIF($U$2:U877,U877)=1,U877,ROWS(Clean_Data[OrderID])+1)</f>
        <v>901</v>
      </c>
      <c r="AG877" s="1">
        <f>IF(COUNTIF($E$2:E877,E877)=1,ROW()-1,ROWS(Clean_Data[OrderID])+1)</f>
        <v>901</v>
      </c>
    </row>
    <row r="878" spans="1:33" ht="20" customHeight="1">
      <c r="A878" s="3" t="s">
        <v>1284</v>
      </c>
      <c r="B878" s="2">
        <v>46295</v>
      </c>
      <c r="C878" s="3">
        <v>20</v>
      </c>
      <c r="D878" s="3" t="s">
        <v>630</v>
      </c>
      <c r="E878" s="3" t="s">
        <v>91</v>
      </c>
      <c r="F878" s="3" t="s">
        <v>139</v>
      </c>
      <c r="G878" s="3" t="s">
        <v>135</v>
      </c>
      <c r="H878" s="3" t="s">
        <v>162</v>
      </c>
      <c r="I878" s="3">
        <v>4</v>
      </c>
      <c r="J878" s="11">
        <v>180</v>
      </c>
      <c r="K878" s="4">
        <v>0</v>
      </c>
      <c r="L878" s="3" t="s">
        <v>95</v>
      </c>
      <c r="M878" s="3">
        <v>13</v>
      </c>
      <c r="N878" s="3">
        <v>7</v>
      </c>
      <c r="O878" s="3">
        <v>4</v>
      </c>
      <c r="P878" s="11">
        <f>Clean_Data[[#This Row],[Quantity]]*Clean_Data[[#This Row],[UnitPrice]]</f>
        <v>720</v>
      </c>
      <c r="Q878" s="11">
        <f>ROUND(Clean_Data[[#This Row],[GrossSales]]*Clean_Data[[#This Row],[DiscountPct]],2)</f>
        <v>0</v>
      </c>
      <c r="R878" s="11">
        <f>IF(Clean_Data[[#This Row],[Status]]="Delivered",ROUND(Clean_Data[[#This Row],[GrossSales]]-Clean_Data[[#This Row],[DiscountAmount]],2),0)</f>
        <v>720</v>
      </c>
      <c r="S878" s="3" t="str">
        <f>IF(Clean_Data[[#This Row],[OrderHour]]&lt;6,"Night",IF(Clean_Data[[#This Row],[OrderHour]]&lt;12,"Morning",IF(Clean_Data[[#This Row],[OrderHour]]&lt;18,"Afternoon","Evening")))</f>
        <v>Evening</v>
      </c>
      <c r="T878" s="3" t="str">
        <f>TEXT(Clean_Data[[#This Row],[OrderDate]],"[$-409]ddd")</f>
        <v>Wed</v>
      </c>
      <c r="U878" s="3">
        <f>WEEKDAY(Clean_Data[[#This Row],[OrderDate]],2)</f>
        <v>3</v>
      </c>
      <c r="V878" s="3">
        <f>INT(Clean_Data[[#This Row],[OrderHour]]/6)+1</f>
        <v>4</v>
      </c>
      <c r="W878" s="3">
        <f>IF(Clean_Data[[#This Row],[Status]]="Delivered",1,0)</f>
        <v>1</v>
      </c>
      <c r="X878" s="3">
        <f>IF(Clean_Data[[#This Row],[Status]]="Delivered",IF(Clean_Data[[#This Row],[DeliveryMinutes]]&lt;=Dashboard!$X$5,1,0),0)</f>
        <v>1</v>
      </c>
      <c r="Y87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8" s="3">
        <f>IF(AND(Clean_Data[[#This Row],[Include]]=1,Clean_Data[[#This Row],[DeliveredFlag]]=1),1,0)</f>
        <v>1</v>
      </c>
      <c r="AA878" s="1">
        <f>IF(COUNTIF($D$2:D878,D878)=1,ROW()-1,ROWS(Clean_Data[OrderID])+1)</f>
        <v>901</v>
      </c>
      <c r="AB878" s="1">
        <f>IF(COUNTIF($F$2:F878,F878)=1,ROW()-1,ROWS(Clean_Data[OrderID])+1)</f>
        <v>901</v>
      </c>
      <c r="AC878" s="1">
        <f>IF(COUNTIF($G$2:G878,G878)=1,ROW()-1,ROWS(Clean_Data[OrderID])+1)</f>
        <v>901</v>
      </c>
      <c r="AD878" s="1">
        <f>IF(COUNTIF($H$2:H878,H878)=1,ROW()-1,ROWS(Clean_Data[OrderID])+1)</f>
        <v>901</v>
      </c>
      <c r="AE878" s="1">
        <f>IF(COUNTIF($V$2:V878,V878)=1,V878,ROWS(Clean_Data[OrderID])+1)</f>
        <v>901</v>
      </c>
      <c r="AF878" s="1">
        <f>IF(COUNTIF($U$2:U878,U878)=1,U878,ROWS(Clean_Data[OrderID])+1)</f>
        <v>901</v>
      </c>
      <c r="AG878" s="1">
        <f>IF(COUNTIF($E$2:E878,E878)=1,ROW()-1,ROWS(Clean_Data[OrderID])+1)</f>
        <v>901</v>
      </c>
    </row>
    <row r="879" spans="1:33" ht="20" customHeight="1">
      <c r="A879" s="3" t="s">
        <v>1285</v>
      </c>
      <c r="B879" s="2">
        <v>46295</v>
      </c>
      <c r="C879" s="3">
        <v>6</v>
      </c>
      <c r="D879" s="3" t="s">
        <v>695</v>
      </c>
      <c r="E879" s="3" t="s">
        <v>117</v>
      </c>
      <c r="F879" s="3" t="s">
        <v>109</v>
      </c>
      <c r="G879" s="3" t="s">
        <v>93</v>
      </c>
      <c r="H879" s="3" t="s">
        <v>118</v>
      </c>
      <c r="I879" s="3">
        <v>1</v>
      </c>
      <c r="J879" s="11">
        <v>45</v>
      </c>
      <c r="K879" s="4">
        <v>0</v>
      </c>
      <c r="L879" s="3" t="s">
        <v>95</v>
      </c>
      <c r="M879" s="3">
        <v>37</v>
      </c>
      <c r="N879" s="3">
        <v>9</v>
      </c>
      <c r="O879" s="3">
        <v>4</v>
      </c>
      <c r="P879" s="11">
        <f>Clean_Data[[#This Row],[Quantity]]*Clean_Data[[#This Row],[UnitPrice]]</f>
        <v>45</v>
      </c>
      <c r="Q879" s="11">
        <f>ROUND(Clean_Data[[#This Row],[GrossSales]]*Clean_Data[[#This Row],[DiscountPct]],2)</f>
        <v>0</v>
      </c>
      <c r="R879" s="11">
        <f>IF(Clean_Data[[#This Row],[Status]]="Delivered",ROUND(Clean_Data[[#This Row],[GrossSales]]-Clean_Data[[#This Row],[DiscountAmount]],2),0)</f>
        <v>45</v>
      </c>
      <c r="S879" s="3" t="str">
        <f>IF(Clean_Data[[#This Row],[OrderHour]]&lt;6,"Night",IF(Clean_Data[[#This Row],[OrderHour]]&lt;12,"Morning",IF(Clean_Data[[#This Row],[OrderHour]]&lt;18,"Afternoon","Evening")))</f>
        <v>Morning</v>
      </c>
      <c r="T879" s="3" t="str">
        <f>TEXT(Clean_Data[[#This Row],[OrderDate]],"[$-409]ddd")</f>
        <v>Wed</v>
      </c>
      <c r="U879" s="3">
        <f>WEEKDAY(Clean_Data[[#This Row],[OrderDate]],2)</f>
        <v>3</v>
      </c>
      <c r="V879" s="3">
        <f>INT(Clean_Data[[#This Row],[OrderHour]]/6)+1</f>
        <v>2</v>
      </c>
      <c r="W879" s="3">
        <f>IF(Clean_Data[[#This Row],[Status]]="Delivered",1,0)</f>
        <v>1</v>
      </c>
      <c r="X879" s="3">
        <f>IF(Clean_Data[[#This Row],[Status]]="Delivered",IF(Clean_Data[[#This Row],[DeliveryMinutes]]&lt;=Dashboard!$X$5,1,0),0)</f>
        <v>0</v>
      </c>
      <c r="Y87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79" s="3">
        <f>IF(AND(Clean_Data[[#This Row],[Include]]=1,Clean_Data[[#This Row],[DeliveredFlag]]=1),1,0)</f>
        <v>1</v>
      </c>
      <c r="AA879" s="1">
        <f>IF(COUNTIF($D$2:D879,D879)=1,ROW()-1,ROWS(Clean_Data[OrderID])+1)</f>
        <v>901</v>
      </c>
      <c r="AB879" s="1">
        <f>IF(COUNTIF($F$2:F879,F879)=1,ROW()-1,ROWS(Clean_Data[OrderID])+1)</f>
        <v>901</v>
      </c>
      <c r="AC879" s="1">
        <f>IF(COUNTIF($G$2:G879,G879)=1,ROW()-1,ROWS(Clean_Data[OrderID])+1)</f>
        <v>901</v>
      </c>
      <c r="AD879" s="1">
        <f>IF(COUNTIF($H$2:H879,H879)=1,ROW()-1,ROWS(Clean_Data[OrderID])+1)</f>
        <v>901</v>
      </c>
      <c r="AE879" s="1">
        <f>IF(COUNTIF($V$2:V879,V879)=1,V879,ROWS(Clean_Data[OrderID])+1)</f>
        <v>901</v>
      </c>
      <c r="AF879" s="1">
        <f>IF(COUNTIF($U$2:U879,U879)=1,U879,ROWS(Clean_Data[OrderID])+1)</f>
        <v>901</v>
      </c>
      <c r="AG879" s="1">
        <f>IF(COUNTIF($E$2:E879,E879)=1,ROW()-1,ROWS(Clean_Data[OrderID])+1)</f>
        <v>901</v>
      </c>
    </row>
    <row r="880" spans="1:33" ht="20" customHeight="1">
      <c r="A880" s="3" t="s">
        <v>1286</v>
      </c>
      <c r="B880" s="2">
        <v>46295</v>
      </c>
      <c r="C880" s="3">
        <v>20</v>
      </c>
      <c r="D880" s="3" t="s">
        <v>427</v>
      </c>
      <c r="E880" s="3" t="s">
        <v>91</v>
      </c>
      <c r="F880" s="3" t="s">
        <v>139</v>
      </c>
      <c r="G880" s="3" t="s">
        <v>122</v>
      </c>
      <c r="H880" s="3" t="s">
        <v>214</v>
      </c>
      <c r="I880" s="3">
        <v>5</v>
      </c>
      <c r="J880" s="11">
        <v>55</v>
      </c>
      <c r="K880" s="4">
        <v>0</v>
      </c>
      <c r="L880" s="3" t="s">
        <v>95</v>
      </c>
      <c r="M880" s="3">
        <v>36</v>
      </c>
      <c r="N880" s="3">
        <v>4</v>
      </c>
      <c r="O880" s="3">
        <v>4</v>
      </c>
      <c r="P880" s="11">
        <f>Clean_Data[[#This Row],[Quantity]]*Clean_Data[[#This Row],[UnitPrice]]</f>
        <v>275</v>
      </c>
      <c r="Q880" s="11">
        <f>ROUND(Clean_Data[[#This Row],[GrossSales]]*Clean_Data[[#This Row],[DiscountPct]],2)</f>
        <v>0</v>
      </c>
      <c r="R880" s="11">
        <f>IF(Clean_Data[[#This Row],[Status]]="Delivered",ROUND(Clean_Data[[#This Row],[GrossSales]]-Clean_Data[[#This Row],[DiscountAmount]],2),0)</f>
        <v>275</v>
      </c>
      <c r="S880" s="3" t="str">
        <f>IF(Clean_Data[[#This Row],[OrderHour]]&lt;6,"Night",IF(Clean_Data[[#This Row],[OrderHour]]&lt;12,"Morning",IF(Clean_Data[[#This Row],[OrderHour]]&lt;18,"Afternoon","Evening")))</f>
        <v>Evening</v>
      </c>
      <c r="T880" s="3" t="str">
        <f>TEXT(Clean_Data[[#This Row],[OrderDate]],"[$-409]ddd")</f>
        <v>Wed</v>
      </c>
      <c r="U880" s="3">
        <f>WEEKDAY(Clean_Data[[#This Row],[OrderDate]],2)</f>
        <v>3</v>
      </c>
      <c r="V880" s="3">
        <f>INT(Clean_Data[[#This Row],[OrderHour]]/6)+1</f>
        <v>4</v>
      </c>
      <c r="W880" s="3">
        <f>IF(Clean_Data[[#This Row],[Status]]="Delivered",1,0)</f>
        <v>1</v>
      </c>
      <c r="X880" s="3">
        <f>IF(Clean_Data[[#This Row],[Status]]="Delivered",IF(Clean_Data[[#This Row],[DeliveryMinutes]]&lt;=Dashboard!$X$5,1,0),0)</f>
        <v>0</v>
      </c>
      <c r="Y88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0" s="3">
        <f>IF(AND(Clean_Data[[#This Row],[Include]]=1,Clean_Data[[#This Row],[DeliveredFlag]]=1),1,0)</f>
        <v>1</v>
      </c>
      <c r="AA880" s="1">
        <f>IF(COUNTIF($D$2:D880,D880)=1,ROW()-1,ROWS(Clean_Data[OrderID])+1)</f>
        <v>901</v>
      </c>
      <c r="AB880" s="1">
        <f>IF(COUNTIF($F$2:F880,F880)=1,ROW()-1,ROWS(Clean_Data[OrderID])+1)</f>
        <v>901</v>
      </c>
      <c r="AC880" s="1">
        <f>IF(COUNTIF($G$2:G880,G880)=1,ROW()-1,ROWS(Clean_Data[OrderID])+1)</f>
        <v>901</v>
      </c>
      <c r="AD880" s="1">
        <f>IF(COUNTIF($H$2:H880,H880)=1,ROW()-1,ROWS(Clean_Data[OrderID])+1)</f>
        <v>901</v>
      </c>
      <c r="AE880" s="1">
        <f>IF(COUNTIF($V$2:V880,V880)=1,V880,ROWS(Clean_Data[OrderID])+1)</f>
        <v>901</v>
      </c>
      <c r="AF880" s="1">
        <f>IF(COUNTIF($U$2:U880,U880)=1,U880,ROWS(Clean_Data[OrderID])+1)</f>
        <v>901</v>
      </c>
      <c r="AG880" s="1">
        <f>IF(COUNTIF($E$2:E880,E880)=1,ROW()-1,ROWS(Clean_Data[OrderID])+1)</f>
        <v>901</v>
      </c>
    </row>
    <row r="881" spans="1:33" ht="20" customHeight="1">
      <c r="A881" s="3" t="s">
        <v>1287</v>
      </c>
      <c r="B881" s="2">
        <v>46295</v>
      </c>
      <c r="C881" s="3">
        <v>19</v>
      </c>
      <c r="D881" s="3" t="s">
        <v>1288</v>
      </c>
      <c r="E881" s="3" t="s">
        <v>117</v>
      </c>
      <c r="F881" s="3" t="s">
        <v>139</v>
      </c>
      <c r="G881" s="3" t="s">
        <v>174</v>
      </c>
      <c r="H881" s="3" t="s">
        <v>175</v>
      </c>
      <c r="I881" s="3">
        <v>3</v>
      </c>
      <c r="J881" s="11">
        <v>155</v>
      </c>
      <c r="K881" s="4">
        <v>0</v>
      </c>
      <c r="L881" s="3" t="s">
        <v>95</v>
      </c>
      <c r="M881" s="3">
        <v>36</v>
      </c>
      <c r="N881" s="3">
        <v>15</v>
      </c>
      <c r="O881" s="3">
        <v>3</v>
      </c>
      <c r="P881" s="11">
        <f>Clean_Data[[#This Row],[Quantity]]*Clean_Data[[#This Row],[UnitPrice]]</f>
        <v>465</v>
      </c>
      <c r="Q881" s="11">
        <f>ROUND(Clean_Data[[#This Row],[GrossSales]]*Clean_Data[[#This Row],[DiscountPct]],2)</f>
        <v>0</v>
      </c>
      <c r="R881" s="11">
        <f>IF(Clean_Data[[#This Row],[Status]]="Delivered",ROUND(Clean_Data[[#This Row],[GrossSales]]-Clean_Data[[#This Row],[DiscountAmount]],2),0)</f>
        <v>465</v>
      </c>
      <c r="S881" s="3" t="str">
        <f>IF(Clean_Data[[#This Row],[OrderHour]]&lt;6,"Night",IF(Clean_Data[[#This Row],[OrderHour]]&lt;12,"Morning",IF(Clean_Data[[#This Row],[OrderHour]]&lt;18,"Afternoon","Evening")))</f>
        <v>Evening</v>
      </c>
      <c r="T881" s="3" t="str">
        <f>TEXT(Clean_Data[[#This Row],[OrderDate]],"[$-409]ddd")</f>
        <v>Wed</v>
      </c>
      <c r="U881" s="3">
        <f>WEEKDAY(Clean_Data[[#This Row],[OrderDate]],2)</f>
        <v>3</v>
      </c>
      <c r="V881" s="3">
        <f>INT(Clean_Data[[#This Row],[OrderHour]]/6)+1</f>
        <v>4</v>
      </c>
      <c r="W881" s="3">
        <f>IF(Clean_Data[[#This Row],[Status]]="Delivered",1,0)</f>
        <v>1</v>
      </c>
      <c r="X881" s="3">
        <f>IF(Clean_Data[[#This Row],[Status]]="Delivered",IF(Clean_Data[[#This Row],[DeliveryMinutes]]&lt;=Dashboard!$X$5,1,0),0)</f>
        <v>0</v>
      </c>
      <c r="Y88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1" s="3">
        <f>IF(AND(Clean_Data[[#This Row],[Include]]=1,Clean_Data[[#This Row],[DeliveredFlag]]=1),1,0)</f>
        <v>1</v>
      </c>
      <c r="AA881" s="1">
        <f>IF(COUNTIF($D$2:D881,D881)=1,ROW()-1,ROWS(Clean_Data[OrderID])+1)</f>
        <v>880</v>
      </c>
      <c r="AB881" s="1">
        <f>IF(COUNTIF($F$2:F881,F881)=1,ROW()-1,ROWS(Clean_Data[OrderID])+1)</f>
        <v>901</v>
      </c>
      <c r="AC881" s="1">
        <f>IF(COUNTIF($G$2:G881,G881)=1,ROW()-1,ROWS(Clean_Data[OrderID])+1)</f>
        <v>901</v>
      </c>
      <c r="AD881" s="1">
        <f>IF(COUNTIF($H$2:H881,H881)=1,ROW()-1,ROWS(Clean_Data[OrderID])+1)</f>
        <v>901</v>
      </c>
      <c r="AE881" s="1">
        <f>IF(COUNTIF($V$2:V881,V881)=1,V881,ROWS(Clean_Data[OrderID])+1)</f>
        <v>901</v>
      </c>
      <c r="AF881" s="1">
        <f>IF(COUNTIF($U$2:U881,U881)=1,U881,ROWS(Clean_Data[OrderID])+1)</f>
        <v>901</v>
      </c>
      <c r="AG881" s="1">
        <f>IF(COUNTIF($E$2:E881,E881)=1,ROW()-1,ROWS(Clean_Data[OrderID])+1)</f>
        <v>901</v>
      </c>
    </row>
    <row r="882" spans="1:33" ht="20" customHeight="1">
      <c r="A882" s="3" t="s">
        <v>1289</v>
      </c>
      <c r="B882" s="2">
        <v>46295</v>
      </c>
      <c r="C882" s="3">
        <v>17</v>
      </c>
      <c r="D882" s="3" t="s">
        <v>763</v>
      </c>
      <c r="E882" s="3" t="s">
        <v>91</v>
      </c>
      <c r="F882" s="3" t="s">
        <v>121</v>
      </c>
      <c r="G882" s="3" t="s">
        <v>110</v>
      </c>
      <c r="H882" s="3" t="s">
        <v>111</v>
      </c>
      <c r="I882" s="3">
        <v>2</v>
      </c>
      <c r="J882" s="11">
        <v>115</v>
      </c>
      <c r="K882" s="4">
        <v>0</v>
      </c>
      <c r="L882" s="3" t="s">
        <v>95</v>
      </c>
      <c r="M882" s="3">
        <v>13</v>
      </c>
      <c r="N882" s="3">
        <v>5</v>
      </c>
      <c r="O882" s="3">
        <v>4</v>
      </c>
      <c r="P882" s="11">
        <f>Clean_Data[[#This Row],[Quantity]]*Clean_Data[[#This Row],[UnitPrice]]</f>
        <v>230</v>
      </c>
      <c r="Q882" s="11">
        <f>ROUND(Clean_Data[[#This Row],[GrossSales]]*Clean_Data[[#This Row],[DiscountPct]],2)</f>
        <v>0</v>
      </c>
      <c r="R882" s="11">
        <f>IF(Clean_Data[[#This Row],[Status]]="Delivered",ROUND(Clean_Data[[#This Row],[GrossSales]]-Clean_Data[[#This Row],[DiscountAmount]],2),0)</f>
        <v>230</v>
      </c>
      <c r="S882" s="3" t="str">
        <f>IF(Clean_Data[[#This Row],[OrderHour]]&lt;6,"Night",IF(Clean_Data[[#This Row],[OrderHour]]&lt;12,"Morning",IF(Clean_Data[[#This Row],[OrderHour]]&lt;18,"Afternoon","Evening")))</f>
        <v>Afternoon</v>
      </c>
      <c r="T882" s="3" t="str">
        <f>TEXT(Clean_Data[[#This Row],[OrderDate]],"[$-409]ddd")</f>
        <v>Wed</v>
      </c>
      <c r="U882" s="3">
        <f>WEEKDAY(Clean_Data[[#This Row],[OrderDate]],2)</f>
        <v>3</v>
      </c>
      <c r="V882" s="3">
        <f>INT(Clean_Data[[#This Row],[OrderHour]]/6)+1</f>
        <v>3</v>
      </c>
      <c r="W882" s="3">
        <f>IF(Clean_Data[[#This Row],[Status]]="Delivered",1,0)</f>
        <v>1</v>
      </c>
      <c r="X882" s="3">
        <f>IF(Clean_Data[[#This Row],[Status]]="Delivered",IF(Clean_Data[[#This Row],[DeliveryMinutes]]&lt;=Dashboard!$X$5,1,0),0)</f>
        <v>1</v>
      </c>
      <c r="Y88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2" s="3">
        <f>IF(AND(Clean_Data[[#This Row],[Include]]=1,Clean_Data[[#This Row],[DeliveredFlag]]=1),1,0)</f>
        <v>1</v>
      </c>
      <c r="AA882" s="1">
        <f>IF(COUNTIF($D$2:D882,D882)=1,ROW()-1,ROWS(Clean_Data[OrderID])+1)</f>
        <v>901</v>
      </c>
      <c r="AB882" s="1">
        <f>IF(COUNTIF($F$2:F882,F882)=1,ROW()-1,ROWS(Clean_Data[OrderID])+1)</f>
        <v>901</v>
      </c>
      <c r="AC882" s="1">
        <f>IF(COUNTIF($G$2:G882,G882)=1,ROW()-1,ROWS(Clean_Data[OrderID])+1)</f>
        <v>901</v>
      </c>
      <c r="AD882" s="1">
        <f>IF(COUNTIF($H$2:H882,H882)=1,ROW()-1,ROWS(Clean_Data[OrderID])+1)</f>
        <v>901</v>
      </c>
      <c r="AE882" s="1">
        <f>IF(COUNTIF($V$2:V882,V882)=1,V882,ROWS(Clean_Data[OrderID])+1)</f>
        <v>901</v>
      </c>
      <c r="AF882" s="1">
        <f>IF(COUNTIF($U$2:U882,U882)=1,U882,ROWS(Clean_Data[OrderID])+1)</f>
        <v>901</v>
      </c>
      <c r="AG882" s="1">
        <f>IF(COUNTIF($E$2:E882,E882)=1,ROW()-1,ROWS(Clean_Data[OrderID])+1)</f>
        <v>901</v>
      </c>
    </row>
    <row r="883" spans="1:33" ht="20" customHeight="1">
      <c r="A883" s="3" t="s">
        <v>1290</v>
      </c>
      <c r="B883" s="2">
        <v>46295</v>
      </c>
      <c r="C883" s="3">
        <v>15</v>
      </c>
      <c r="D883" s="3" t="s">
        <v>780</v>
      </c>
      <c r="E883" s="3" t="s">
        <v>91</v>
      </c>
      <c r="F883" s="3" t="s">
        <v>139</v>
      </c>
      <c r="G883" s="3" t="s">
        <v>110</v>
      </c>
      <c r="H883" s="3" t="s">
        <v>206</v>
      </c>
      <c r="I883" s="3">
        <v>5</v>
      </c>
      <c r="J883" s="11">
        <v>220</v>
      </c>
      <c r="K883" s="4">
        <v>0</v>
      </c>
      <c r="L883" s="3" t="s">
        <v>95</v>
      </c>
      <c r="M883" s="3">
        <v>33</v>
      </c>
      <c r="N883" s="3">
        <v>14</v>
      </c>
      <c r="O883" s="3">
        <v>4</v>
      </c>
      <c r="P883" s="11">
        <f>Clean_Data[[#This Row],[Quantity]]*Clean_Data[[#This Row],[UnitPrice]]</f>
        <v>1100</v>
      </c>
      <c r="Q883" s="11">
        <f>ROUND(Clean_Data[[#This Row],[GrossSales]]*Clean_Data[[#This Row],[DiscountPct]],2)</f>
        <v>0</v>
      </c>
      <c r="R883" s="11">
        <f>IF(Clean_Data[[#This Row],[Status]]="Delivered",ROUND(Clean_Data[[#This Row],[GrossSales]]-Clean_Data[[#This Row],[DiscountAmount]],2),0)</f>
        <v>1100</v>
      </c>
      <c r="S883" s="3" t="str">
        <f>IF(Clean_Data[[#This Row],[OrderHour]]&lt;6,"Night",IF(Clean_Data[[#This Row],[OrderHour]]&lt;12,"Morning",IF(Clean_Data[[#This Row],[OrderHour]]&lt;18,"Afternoon","Evening")))</f>
        <v>Afternoon</v>
      </c>
      <c r="T883" s="3" t="str">
        <f>TEXT(Clean_Data[[#This Row],[OrderDate]],"[$-409]ddd")</f>
        <v>Wed</v>
      </c>
      <c r="U883" s="3">
        <f>WEEKDAY(Clean_Data[[#This Row],[OrderDate]],2)</f>
        <v>3</v>
      </c>
      <c r="V883" s="3">
        <f>INT(Clean_Data[[#This Row],[OrderHour]]/6)+1</f>
        <v>3</v>
      </c>
      <c r="W883" s="3">
        <f>IF(Clean_Data[[#This Row],[Status]]="Delivered",1,0)</f>
        <v>1</v>
      </c>
      <c r="X883" s="3">
        <f>IF(Clean_Data[[#This Row],[Status]]="Delivered",IF(Clean_Data[[#This Row],[DeliveryMinutes]]&lt;=Dashboard!$X$5,1,0),0)</f>
        <v>0</v>
      </c>
      <c r="Y88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3" s="3">
        <f>IF(AND(Clean_Data[[#This Row],[Include]]=1,Clean_Data[[#This Row],[DeliveredFlag]]=1),1,0)</f>
        <v>1</v>
      </c>
      <c r="AA883" s="1">
        <f>IF(COUNTIF($D$2:D883,D883)=1,ROW()-1,ROWS(Clean_Data[OrderID])+1)</f>
        <v>901</v>
      </c>
      <c r="AB883" s="1">
        <f>IF(COUNTIF($F$2:F883,F883)=1,ROW()-1,ROWS(Clean_Data[OrderID])+1)</f>
        <v>901</v>
      </c>
      <c r="AC883" s="1">
        <f>IF(COUNTIF($G$2:G883,G883)=1,ROW()-1,ROWS(Clean_Data[OrderID])+1)</f>
        <v>901</v>
      </c>
      <c r="AD883" s="1">
        <f>IF(COUNTIF($H$2:H883,H883)=1,ROW()-1,ROWS(Clean_Data[OrderID])+1)</f>
        <v>901</v>
      </c>
      <c r="AE883" s="1">
        <f>IF(COUNTIF($V$2:V883,V883)=1,V883,ROWS(Clean_Data[OrderID])+1)</f>
        <v>901</v>
      </c>
      <c r="AF883" s="1">
        <f>IF(COUNTIF($U$2:U883,U883)=1,U883,ROWS(Clean_Data[OrderID])+1)</f>
        <v>901</v>
      </c>
      <c r="AG883" s="1">
        <f>IF(COUNTIF($E$2:E883,E883)=1,ROW()-1,ROWS(Clean_Data[OrderID])+1)</f>
        <v>901</v>
      </c>
    </row>
    <row r="884" spans="1:33" ht="20" customHeight="1">
      <c r="A884" s="3" t="s">
        <v>1291</v>
      </c>
      <c r="B884" s="2">
        <v>46295</v>
      </c>
      <c r="C884" s="3">
        <v>18</v>
      </c>
      <c r="D884" s="3" t="s">
        <v>429</v>
      </c>
      <c r="E884" s="3" t="s">
        <v>91</v>
      </c>
      <c r="F884" s="3" t="s">
        <v>98</v>
      </c>
      <c r="G884" s="3" t="s">
        <v>99</v>
      </c>
      <c r="H884" s="3" t="s">
        <v>100</v>
      </c>
      <c r="I884" s="3">
        <v>5</v>
      </c>
      <c r="J884" s="11">
        <v>120</v>
      </c>
      <c r="K884" s="4">
        <v>0.15</v>
      </c>
      <c r="L884" s="3" t="s">
        <v>95</v>
      </c>
      <c r="M884" s="3">
        <v>23</v>
      </c>
      <c r="N884" s="3">
        <v>9</v>
      </c>
      <c r="O884" s="3">
        <v>5</v>
      </c>
      <c r="P884" s="11">
        <f>Clean_Data[[#This Row],[Quantity]]*Clean_Data[[#This Row],[UnitPrice]]</f>
        <v>600</v>
      </c>
      <c r="Q884" s="11">
        <f>ROUND(Clean_Data[[#This Row],[GrossSales]]*Clean_Data[[#This Row],[DiscountPct]],2)</f>
        <v>90</v>
      </c>
      <c r="R884" s="11">
        <f>IF(Clean_Data[[#This Row],[Status]]="Delivered",ROUND(Clean_Data[[#This Row],[GrossSales]]-Clean_Data[[#This Row],[DiscountAmount]],2),0)</f>
        <v>510</v>
      </c>
      <c r="S884" s="3" t="str">
        <f>IF(Clean_Data[[#This Row],[OrderHour]]&lt;6,"Night",IF(Clean_Data[[#This Row],[OrderHour]]&lt;12,"Morning",IF(Clean_Data[[#This Row],[OrderHour]]&lt;18,"Afternoon","Evening")))</f>
        <v>Evening</v>
      </c>
      <c r="T884" s="3" t="str">
        <f>TEXT(Clean_Data[[#This Row],[OrderDate]],"[$-409]ddd")</f>
        <v>Wed</v>
      </c>
      <c r="U884" s="3">
        <f>WEEKDAY(Clean_Data[[#This Row],[OrderDate]],2)</f>
        <v>3</v>
      </c>
      <c r="V884" s="3">
        <f>INT(Clean_Data[[#This Row],[OrderHour]]/6)+1</f>
        <v>4</v>
      </c>
      <c r="W884" s="3">
        <f>IF(Clean_Data[[#This Row],[Status]]="Delivered",1,0)</f>
        <v>1</v>
      </c>
      <c r="X884" s="3">
        <f>IF(Clean_Data[[#This Row],[Status]]="Delivered",IF(Clean_Data[[#This Row],[DeliveryMinutes]]&lt;=Dashboard!$X$5,1,0),0)</f>
        <v>1</v>
      </c>
      <c r="Y88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4" s="3">
        <f>IF(AND(Clean_Data[[#This Row],[Include]]=1,Clean_Data[[#This Row],[DeliveredFlag]]=1),1,0)</f>
        <v>1</v>
      </c>
      <c r="AA884" s="1">
        <f>IF(COUNTIF($D$2:D884,D884)=1,ROW()-1,ROWS(Clean_Data[OrderID])+1)</f>
        <v>901</v>
      </c>
      <c r="AB884" s="1">
        <f>IF(COUNTIF($F$2:F884,F884)=1,ROW()-1,ROWS(Clean_Data[OrderID])+1)</f>
        <v>901</v>
      </c>
      <c r="AC884" s="1">
        <f>IF(COUNTIF($G$2:G884,G884)=1,ROW()-1,ROWS(Clean_Data[OrderID])+1)</f>
        <v>901</v>
      </c>
      <c r="AD884" s="1">
        <f>IF(COUNTIF($H$2:H884,H884)=1,ROW()-1,ROWS(Clean_Data[OrderID])+1)</f>
        <v>901</v>
      </c>
      <c r="AE884" s="1">
        <f>IF(COUNTIF($V$2:V884,V884)=1,V884,ROWS(Clean_Data[OrderID])+1)</f>
        <v>901</v>
      </c>
      <c r="AF884" s="1">
        <f>IF(COUNTIF($U$2:U884,U884)=1,U884,ROWS(Clean_Data[OrderID])+1)</f>
        <v>901</v>
      </c>
      <c r="AG884" s="1">
        <f>IF(COUNTIF($E$2:E884,E884)=1,ROW()-1,ROWS(Clean_Data[OrderID])+1)</f>
        <v>901</v>
      </c>
    </row>
    <row r="885" spans="1:33" ht="20" customHeight="1">
      <c r="A885" s="3" t="s">
        <v>1292</v>
      </c>
      <c r="B885" s="2">
        <v>46295</v>
      </c>
      <c r="C885" s="3">
        <v>12</v>
      </c>
      <c r="D885" s="3" t="s">
        <v>406</v>
      </c>
      <c r="E885" s="3" t="s">
        <v>91</v>
      </c>
      <c r="F885" s="3" t="s">
        <v>121</v>
      </c>
      <c r="G885" s="3" t="s">
        <v>99</v>
      </c>
      <c r="H885" s="3" t="s">
        <v>130</v>
      </c>
      <c r="I885" s="3">
        <v>6</v>
      </c>
      <c r="J885" s="11">
        <v>85</v>
      </c>
      <c r="K885" s="4">
        <v>0</v>
      </c>
      <c r="L885" s="3" t="s">
        <v>95</v>
      </c>
      <c r="M885" s="3">
        <v>35</v>
      </c>
      <c r="N885" s="3">
        <v>5</v>
      </c>
      <c r="O885" s="3">
        <v>5</v>
      </c>
      <c r="P885" s="11">
        <f>Clean_Data[[#This Row],[Quantity]]*Clean_Data[[#This Row],[UnitPrice]]</f>
        <v>510</v>
      </c>
      <c r="Q885" s="11">
        <f>ROUND(Clean_Data[[#This Row],[GrossSales]]*Clean_Data[[#This Row],[DiscountPct]],2)</f>
        <v>0</v>
      </c>
      <c r="R885" s="11">
        <f>IF(Clean_Data[[#This Row],[Status]]="Delivered",ROUND(Clean_Data[[#This Row],[GrossSales]]-Clean_Data[[#This Row],[DiscountAmount]],2),0)</f>
        <v>510</v>
      </c>
      <c r="S885" s="3" t="str">
        <f>IF(Clean_Data[[#This Row],[OrderHour]]&lt;6,"Night",IF(Clean_Data[[#This Row],[OrderHour]]&lt;12,"Morning",IF(Clean_Data[[#This Row],[OrderHour]]&lt;18,"Afternoon","Evening")))</f>
        <v>Afternoon</v>
      </c>
      <c r="T885" s="3" t="str">
        <f>TEXT(Clean_Data[[#This Row],[OrderDate]],"[$-409]ddd")</f>
        <v>Wed</v>
      </c>
      <c r="U885" s="3">
        <f>WEEKDAY(Clean_Data[[#This Row],[OrderDate]],2)</f>
        <v>3</v>
      </c>
      <c r="V885" s="3">
        <f>INT(Clean_Data[[#This Row],[OrderHour]]/6)+1</f>
        <v>3</v>
      </c>
      <c r="W885" s="3">
        <f>IF(Clean_Data[[#This Row],[Status]]="Delivered",1,0)</f>
        <v>1</v>
      </c>
      <c r="X885" s="3">
        <f>IF(Clean_Data[[#This Row],[Status]]="Delivered",IF(Clean_Data[[#This Row],[DeliveryMinutes]]&lt;=Dashboard!$X$5,1,0),0)</f>
        <v>0</v>
      </c>
      <c r="Y88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5" s="3">
        <f>IF(AND(Clean_Data[[#This Row],[Include]]=1,Clean_Data[[#This Row],[DeliveredFlag]]=1),1,0)</f>
        <v>1</v>
      </c>
      <c r="AA885" s="1">
        <f>IF(COUNTIF($D$2:D885,D885)=1,ROW()-1,ROWS(Clean_Data[OrderID])+1)</f>
        <v>901</v>
      </c>
      <c r="AB885" s="1">
        <f>IF(COUNTIF($F$2:F885,F885)=1,ROW()-1,ROWS(Clean_Data[OrderID])+1)</f>
        <v>901</v>
      </c>
      <c r="AC885" s="1">
        <f>IF(COUNTIF($G$2:G885,G885)=1,ROW()-1,ROWS(Clean_Data[OrderID])+1)</f>
        <v>901</v>
      </c>
      <c r="AD885" s="1">
        <f>IF(COUNTIF($H$2:H885,H885)=1,ROW()-1,ROWS(Clean_Data[OrderID])+1)</f>
        <v>901</v>
      </c>
      <c r="AE885" s="1">
        <f>IF(COUNTIF($V$2:V885,V885)=1,V885,ROWS(Clean_Data[OrderID])+1)</f>
        <v>901</v>
      </c>
      <c r="AF885" s="1">
        <f>IF(COUNTIF($U$2:U885,U885)=1,U885,ROWS(Clean_Data[OrderID])+1)</f>
        <v>901</v>
      </c>
      <c r="AG885" s="1">
        <f>IF(COUNTIF($E$2:E885,E885)=1,ROW()-1,ROWS(Clean_Data[OrderID])+1)</f>
        <v>901</v>
      </c>
    </row>
    <row r="886" spans="1:33" ht="20" customHeight="1">
      <c r="A886" s="3" t="s">
        <v>1293</v>
      </c>
      <c r="B886" s="2">
        <v>46295</v>
      </c>
      <c r="C886" s="3">
        <v>21</v>
      </c>
      <c r="D886" s="3" t="s">
        <v>406</v>
      </c>
      <c r="E886" s="3" t="s">
        <v>91</v>
      </c>
      <c r="F886" s="3" t="s">
        <v>121</v>
      </c>
      <c r="G886" s="3" t="s">
        <v>99</v>
      </c>
      <c r="H886" s="3" t="s">
        <v>130</v>
      </c>
      <c r="I886" s="3">
        <v>3</v>
      </c>
      <c r="J886" s="11">
        <v>85</v>
      </c>
      <c r="K886" s="4">
        <v>0.05</v>
      </c>
      <c r="L886" s="3" t="s">
        <v>95</v>
      </c>
      <c r="M886" s="3">
        <v>28</v>
      </c>
      <c r="N886" s="3">
        <v>10</v>
      </c>
      <c r="O886" s="3">
        <v>4</v>
      </c>
      <c r="P886" s="11">
        <f>Clean_Data[[#This Row],[Quantity]]*Clean_Data[[#This Row],[UnitPrice]]</f>
        <v>255</v>
      </c>
      <c r="Q886" s="11">
        <f>ROUND(Clean_Data[[#This Row],[GrossSales]]*Clean_Data[[#This Row],[DiscountPct]],2)</f>
        <v>12.75</v>
      </c>
      <c r="R886" s="11">
        <f>IF(Clean_Data[[#This Row],[Status]]="Delivered",ROUND(Clean_Data[[#This Row],[GrossSales]]-Clean_Data[[#This Row],[DiscountAmount]],2),0)</f>
        <v>242.25</v>
      </c>
      <c r="S886" s="3" t="str">
        <f>IF(Clean_Data[[#This Row],[OrderHour]]&lt;6,"Night",IF(Clean_Data[[#This Row],[OrderHour]]&lt;12,"Morning",IF(Clean_Data[[#This Row],[OrderHour]]&lt;18,"Afternoon","Evening")))</f>
        <v>Evening</v>
      </c>
      <c r="T886" s="3" t="str">
        <f>TEXT(Clean_Data[[#This Row],[OrderDate]],"[$-409]ddd")</f>
        <v>Wed</v>
      </c>
      <c r="U886" s="3">
        <f>WEEKDAY(Clean_Data[[#This Row],[OrderDate]],2)</f>
        <v>3</v>
      </c>
      <c r="V886" s="3">
        <f>INT(Clean_Data[[#This Row],[OrderHour]]/6)+1</f>
        <v>4</v>
      </c>
      <c r="W886" s="3">
        <f>IF(Clean_Data[[#This Row],[Status]]="Delivered",1,0)</f>
        <v>1</v>
      </c>
      <c r="X886" s="3">
        <f>IF(Clean_Data[[#This Row],[Status]]="Delivered",IF(Clean_Data[[#This Row],[DeliveryMinutes]]&lt;=Dashboard!$X$5,1,0),0)</f>
        <v>1</v>
      </c>
      <c r="Y88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6" s="3">
        <f>IF(AND(Clean_Data[[#This Row],[Include]]=1,Clean_Data[[#This Row],[DeliveredFlag]]=1),1,0)</f>
        <v>1</v>
      </c>
      <c r="AA886" s="1">
        <f>IF(COUNTIF($D$2:D886,D886)=1,ROW()-1,ROWS(Clean_Data[OrderID])+1)</f>
        <v>901</v>
      </c>
      <c r="AB886" s="1">
        <f>IF(COUNTIF($F$2:F886,F886)=1,ROW()-1,ROWS(Clean_Data[OrderID])+1)</f>
        <v>901</v>
      </c>
      <c r="AC886" s="1">
        <f>IF(COUNTIF($G$2:G886,G886)=1,ROW()-1,ROWS(Clean_Data[OrderID])+1)</f>
        <v>901</v>
      </c>
      <c r="AD886" s="1">
        <f>IF(COUNTIF($H$2:H886,H886)=1,ROW()-1,ROWS(Clean_Data[OrderID])+1)</f>
        <v>901</v>
      </c>
      <c r="AE886" s="1">
        <f>IF(COUNTIF($V$2:V886,V886)=1,V886,ROWS(Clean_Data[OrderID])+1)</f>
        <v>901</v>
      </c>
      <c r="AF886" s="1">
        <f>IF(COUNTIF($U$2:U886,U886)=1,U886,ROWS(Clean_Data[OrderID])+1)</f>
        <v>901</v>
      </c>
      <c r="AG886" s="1">
        <f>IF(COUNTIF($E$2:E886,E886)=1,ROW()-1,ROWS(Clean_Data[OrderID])+1)</f>
        <v>901</v>
      </c>
    </row>
    <row r="887" spans="1:33" ht="20" customHeight="1">
      <c r="A887" s="3" t="s">
        <v>1294</v>
      </c>
      <c r="B887" s="2">
        <v>46295</v>
      </c>
      <c r="C887" s="3">
        <v>10</v>
      </c>
      <c r="D887" s="3" t="s">
        <v>401</v>
      </c>
      <c r="E887" s="3" t="s">
        <v>91</v>
      </c>
      <c r="F887" s="3" t="s">
        <v>109</v>
      </c>
      <c r="G887" s="3" t="s">
        <v>110</v>
      </c>
      <c r="H887" s="3" t="s">
        <v>206</v>
      </c>
      <c r="I887" s="3">
        <v>4</v>
      </c>
      <c r="J887" s="11">
        <v>220</v>
      </c>
      <c r="K887" s="4">
        <v>0</v>
      </c>
      <c r="L887" s="3" t="s">
        <v>95</v>
      </c>
      <c r="M887" s="3">
        <v>33</v>
      </c>
      <c r="N887" s="3">
        <v>9</v>
      </c>
      <c r="O887" s="3">
        <v>4</v>
      </c>
      <c r="P887" s="11">
        <f>Clean_Data[[#This Row],[Quantity]]*Clean_Data[[#This Row],[UnitPrice]]</f>
        <v>880</v>
      </c>
      <c r="Q887" s="11">
        <f>ROUND(Clean_Data[[#This Row],[GrossSales]]*Clean_Data[[#This Row],[DiscountPct]],2)</f>
        <v>0</v>
      </c>
      <c r="R887" s="11">
        <f>IF(Clean_Data[[#This Row],[Status]]="Delivered",ROUND(Clean_Data[[#This Row],[GrossSales]]-Clean_Data[[#This Row],[DiscountAmount]],2),0)</f>
        <v>880</v>
      </c>
      <c r="S887" s="3" t="str">
        <f>IF(Clean_Data[[#This Row],[OrderHour]]&lt;6,"Night",IF(Clean_Data[[#This Row],[OrderHour]]&lt;12,"Morning",IF(Clean_Data[[#This Row],[OrderHour]]&lt;18,"Afternoon","Evening")))</f>
        <v>Morning</v>
      </c>
      <c r="T887" s="3" t="str">
        <f>TEXT(Clean_Data[[#This Row],[OrderDate]],"[$-409]ddd")</f>
        <v>Wed</v>
      </c>
      <c r="U887" s="3">
        <f>WEEKDAY(Clean_Data[[#This Row],[OrderDate]],2)</f>
        <v>3</v>
      </c>
      <c r="V887" s="3">
        <f>INT(Clean_Data[[#This Row],[OrderHour]]/6)+1</f>
        <v>2</v>
      </c>
      <c r="W887" s="3">
        <f>IF(Clean_Data[[#This Row],[Status]]="Delivered",1,0)</f>
        <v>1</v>
      </c>
      <c r="X887" s="3">
        <f>IF(Clean_Data[[#This Row],[Status]]="Delivered",IF(Clean_Data[[#This Row],[DeliveryMinutes]]&lt;=Dashboard!$X$5,1,0),0)</f>
        <v>0</v>
      </c>
      <c r="Y88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7" s="3">
        <f>IF(AND(Clean_Data[[#This Row],[Include]]=1,Clean_Data[[#This Row],[DeliveredFlag]]=1),1,0)</f>
        <v>1</v>
      </c>
      <c r="AA887" s="1">
        <f>IF(COUNTIF($D$2:D887,D887)=1,ROW()-1,ROWS(Clean_Data[OrderID])+1)</f>
        <v>901</v>
      </c>
      <c r="AB887" s="1">
        <f>IF(COUNTIF($F$2:F887,F887)=1,ROW()-1,ROWS(Clean_Data[OrderID])+1)</f>
        <v>901</v>
      </c>
      <c r="AC887" s="1">
        <f>IF(COUNTIF($G$2:G887,G887)=1,ROW()-1,ROWS(Clean_Data[OrderID])+1)</f>
        <v>901</v>
      </c>
      <c r="AD887" s="1">
        <f>IF(COUNTIF($H$2:H887,H887)=1,ROW()-1,ROWS(Clean_Data[OrderID])+1)</f>
        <v>901</v>
      </c>
      <c r="AE887" s="1">
        <f>IF(COUNTIF($V$2:V887,V887)=1,V887,ROWS(Clean_Data[OrderID])+1)</f>
        <v>901</v>
      </c>
      <c r="AF887" s="1">
        <f>IF(COUNTIF($U$2:U887,U887)=1,U887,ROWS(Clean_Data[OrderID])+1)</f>
        <v>901</v>
      </c>
      <c r="AG887" s="1">
        <f>IF(COUNTIF($E$2:E887,E887)=1,ROW()-1,ROWS(Clean_Data[OrderID])+1)</f>
        <v>901</v>
      </c>
    </row>
    <row r="888" spans="1:33" ht="20" customHeight="1">
      <c r="A888" s="3" t="s">
        <v>1295</v>
      </c>
      <c r="B888" s="2">
        <v>46295</v>
      </c>
      <c r="C888" s="3">
        <v>17</v>
      </c>
      <c r="D888" s="3" t="s">
        <v>244</v>
      </c>
      <c r="E888" s="3" t="s">
        <v>117</v>
      </c>
      <c r="F888" s="3" t="s">
        <v>139</v>
      </c>
      <c r="G888" s="3" t="s">
        <v>99</v>
      </c>
      <c r="H888" s="3" t="s">
        <v>130</v>
      </c>
      <c r="I888" s="3">
        <v>2</v>
      </c>
      <c r="J888" s="11">
        <v>85</v>
      </c>
      <c r="K888" s="4">
        <v>0</v>
      </c>
      <c r="L888" s="3" t="s">
        <v>95</v>
      </c>
      <c r="M888" s="3">
        <v>18</v>
      </c>
      <c r="N888" s="3">
        <v>6</v>
      </c>
      <c r="O888" s="3">
        <v>5</v>
      </c>
      <c r="P888" s="11">
        <f>Clean_Data[[#This Row],[Quantity]]*Clean_Data[[#This Row],[UnitPrice]]</f>
        <v>170</v>
      </c>
      <c r="Q888" s="11">
        <f>ROUND(Clean_Data[[#This Row],[GrossSales]]*Clean_Data[[#This Row],[DiscountPct]],2)</f>
        <v>0</v>
      </c>
      <c r="R888" s="11">
        <f>IF(Clean_Data[[#This Row],[Status]]="Delivered",ROUND(Clean_Data[[#This Row],[GrossSales]]-Clean_Data[[#This Row],[DiscountAmount]],2),0)</f>
        <v>170</v>
      </c>
      <c r="S888" s="3" t="str">
        <f>IF(Clean_Data[[#This Row],[OrderHour]]&lt;6,"Night",IF(Clean_Data[[#This Row],[OrderHour]]&lt;12,"Morning",IF(Clean_Data[[#This Row],[OrderHour]]&lt;18,"Afternoon","Evening")))</f>
        <v>Afternoon</v>
      </c>
      <c r="T888" s="3" t="str">
        <f>TEXT(Clean_Data[[#This Row],[OrderDate]],"[$-409]ddd")</f>
        <v>Wed</v>
      </c>
      <c r="U888" s="3">
        <f>WEEKDAY(Clean_Data[[#This Row],[OrderDate]],2)</f>
        <v>3</v>
      </c>
      <c r="V888" s="3">
        <f>INT(Clean_Data[[#This Row],[OrderHour]]/6)+1</f>
        <v>3</v>
      </c>
      <c r="W888" s="3">
        <f>IF(Clean_Data[[#This Row],[Status]]="Delivered",1,0)</f>
        <v>1</v>
      </c>
      <c r="X888" s="3">
        <f>IF(Clean_Data[[#This Row],[Status]]="Delivered",IF(Clean_Data[[#This Row],[DeliveryMinutes]]&lt;=Dashboard!$X$5,1,0),0)</f>
        <v>1</v>
      </c>
      <c r="Y88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8" s="3">
        <f>IF(AND(Clean_Data[[#This Row],[Include]]=1,Clean_Data[[#This Row],[DeliveredFlag]]=1),1,0)</f>
        <v>1</v>
      </c>
      <c r="AA888" s="1">
        <f>IF(COUNTIF($D$2:D888,D888)=1,ROW()-1,ROWS(Clean_Data[OrderID])+1)</f>
        <v>901</v>
      </c>
      <c r="AB888" s="1">
        <f>IF(COUNTIF($F$2:F888,F888)=1,ROW()-1,ROWS(Clean_Data[OrderID])+1)</f>
        <v>901</v>
      </c>
      <c r="AC888" s="1">
        <f>IF(COUNTIF($G$2:G888,G888)=1,ROW()-1,ROWS(Clean_Data[OrderID])+1)</f>
        <v>901</v>
      </c>
      <c r="AD888" s="1">
        <f>IF(COUNTIF($H$2:H888,H888)=1,ROW()-1,ROWS(Clean_Data[OrderID])+1)</f>
        <v>901</v>
      </c>
      <c r="AE888" s="1">
        <f>IF(COUNTIF($V$2:V888,V888)=1,V888,ROWS(Clean_Data[OrderID])+1)</f>
        <v>901</v>
      </c>
      <c r="AF888" s="1">
        <f>IF(COUNTIF($U$2:U888,U888)=1,U888,ROWS(Clean_Data[OrderID])+1)</f>
        <v>901</v>
      </c>
      <c r="AG888" s="1">
        <f>IF(COUNTIF($E$2:E888,E888)=1,ROW()-1,ROWS(Clean_Data[OrderID])+1)</f>
        <v>901</v>
      </c>
    </row>
    <row r="889" spans="1:33" ht="20" customHeight="1">
      <c r="A889" s="3" t="s">
        <v>1296</v>
      </c>
      <c r="B889" s="2">
        <v>46295</v>
      </c>
      <c r="C889" s="3">
        <v>8</v>
      </c>
      <c r="D889" s="3" t="s">
        <v>406</v>
      </c>
      <c r="E889" s="3" t="s">
        <v>91</v>
      </c>
      <c r="F889" s="3" t="s">
        <v>98</v>
      </c>
      <c r="G889" s="3" t="s">
        <v>135</v>
      </c>
      <c r="H889" s="3" t="s">
        <v>217</v>
      </c>
      <c r="I889" s="3">
        <v>6</v>
      </c>
      <c r="J889" s="11">
        <v>65</v>
      </c>
      <c r="K889" s="4">
        <v>0.1</v>
      </c>
      <c r="L889" s="3" t="s">
        <v>95</v>
      </c>
      <c r="M889" s="3">
        <v>35</v>
      </c>
      <c r="N889" s="3">
        <v>6</v>
      </c>
      <c r="O889" s="3">
        <v>4</v>
      </c>
      <c r="P889" s="11">
        <f>Clean_Data[[#This Row],[Quantity]]*Clean_Data[[#This Row],[UnitPrice]]</f>
        <v>390</v>
      </c>
      <c r="Q889" s="11">
        <f>ROUND(Clean_Data[[#This Row],[GrossSales]]*Clean_Data[[#This Row],[DiscountPct]],2)</f>
        <v>39</v>
      </c>
      <c r="R889" s="11">
        <f>IF(Clean_Data[[#This Row],[Status]]="Delivered",ROUND(Clean_Data[[#This Row],[GrossSales]]-Clean_Data[[#This Row],[DiscountAmount]],2),0)</f>
        <v>351</v>
      </c>
      <c r="S889" s="3" t="str">
        <f>IF(Clean_Data[[#This Row],[OrderHour]]&lt;6,"Night",IF(Clean_Data[[#This Row],[OrderHour]]&lt;12,"Morning",IF(Clean_Data[[#This Row],[OrderHour]]&lt;18,"Afternoon","Evening")))</f>
        <v>Morning</v>
      </c>
      <c r="T889" s="3" t="str">
        <f>TEXT(Clean_Data[[#This Row],[OrderDate]],"[$-409]ddd")</f>
        <v>Wed</v>
      </c>
      <c r="U889" s="3">
        <f>WEEKDAY(Clean_Data[[#This Row],[OrderDate]],2)</f>
        <v>3</v>
      </c>
      <c r="V889" s="3">
        <f>INT(Clean_Data[[#This Row],[OrderHour]]/6)+1</f>
        <v>2</v>
      </c>
      <c r="W889" s="3">
        <f>IF(Clean_Data[[#This Row],[Status]]="Delivered",1,0)</f>
        <v>1</v>
      </c>
      <c r="X889" s="3">
        <f>IF(Clean_Data[[#This Row],[Status]]="Delivered",IF(Clean_Data[[#This Row],[DeliveryMinutes]]&lt;=Dashboard!$X$5,1,0),0)</f>
        <v>0</v>
      </c>
      <c r="Y88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89" s="3">
        <f>IF(AND(Clean_Data[[#This Row],[Include]]=1,Clean_Data[[#This Row],[DeliveredFlag]]=1),1,0)</f>
        <v>1</v>
      </c>
      <c r="AA889" s="1">
        <f>IF(COUNTIF($D$2:D889,D889)=1,ROW()-1,ROWS(Clean_Data[OrderID])+1)</f>
        <v>901</v>
      </c>
      <c r="AB889" s="1">
        <f>IF(COUNTIF($F$2:F889,F889)=1,ROW()-1,ROWS(Clean_Data[OrderID])+1)</f>
        <v>901</v>
      </c>
      <c r="AC889" s="1">
        <f>IF(COUNTIF($G$2:G889,G889)=1,ROW()-1,ROWS(Clean_Data[OrderID])+1)</f>
        <v>901</v>
      </c>
      <c r="AD889" s="1">
        <f>IF(COUNTIF($H$2:H889,H889)=1,ROW()-1,ROWS(Clean_Data[OrderID])+1)</f>
        <v>901</v>
      </c>
      <c r="AE889" s="1">
        <f>IF(COUNTIF($V$2:V889,V889)=1,V889,ROWS(Clean_Data[OrderID])+1)</f>
        <v>901</v>
      </c>
      <c r="AF889" s="1">
        <f>IF(COUNTIF($U$2:U889,U889)=1,U889,ROWS(Clean_Data[OrderID])+1)</f>
        <v>901</v>
      </c>
      <c r="AG889" s="1">
        <f>IF(COUNTIF($E$2:E889,E889)=1,ROW()-1,ROWS(Clean_Data[OrderID])+1)</f>
        <v>901</v>
      </c>
    </row>
    <row r="890" spans="1:33" ht="20" customHeight="1">
      <c r="A890" s="3" t="s">
        <v>1297</v>
      </c>
      <c r="B890" s="2">
        <v>46295</v>
      </c>
      <c r="C890" s="3">
        <v>22</v>
      </c>
      <c r="D890" s="3" t="s">
        <v>1061</v>
      </c>
      <c r="E890" s="3" t="s">
        <v>91</v>
      </c>
      <c r="F890" s="3" t="s">
        <v>98</v>
      </c>
      <c r="G890" s="3" t="s">
        <v>122</v>
      </c>
      <c r="H890" s="3" t="s">
        <v>123</v>
      </c>
      <c r="I890" s="3">
        <v>6</v>
      </c>
      <c r="J890" s="11">
        <v>45</v>
      </c>
      <c r="K890" s="4">
        <v>0</v>
      </c>
      <c r="L890" s="3" t="s">
        <v>95</v>
      </c>
      <c r="M890" s="3">
        <v>32</v>
      </c>
      <c r="N890" s="3">
        <v>12</v>
      </c>
      <c r="O890" s="3">
        <v>4</v>
      </c>
      <c r="P890" s="11">
        <f>Clean_Data[[#This Row],[Quantity]]*Clean_Data[[#This Row],[UnitPrice]]</f>
        <v>270</v>
      </c>
      <c r="Q890" s="11">
        <f>ROUND(Clean_Data[[#This Row],[GrossSales]]*Clean_Data[[#This Row],[DiscountPct]],2)</f>
        <v>0</v>
      </c>
      <c r="R890" s="11">
        <f>IF(Clean_Data[[#This Row],[Status]]="Delivered",ROUND(Clean_Data[[#This Row],[GrossSales]]-Clean_Data[[#This Row],[DiscountAmount]],2),0)</f>
        <v>270</v>
      </c>
      <c r="S890" s="3" t="str">
        <f>IF(Clean_Data[[#This Row],[OrderHour]]&lt;6,"Night",IF(Clean_Data[[#This Row],[OrderHour]]&lt;12,"Morning",IF(Clean_Data[[#This Row],[OrderHour]]&lt;18,"Afternoon","Evening")))</f>
        <v>Evening</v>
      </c>
      <c r="T890" s="3" t="str">
        <f>TEXT(Clean_Data[[#This Row],[OrderDate]],"[$-409]ddd")</f>
        <v>Wed</v>
      </c>
      <c r="U890" s="3">
        <f>WEEKDAY(Clean_Data[[#This Row],[OrderDate]],2)</f>
        <v>3</v>
      </c>
      <c r="V890" s="3">
        <f>INT(Clean_Data[[#This Row],[OrderHour]]/6)+1</f>
        <v>4</v>
      </c>
      <c r="W890" s="3">
        <f>IF(Clean_Data[[#This Row],[Status]]="Delivered",1,0)</f>
        <v>1</v>
      </c>
      <c r="X890" s="3">
        <f>IF(Clean_Data[[#This Row],[Status]]="Delivered",IF(Clean_Data[[#This Row],[DeliveryMinutes]]&lt;=Dashboard!$X$5,1,0),0)</f>
        <v>0</v>
      </c>
      <c r="Y89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0" s="3">
        <f>IF(AND(Clean_Data[[#This Row],[Include]]=1,Clean_Data[[#This Row],[DeliveredFlag]]=1),1,0)</f>
        <v>1</v>
      </c>
      <c r="AA890" s="1">
        <f>IF(COUNTIF($D$2:D890,D890)=1,ROW()-1,ROWS(Clean_Data[OrderID])+1)</f>
        <v>901</v>
      </c>
      <c r="AB890" s="1">
        <f>IF(COUNTIF($F$2:F890,F890)=1,ROW()-1,ROWS(Clean_Data[OrderID])+1)</f>
        <v>901</v>
      </c>
      <c r="AC890" s="1">
        <f>IF(COUNTIF($G$2:G890,G890)=1,ROW()-1,ROWS(Clean_Data[OrderID])+1)</f>
        <v>901</v>
      </c>
      <c r="AD890" s="1">
        <f>IF(COUNTIF($H$2:H890,H890)=1,ROW()-1,ROWS(Clean_Data[OrderID])+1)</f>
        <v>901</v>
      </c>
      <c r="AE890" s="1">
        <f>IF(COUNTIF($V$2:V890,V890)=1,V890,ROWS(Clean_Data[OrderID])+1)</f>
        <v>901</v>
      </c>
      <c r="AF890" s="1">
        <f>IF(COUNTIF($U$2:U890,U890)=1,U890,ROWS(Clean_Data[OrderID])+1)</f>
        <v>901</v>
      </c>
      <c r="AG890" s="1">
        <f>IF(COUNTIF($E$2:E890,E890)=1,ROW()-1,ROWS(Clean_Data[OrderID])+1)</f>
        <v>901</v>
      </c>
    </row>
    <row r="891" spans="1:33" ht="20" customHeight="1">
      <c r="A891" s="3" t="s">
        <v>1298</v>
      </c>
      <c r="B891" s="2">
        <v>46295</v>
      </c>
      <c r="C891" s="3">
        <v>8</v>
      </c>
      <c r="D891" s="3" t="s">
        <v>265</v>
      </c>
      <c r="E891" s="3" t="s">
        <v>117</v>
      </c>
      <c r="F891" s="3" t="s">
        <v>98</v>
      </c>
      <c r="G891" s="3" t="s">
        <v>93</v>
      </c>
      <c r="H891" s="3" t="s">
        <v>118</v>
      </c>
      <c r="I891" s="3">
        <v>1</v>
      </c>
      <c r="J891" s="11">
        <v>45</v>
      </c>
      <c r="K891" s="4">
        <v>0.05</v>
      </c>
      <c r="L891" s="3" t="s">
        <v>95</v>
      </c>
      <c r="M891" s="3">
        <v>16</v>
      </c>
      <c r="N891" s="3">
        <v>6</v>
      </c>
      <c r="O891" s="3">
        <v>4</v>
      </c>
      <c r="P891" s="11">
        <f>Clean_Data[[#This Row],[Quantity]]*Clean_Data[[#This Row],[UnitPrice]]</f>
        <v>45</v>
      </c>
      <c r="Q891" s="11">
        <f>ROUND(Clean_Data[[#This Row],[GrossSales]]*Clean_Data[[#This Row],[DiscountPct]],2)</f>
        <v>2.25</v>
      </c>
      <c r="R891" s="11">
        <f>IF(Clean_Data[[#This Row],[Status]]="Delivered",ROUND(Clean_Data[[#This Row],[GrossSales]]-Clean_Data[[#This Row],[DiscountAmount]],2),0)</f>
        <v>42.75</v>
      </c>
      <c r="S891" s="3" t="str">
        <f>IF(Clean_Data[[#This Row],[OrderHour]]&lt;6,"Night",IF(Clean_Data[[#This Row],[OrderHour]]&lt;12,"Morning",IF(Clean_Data[[#This Row],[OrderHour]]&lt;18,"Afternoon","Evening")))</f>
        <v>Morning</v>
      </c>
      <c r="T891" s="3" t="str">
        <f>TEXT(Clean_Data[[#This Row],[OrderDate]],"[$-409]ddd")</f>
        <v>Wed</v>
      </c>
      <c r="U891" s="3">
        <f>WEEKDAY(Clean_Data[[#This Row],[OrderDate]],2)</f>
        <v>3</v>
      </c>
      <c r="V891" s="3">
        <f>INT(Clean_Data[[#This Row],[OrderHour]]/6)+1</f>
        <v>2</v>
      </c>
      <c r="W891" s="3">
        <f>IF(Clean_Data[[#This Row],[Status]]="Delivered",1,0)</f>
        <v>1</v>
      </c>
      <c r="X891" s="3">
        <f>IF(Clean_Data[[#This Row],[Status]]="Delivered",IF(Clean_Data[[#This Row],[DeliveryMinutes]]&lt;=Dashboard!$X$5,1,0),0)</f>
        <v>1</v>
      </c>
      <c r="Y89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1" s="3">
        <f>IF(AND(Clean_Data[[#This Row],[Include]]=1,Clean_Data[[#This Row],[DeliveredFlag]]=1),1,0)</f>
        <v>1</v>
      </c>
      <c r="AA891" s="1">
        <f>IF(COUNTIF($D$2:D891,D891)=1,ROW()-1,ROWS(Clean_Data[OrderID])+1)</f>
        <v>901</v>
      </c>
      <c r="AB891" s="1">
        <f>IF(COUNTIF($F$2:F891,F891)=1,ROW()-1,ROWS(Clean_Data[OrderID])+1)</f>
        <v>901</v>
      </c>
      <c r="AC891" s="1">
        <f>IF(COUNTIF($G$2:G891,G891)=1,ROW()-1,ROWS(Clean_Data[OrderID])+1)</f>
        <v>901</v>
      </c>
      <c r="AD891" s="1">
        <f>IF(COUNTIF($H$2:H891,H891)=1,ROW()-1,ROWS(Clean_Data[OrderID])+1)</f>
        <v>901</v>
      </c>
      <c r="AE891" s="1">
        <f>IF(COUNTIF($V$2:V891,V891)=1,V891,ROWS(Clean_Data[OrderID])+1)</f>
        <v>901</v>
      </c>
      <c r="AF891" s="1">
        <f>IF(COUNTIF($U$2:U891,U891)=1,U891,ROWS(Clean_Data[OrderID])+1)</f>
        <v>901</v>
      </c>
      <c r="AG891" s="1">
        <f>IF(COUNTIF($E$2:E891,E891)=1,ROW()-1,ROWS(Clean_Data[OrderID])+1)</f>
        <v>901</v>
      </c>
    </row>
    <row r="892" spans="1:33" ht="20" customHeight="1">
      <c r="A892" s="3" t="s">
        <v>1299</v>
      </c>
      <c r="B892" s="2">
        <v>46295</v>
      </c>
      <c r="C892" s="3">
        <v>21</v>
      </c>
      <c r="D892" s="3" t="s">
        <v>479</v>
      </c>
      <c r="E892" s="3" t="s">
        <v>117</v>
      </c>
      <c r="F892" s="3" t="s">
        <v>98</v>
      </c>
      <c r="G892" s="3" t="s">
        <v>93</v>
      </c>
      <c r="H892" s="3" t="s">
        <v>118</v>
      </c>
      <c r="I892" s="3">
        <v>3</v>
      </c>
      <c r="J892" s="11">
        <v>45</v>
      </c>
      <c r="K892" s="4">
        <v>0</v>
      </c>
      <c r="L892" s="3" t="s">
        <v>95</v>
      </c>
      <c r="M892" s="3">
        <v>12</v>
      </c>
      <c r="N892" s="3">
        <v>10</v>
      </c>
      <c r="O892" s="3">
        <v>4</v>
      </c>
      <c r="P892" s="11">
        <f>Clean_Data[[#This Row],[Quantity]]*Clean_Data[[#This Row],[UnitPrice]]</f>
        <v>135</v>
      </c>
      <c r="Q892" s="11">
        <f>ROUND(Clean_Data[[#This Row],[GrossSales]]*Clean_Data[[#This Row],[DiscountPct]],2)</f>
        <v>0</v>
      </c>
      <c r="R892" s="11">
        <f>IF(Clean_Data[[#This Row],[Status]]="Delivered",ROUND(Clean_Data[[#This Row],[GrossSales]]-Clean_Data[[#This Row],[DiscountAmount]],2),0)</f>
        <v>135</v>
      </c>
      <c r="S892" s="3" t="str">
        <f>IF(Clean_Data[[#This Row],[OrderHour]]&lt;6,"Night",IF(Clean_Data[[#This Row],[OrderHour]]&lt;12,"Morning",IF(Clean_Data[[#This Row],[OrderHour]]&lt;18,"Afternoon","Evening")))</f>
        <v>Evening</v>
      </c>
      <c r="T892" s="3" t="str">
        <f>TEXT(Clean_Data[[#This Row],[OrderDate]],"[$-409]ddd")</f>
        <v>Wed</v>
      </c>
      <c r="U892" s="3">
        <f>WEEKDAY(Clean_Data[[#This Row],[OrderDate]],2)</f>
        <v>3</v>
      </c>
      <c r="V892" s="3">
        <f>INT(Clean_Data[[#This Row],[OrderHour]]/6)+1</f>
        <v>4</v>
      </c>
      <c r="W892" s="3">
        <f>IF(Clean_Data[[#This Row],[Status]]="Delivered",1,0)</f>
        <v>1</v>
      </c>
      <c r="X892" s="3">
        <f>IF(Clean_Data[[#This Row],[Status]]="Delivered",IF(Clean_Data[[#This Row],[DeliveryMinutes]]&lt;=Dashboard!$X$5,1,0),0)</f>
        <v>1</v>
      </c>
      <c r="Y892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2" s="3">
        <f>IF(AND(Clean_Data[[#This Row],[Include]]=1,Clean_Data[[#This Row],[DeliveredFlag]]=1),1,0)</f>
        <v>1</v>
      </c>
      <c r="AA892" s="1">
        <f>IF(COUNTIF($D$2:D892,D892)=1,ROW()-1,ROWS(Clean_Data[OrderID])+1)</f>
        <v>901</v>
      </c>
      <c r="AB892" s="1">
        <f>IF(COUNTIF($F$2:F892,F892)=1,ROW()-1,ROWS(Clean_Data[OrderID])+1)</f>
        <v>901</v>
      </c>
      <c r="AC892" s="1">
        <f>IF(COUNTIF($G$2:G892,G892)=1,ROW()-1,ROWS(Clean_Data[OrderID])+1)</f>
        <v>901</v>
      </c>
      <c r="AD892" s="1">
        <f>IF(COUNTIF($H$2:H892,H892)=1,ROW()-1,ROWS(Clean_Data[OrderID])+1)</f>
        <v>901</v>
      </c>
      <c r="AE892" s="1">
        <f>IF(COUNTIF($V$2:V892,V892)=1,V892,ROWS(Clean_Data[OrderID])+1)</f>
        <v>901</v>
      </c>
      <c r="AF892" s="1">
        <f>IF(COUNTIF($U$2:U892,U892)=1,U892,ROWS(Clean_Data[OrderID])+1)</f>
        <v>901</v>
      </c>
      <c r="AG892" s="1">
        <f>IF(COUNTIF($E$2:E892,E892)=1,ROW()-1,ROWS(Clean_Data[OrderID])+1)</f>
        <v>901</v>
      </c>
    </row>
    <row r="893" spans="1:33" ht="20" customHeight="1">
      <c r="A893" s="3" t="s">
        <v>1300</v>
      </c>
      <c r="B893" s="2">
        <v>46295</v>
      </c>
      <c r="C893" s="3">
        <v>13</v>
      </c>
      <c r="D893" s="3" t="s">
        <v>1301</v>
      </c>
      <c r="E893" s="3" t="s">
        <v>91</v>
      </c>
      <c r="F893" s="3" t="s">
        <v>121</v>
      </c>
      <c r="G893" s="3" t="s">
        <v>110</v>
      </c>
      <c r="H893" s="3" t="s">
        <v>206</v>
      </c>
      <c r="I893" s="3">
        <v>4</v>
      </c>
      <c r="J893" s="11">
        <v>220</v>
      </c>
      <c r="K893" s="4">
        <v>0</v>
      </c>
      <c r="L893" s="3" t="s">
        <v>101</v>
      </c>
      <c r="M893" s="3"/>
      <c r="N893" s="3"/>
      <c r="O893" s="3"/>
      <c r="P893" s="11">
        <f>Clean_Data[[#This Row],[Quantity]]*Clean_Data[[#This Row],[UnitPrice]]</f>
        <v>880</v>
      </c>
      <c r="Q893" s="11">
        <f>ROUND(Clean_Data[[#This Row],[GrossSales]]*Clean_Data[[#This Row],[DiscountPct]],2)</f>
        <v>0</v>
      </c>
      <c r="R893" s="11">
        <f>IF(Clean_Data[[#This Row],[Status]]="Delivered",ROUND(Clean_Data[[#This Row],[GrossSales]]-Clean_Data[[#This Row],[DiscountAmount]],2),0)</f>
        <v>0</v>
      </c>
      <c r="S893" s="3" t="str">
        <f>IF(Clean_Data[[#This Row],[OrderHour]]&lt;6,"Night",IF(Clean_Data[[#This Row],[OrderHour]]&lt;12,"Morning",IF(Clean_Data[[#This Row],[OrderHour]]&lt;18,"Afternoon","Evening")))</f>
        <v>Afternoon</v>
      </c>
      <c r="T893" s="3" t="str">
        <f>TEXT(Clean_Data[[#This Row],[OrderDate]],"[$-409]ddd")</f>
        <v>Wed</v>
      </c>
      <c r="U893" s="3">
        <f>WEEKDAY(Clean_Data[[#This Row],[OrderDate]],2)</f>
        <v>3</v>
      </c>
      <c r="V893" s="3">
        <f>INT(Clean_Data[[#This Row],[OrderHour]]/6)+1</f>
        <v>3</v>
      </c>
      <c r="W893" s="3">
        <f>IF(Clean_Data[[#This Row],[Status]]="Delivered",1,0)</f>
        <v>0</v>
      </c>
      <c r="X893" s="3">
        <f>IF(Clean_Data[[#This Row],[Status]]="Delivered",IF(Clean_Data[[#This Row],[DeliveryMinutes]]&lt;=Dashboard!$X$5,1,0),0)</f>
        <v>0</v>
      </c>
      <c r="Y893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3" s="3">
        <f>IF(AND(Clean_Data[[#This Row],[Include]]=1,Clean_Data[[#This Row],[DeliveredFlag]]=1),1,0)</f>
        <v>0</v>
      </c>
      <c r="AA893" s="1">
        <f>IF(COUNTIF($D$2:D893,D893)=1,ROW()-1,ROWS(Clean_Data[OrderID])+1)</f>
        <v>892</v>
      </c>
      <c r="AB893" s="1">
        <f>IF(COUNTIF($F$2:F893,F893)=1,ROW()-1,ROWS(Clean_Data[OrderID])+1)</f>
        <v>901</v>
      </c>
      <c r="AC893" s="1">
        <f>IF(COUNTIF($G$2:G893,G893)=1,ROW()-1,ROWS(Clean_Data[OrderID])+1)</f>
        <v>901</v>
      </c>
      <c r="AD893" s="1">
        <f>IF(COUNTIF($H$2:H893,H893)=1,ROW()-1,ROWS(Clean_Data[OrderID])+1)</f>
        <v>901</v>
      </c>
      <c r="AE893" s="1">
        <f>IF(COUNTIF($V$2:V893,V893)=1,V893,ROWS(Clean_Data[OrderID])+1)</f>
        <v>901</v>
      </c>
      <c r="AF893" s="1">
        <f>IF(COUNTIF($U$2:U893,U893)=1,U893,ROWS(Clean_Data[OrderID])+1)</f>
        <v>901</v>
      </c>
      <c r="AG893" s="1">
        <f>IF(COUNTIF($E$2:E893,E893)=1,ROW()-1,ROWS(Clean_Data[OrderID])+1)</f>
        <v>901</v>
      </c>
    </row>
    <row r="894" spans="1:33" ht="20" customHeight="1">
      <c r="A894" s="3" t="s">
        <v>1302</v>
      </c>
      <c r="B894" s="2">
        <v>46295</v>
      </c>
      <c r="C894" s="3">
        <v>20</v>
      </c>
      <c r="D894" s="3" t="s">
        <v>780</v>
      </c>
      <c r="E894" s="3" t="s">
        <v>91</v>
      </c>
      <c r="F894" s="3" t="s">
        <v>92</v>
      </c>
      <c r="G894" s="3" t="s">
        <v>110</v>
      </c>
      <c r="H894" s="3" t="s">
        <v>206</v>
      </c>
      <c r="I894" s="3">
        <v>3</v>
      </c>
      <c r="J894" s="11">
        <v>220</v>
      </c>
      <c r="K894" s="4">
        <v>0</v>
      </c>
      <c r="L894" s="3" t="s">
        <v>95</v>
      </c>
      <c r="M894" s="3">
        <v>24</v>
      </c>
      <c r="N894" s="3">
        <v>11</v>
      </c>
      <c r="O894" s="3">
        <v>4</v>
      </c>
      <c r="P894" s="11">
        <f>Clean_Data[[#This Row],[Quantity]]*Clean_Data[[#This Row],[UnitPrice]]</f>
        <v>660</v>
      </c>
      <c r="Q894" s="11">
        <f>ROUND(Clean_Data[[#This Row],[GrossSales]]*Clean_Data[[#This Row],[DiscountPct]],2)</f>
        <v>0</v>
      </c>
      <c r="R894" s="11">
        <f>IF(Clean_Data[[#This Row],[Status]]="Delivered",ROUND(Clean_Data[[#This Row],[GrossSales]]-Clean_Data[[#This Row],[DiscountAmount]],2),0)</f>
        <v>660</v>
      </c>
      <c r="S894" s="3" t="str">
        <f>IF(Clean_Data[[#This Row],[OrderHour]]&lt;6,"Night",IF(Clean_Data[[#This Row],[OrderHour]]&lt;12,"Morning",IF(Clean_Data[[#This Row],[OrderHour]]&lt;18,"Afternoon","Evening")))</f>
        <v>Evening</v>
      </c>
      <c r="T894" s="3" t="str">
        <f>TEXT(Clean_Data[[#This Row],[OrderDate]],"[$-409]ddd")</f>
        <v>Wed</v>
      </c>
      <c r="U894" s="3">
        <f>WEEKDAY(Clean_Data[[#This Row],[OrderDate]],2)</f>
        <v>3</v>
      </c>
      <c r="V894" s="3">
        <f>INT(Clean_Data[[#This Row],[OrderHour]]/6)+1</f>
        <v>4</v>
      </c>
      <c r="W894" s="3">
        <f>IF(Clean_Data[[#This Row],[Status]]="Delivered",1,0)</f>
        <v>1</v>
      </c>
      <c r="X894" s="3">
        <f>IF(Clean_Data[[#This Row],[Status]]="Delivered",IF(Clean_Data[[#This Row],[DeliveryMinutes]]&lt;=Dashboard!$X$5,1,0),0)</f>
        <v>1</v>
      </c>
      <c r="Y894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4" s="3">
        <f>IF(AND(Clean_Data[[#This Row],[Include]]=1,Clean_Data[[#This Row],[DeliveredFlag]]=1),1,0)</f>
        <v>1</v>
      </c>
      <c r="AA894" s="1">
        <f>IF(COUNTIF($D$2:D894,D894)=1,ROW()-1,ROWS(Clean_Data[OrderID])+1)</f>
        <v>901</v>
      </c>
      <c r="AB894" s="1">
        <f>IF(COUNTIF($F$2:F894,F894)=1,ROW()-1,ROWS(Clean_Data[OrderID])+1)</f>
        <v>901</v>
      </c>
      <c r="AC894" s="1">
        <f>IF(COUNTIF($G$2:G894,G894)=1,ROW()-1,ROWS(Clean_Data[OrderID])+1)</f>
        <v>901</v>
      </c>
      <c r="AD894" s="1">
        <f>IF(COUNTIF($H$2:H894,H894)=1,ROW()-1,ROWS(Clean_Data[OrderID])+1)</f>
        <v>901</v>
      </c>
      <c r="AE894" s="1">
        <f>IF(COUNTIF($V$2:V894,V894)=1,V894,ROWS(Clean_Data[OrderID])+1)</f>
        <v>901</v>
      </c>
      <c r="AF894" s="1">
        <f>IF(COUNTIF($U$2:U894,U894)=1,U894,ROWS(Clean_Data[OrderID])+1)</f>
        <v>901</v>
      </c>
      <c r="AG894" s="1">
        <f>IF(COUNTIF($E$2:E894,E894)=1,ROW()-1,ROWS(Clean_Data[OrderID])+1)</f>
        <v>901</v>
      </c>
    </row>
    <row r="895" spans="1:33" ht="20" customHeight="1">
      <c r="A895" s="3" t="s">
        <v>1303</v>
      </c>
      <c r="B895" s="2">
        <v>46295</v>
      </c>
      <c r="C895" s="3">
        <v>14</v>
      </c>
      <c r="D895" s="3" t="s">
        <v>363</v>
      </c>
      <c r="E895" s="3" t="s">
        <v>91</v>
      </c>
      <c r="F895" s="3" t="s">
        <v>98</v>
      </c>
      <c r="G895" s="3" t="s">
        <v>93</v>
      </c>
      <c r="H895" s="3" t="s">
        <v>118</v>
      </c>
      <c r="I895" s="3">
        <v>1</v>
      </c>
      <c r="J895" s="11">
        <v>45</v>
      </c>
      <c r="K895" s="4">
        <v>0</v>
      </c>
      <c r="L895" s="3" t="s">
        <v>95</v>
      </c>
      <c r="M895" s="3">
        <v>37</v>
      </c>
      <c r="N895" s="3">
        <v>14</v>
      </c>
      <c r="O895" s="3">
        <v>5</v>
      </c>
      <c r="P895" s="11">
        <f>Clean_Data[[#This Row],[Quantity]]*Clean_Data[[#This Row],[UnitPrice]]</f>
        <v>45</v>
      </c>
      <c r="Q895" s="11">
        <f>ROUND(Clean_Data[[#This Row],[GrossSales]]*Clean_Data[[#This Row],[DiscountPct]],2)</f>
        <v>0</v>
      </c>
      <c r="R895" s="11">
        <f>IF(Clean_Data[[#This Row],[Status]]="Delivered",ROUND(Clean_Data[[#This Row],[GrossSales]]-Clean_Data[[#This Row],[DiscountAmount]],2),0)</f>
        <v>45</v>
      </c>
      <c r="S895" s="3" t="str">
        <f>IF(Clean_Data[[#This Row],[OrderHour]]&lt;6,"Night",IF(Clean_Data[[#This Row],[OrderHour]]&lt;12,"Morning",IF(Clean_Data[[#This Row],[OrderHour]]&lt;18,"Afternoon","Evening")))</f>
        <v>Afternoon</v>
      </c>
      <c r="T895" s="3" t="str">
        <f>TEXT(Clean_Data[[#This Row],[OrderDate]],"[$-409]ddd")</f>
        <v>Wed</v>
      </c>
      <c r="U895" s="3">
        <f>WEEKDAY(Clean_Data[[#This Row],[OrderDate]],2)</f>
        <v>3</v>
      </c>
      <c r="V895" s="3">
        <f>INT(Clean_Data[[#This Row],[OrderHour]]/6)+1</f>
        <v>3</v>
      </c>
      <c r="W895" s="3">
        <f>IF(Clean_Data[[#This Row],[Status]]="Delivered",1,0)</f>
        <v>1</v>
      </c>
      <c r="X895" s="3">
        <f>IF(Clean_Data[[#This Row],[Status]]="Delivered",IF(Clean_Data[[#This Row],[DeliveryMinutes]]&lt;=Dashboard!$X$5,1,0),0)</f>
        <v>0</v>
      </c>
      <c r="Y895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5" s="3">
        <f>IF(AND(Clean_Data[[#This Row],[Include]]=1,Clean_Data[[#This Row],[DeliveredFlag]]=1),1,0)</f>
        <v>1</v>
      </c>
      <c r="AA895" s="1">
        <f>IF(COUNTIF($D$2:D895,D895)=1,ROW()-1,ROWS(Clean_Data[OrderID])+1)</f>
        <v>901</v>
      </c>
      <c r="AB895" s="1">
        <f>IF(COUNTIF($F$2:F895,F895)=1,ROW()-1,ROWS(Clean_Data[OrderID])+1)</f>
        <v>901</v>
      </c>
      <c r="AC895" s="1">
        <f>IF(COUNTIF($G$2:G895,G895)=1,ROW()-1,ROWS(Clean_Data[OrderID])+1)</f>
        <v>901</v>
      </c>
      <c r="AD895" s="1">
        <f>IF(COUNTIF($H$2:H895,H895)=1,ROW()-1,ROWS(Clean_Data[OrderID])+1)</f>
        <v>901</v>
      </c>
      <c r="AE895" s="1">
        <f>IF(COUNTIF($V$2:V895,V895)=1,V895,ROWS(Clean_Data[OrderID])+1)</f>
        <v>901</v>
      </c>
      <c r="AF895" s="1">
        <f>IF(COUNTIF($U$2:U895,U895)=1,U895,ROWS(Clean_Data[OrderID])+1)</f>
        <v>901</v>
      </c>
      <c r="AG895" s="1">
        <f>IF(COUNTIF($E$2:E895,E895)=1,ROW()-1,ROWS(Clean_Data[OrderID])+1)</f>
        <v>901</v>
      </c>
    </row>
    <row r="896" spans="1:33" ht="20" customHeight="1">
      <c r="A896" s="3" t="s">
        <v>1304</v>
      </c>
      <c r="B896" s="2">
        <v>46295</v>
      </c>
      <c r="C896" s="3">
        <v>19</v>
      </c>
      <c r="D896" s="3" t="s">
        <v>349</v>
      </c>
      <c r="E896" s="3" t="s">
        <v>117</v>
      </c>
      <c r="F896" s="3" t="s">
        <v>139</v>
      </c>
      <c r="G896" s="3" t="s">
        <v>174</v>
      </c>
      <c r="H896" s="3" t="s">
        <v>274</v>
      </c>
      <c r="I896" s="3">
        <v>1</v>
      </c>
      <c r="J896" s="11">
        <v>90</v>
      </c>
      <c r="K896" s="4">
        <v>0</v>
      </c>
      <c r="L896" s="3" t="s">
        <v>95</v>
      </c>
      <c r="M896" s="3">
        <v>32</v>
      </c>
      <c r="N896" s="3">
        <v>10</v>
      </c>
      <c r="O896" s="3">
        <v>4</v>
      </c>
      <c r="P896" s="11">
        <f>Clean_Data[[#This Row],[Quantity]]*Clean_Data[[#This Row],[UnitPrice]]</f>
        <v>90</v>
      </c>
      <c r="Q896" s="11">
        <f>ROUND(Clean_Data[[#This Row],[GrossSales]]*Clean_Data[[#This Row],[DiscountPct]],2)</f>
        <v>0</v>
      </c>
      <c r="R896" s="11">
        <f>IF(Clean_Data[[#This Row],[Status]]="Delivered",ROUND(Clean_Data[[#This Row],[GrossSales]]-Clean_Data[[#This Row],[DiscountAmount]],2),0)</f>
        <v>90</v>
      </c>
      <c r="S896" s="3" t="str">
        <f>IF(Clean_Data[[#This Row],[OrderHour]]&lt;6,"Night",IF(Clean_Data[[#This Row],[OrderHour]]&lt;12,"Morning",IF(Clean_Data[[#This Row],[OrderHour]]&lt;18,"Afternoon","Evening")))</f>
        <v>Evening</v>
      </c>
      <c r="T896" s="3" t="str">
        <f>TEXT(Clean_Data[[#This Row],[OrderDate]],"[$-409]ddd")</f>
        <v>Wed</v>
      </c>
      <c r="U896" s="3">
        <f>WEEKDAY(Clean_Data[[#This Row],[OrderDate]],2)</f>
        <v>3</v>
      </c>
      <c r="V896" s="3">
        <f>INT(Clean_Data[[#This Row],[OrderHour]]/6)+1</f>
        <v>4</v>
      </c>
      <c r="W896" s="3">
        <f>IF(Clean_Data[[#This Row],[Status]]="Delivered",1,0)</f>
        <v>1</v>
      </c>
      <c r="X896" s="3">
        <f>IF(Clean_Data[[#This Row],[Status]]="Delivered",IF(Clean_Data[[#This Row],[DeliveryMinutes]]&lt;=Dashboard!$X$5,1,0),0)</f>
        <v>0</v>
      </c>
      <c r="Y896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6" s="3">
        <f>IF(AND(Clean_Data[[#This Row],[Include]]=1,Clean_Data[[#This Row],[DeliveredFlag]]=1),1,0)</f>
        <v>1</v>
      </c>
      <c r="AA896" s="1">
        <f>IF(COUNTIF($D$2:D896,D896)=1,ROW()-1,ROWS(Clean_Data[OrderID])+1)</f>
        <v>901</v>
      </c>
      <c r="AB896" s="1">
        <f>IF(COUNTIF($F$2:F896,F896)=1,ROW()-1,ROWS(Clean_Data[OrderID])+1)</f>
        <v>901</v>
      </c>
      <c r="AC896" s="1">
        <f>IF(COUNTIF($G$2:G896,G896)=1,ROW()-1,ROWS(Clean_Data[OrderID])+1)</f>
        <v>901</v>
      </c>
      <c r="AD896" s="1">
        <f>IF(COUNTIF($H$2:H896,H896)=1,ROW()-1,ROWS(Clean_Data[OrderID])+1)</f>
        <v>901</v>
      </c>
      <c r="AE896" s="1">
        <f>IF(COUNTIF($V$2:V896,V896)=1,V896,ROWS(Clean_Data[OrderID])+1)</f>
        <v>901</v>
      </c>
      <c r="AF896" s="1">
        <f>IF(COUNTIF($U$2:U896,U896)=1,U896,ROWS(Clean_Data[OrderID])+1)</f>
        <v>901</v>
      </c>
      <c r="AG896" s="1">
        <f>IF(COUNTIF($E$2:E896,E896)=1,ROW()-1,ROWS(Clean_Data[OrderID])+1)</f>
        <v>901</v>
      </c>
    </row>
    <row r="897" spans="1:33" ht="20" customHeight="1">
      <c r="A897" s="3" t="s">
        <v>1305</v>
      </c>
      <c r="B897" s="2">
        <v>46295</v>
      </c>
      <c r="C897" s="3">
        <v>11</v>
      </c>
      <c r="D897" s="3" t="s">
        <v>103</v>
      </c>
      <c r="E897" s="3" t="s">
        <v>91</v>
      </c>
      <c r="F897" s="3" t="s">
        <v>109</v>
      </c>
      <c r="G897" s="3" t="s">
        <v>122</v>
      </c>
      <c r="H897" s="3" t="s">
        <v>153</v>
      </c>
      <c r="I897" s="3">
        <v>5</v>
      </c>
      <c r="J897" s="11">
        <v>130</v>
      </c>
      <c r="K897" s="4">
        <v>0</v>
      </c>
      <c r="L897" s="3" t="s">
        <v>95</v>
      </c>
      <c r="M897" s="3">
        <v>33</v>
      </c>
      <c r="N897" s="3">
        <v>12</v>
      </c>
      <c r="O897" s="3">
        <v>5</v>
      </c>
      <c r="P897" s="11">
        <f>Clean_Data[[#This Row],[Quantity]]*Clean_Data[[#This Row],[UnitPrice]]</f>
        <v>650</v>
      </c>
      <c r="Q897" s="11">
        <f>ROUND(Clean_Data[[#This Row],[GrossSales]]*Clean_Data[[#This Row],[DiscountPct]],2)</f>
        <v>0</v>
      </c>
      <c r="R897" s="11">
        <f>IF(Clean_Data[[#This Row],[Status]]="Delivered",ROUND(Clean_Data[[#This Row],[GrossSales]]-Clean_Data[[#This Row],[DiscountAmount]],2),0)</f>
        <v>650</v>
      </c>
      <c r="S897" s="3" t="str">
        <f>IF(Clean_Data[[#This Row],[OrderHour]]&lt;6,"Night",IF(Clean_Data[[#This Row],[OrderHour]]&lt;12,"Morning",IF(Clean_Data[[#This Row],[OrderHour]]&lt;18,"Afternoon","Evening")))</f>
        <v>Morning</v>
      </c>
      <c r="T897" s="3" t="str">
        <f>TEXT(Clean_Data[[#This Row],[OrderDate]],"[$-409]ddd")</f>
        <v>Wed</v>
      </c>
      <c r="U897" s="3">
        <f>WEEKDAY(Clean_Data[[#This Row],[OrderDate]],2)</f>
        <v>3</v>
      </c>
      <c r="V897" s="3">
        <f>INT(Clean_Data[[#This Row],[OrderHour]]/6)+1</f>
        <v>2</v>
      </c>
      <c r="W897" s="3">
        <f>IF(Clean_Data[[#This Row],[Status]]="Delivered",1,0)</f>
        <v>1</v>
      </c>
      <c r="X897" s="3">
        <f>IF(Clean_Data[[#This Row],[Status]]="Delivered",IF(Clean_Data[[#This Row],[DeliveryMinutes]]&lt;=Dashboard!$X$5,1,0),0)</f>
        <v>0</v>
      </c>
      <c r="Y897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7" s="3">
        <f>IF(AND(Clean_Data[[#This Row],[Include]]=1,Clean_Data[[#This Row],[DeliveredFlag]]=1),1,0)</f>
        <v>1</v>
      </c>
      <c r="AA897" s="1">
        <f>IF(COUNTIF($D$2:D897,D897)=1,ROW()-1,ROWS(Clean_Data[OrderID])+1)</f>
        <v>901</v>
      </c>
      <c r="AB897" s="1">
        <f>IF(COUNTIF($F$2:F897,F897)=1,ROW()-1,ROWS(Clean_Data[OrderID])+1)</f>
        <v>901</v>
      </c>
      <c r="AC897" s="1">
        <f>IF(COUNTIF($G$2:G897,G897)=1,ROW()-1,ROWS(Clean_Data[OrderID])+1)</f>
        <v>901</v>
      </c>
      <c r="AD897" s="1">
        <f>IF(COUNTIF($H$2:H897,H897)=1,ROW()-1,ROWS(Clean_Data[OrderID])+1)</f>
        <v>901</v>
      </c>
      <c r="AE897" s="1">
        <f>IF(COUNTIF($V$2:V897,V897)=1,V897,ROWS(Clean_Data[OrderID])+1)</f>
        <v>901</v>
      </c>
      <c r="AF897" s="1">
        <f>IF(COUNTIF($U$2:U897,U897)=1,U897,ROWS(Clean_Data[OrderID])+1)</f>
        <v>901</v>
      </c>
      <c r="AG897" s="1">
        <f>IF(COUNTIF($E$2:E897,E897)=1,ROW()-1,ROWS(Clean_Data[OrderID])+1)</f>
        <v>901</v>
      </c>
    </row>
    <row r="898" spans="1:33" ht="20" customHeight="1">
      <c r="A898" s="3" t="s">
        <v>1306</v>
      </c>
      <c r="B898" s="2">
        <v>46295</v>
      </c>
      <c r="C898" s="3">
        <v>12</v>
      </c>
      <c r="D898" s="3" t="s">
        <v>881</v>
      </c>
      <c r="E898" s="3" t="s">
        <v>91</v>
      </c>
      <c r="F898" s="3" t="s">
        <v>98</v>
      </c>
      <c r="G898" s="3" t="s">
        <v>135</v>
      </c>
      <c r="H898" s="3" t="s">
        <v>136</v>
      </c>
      <c r="I898" s="3">
        <v>3</v>
      </c>
      <c r="J898" s="11">
        <v>40</v>
      </c>
      <c r="K898" s="4">
        <v>0</v>
      </c>
      <c r="L898" s="3" t="s">
        <v>95</v>
      </c>
      <c r="M898" s="3">
        <v>28</v>
      </c>
      <c r="N898" s="3">
        <v>10</v>
      </c>
      <c r="O898" s="3">
        <v>3</v>
      </c>
      <c r="P898" s="11">
        <f>Clean_Data[[#This Row],[Quantity]]*Clean_Data[[#This Row],[UnitPrice]]</f>
        <v>120</v>
      </c>
      <c r="Q898" s="11">
        <f>ROUND(Clean_Data[[#This Row],[GrossSales]]*Clean_Data[[#This Row],[DiscountPct]],2)</f>
        <v>0</v>
      </c>
      <c r="R898" s="11">
        <f>IF(Clean_Data[[#This Row],[Status]]="Delivered",ROUND(Clean_Data[[#This Row],[GrossSales]]-Clean_Data[[#This Row],[DiscountAmount]],2),0)</f>
        <v>120</v>
      </c>
      <c r="S898" s="3" t="str">
        <f>IF(Clean_Data[[#This Row],[OrderHour]]&lt;6,"Night",IF(Clean_Data[[#This Row],[OrderHour]]&lt;12,"Morning",IF(Clean_Data[[#This Row],[OrderHour]]&lt;18,"Afternoon","Evening")))</f>
        <v>Afternoon</v>
      </c>
      <c r="T898" s="3" t="str">
        <f>TEXT(Clean_Data[[#This Row],[OrderDate]],"[$-409]ddd")</f>
        <v>Wed</v>
      </c>
      <c r="U898" s="3">
        <f>WEEKDAY(Clean_Data[[#This Row],[OrderDate]],2)</f>
        <v>3</v>
      </c>
      <c r="V898" s="3">
        <f>INT(Clean_Data[[#This Row],[OrderHour]]/6)+1</f>
        <v>3</v>
      </c>
      <c r="W898" s="3">
        <f>IF(Clean_Data[[#This Row],[Status]]="Delivered",1,0)</f>
        <v>1</v>
      </c>
      <c r="X898" s="3">
        <f>IF(Clean_Data[[#This Row],[Status]]="Delivered",IF(Clean_Data[[#This Row],[DeliveryMinutes]]&lt;=Dashboard!$X$5,1,0),0)</f>
        <v>1</v>
      </c>
      <c r="Y898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8" s="3">
        <f>IF(AND(Clean_Data[[#This Row],[Include]]=1,Clean_Data[[#This Row],[DeliveredFlag]]=1),1,0)</f>
        <v>1</v>
      </c>
      <c r="AA898" s="1">
        <f>IF(COUNTIF($D$2:D898,D898)=1,ROW()-1,ROWS(Clean_Data[OrderID])+1)</f>
        <v>901</v>
      </c>
      <c r="AB898" s="1">
        <f>IF(COUNTIF($F$2:F898,F898)=1,ROW()-1,ROWS(Clean_Data[OrderID])+1)</f>
        <v>901</v>
      </c>
      <c r="AC898" s="1">
        <f>IF(COUNTIF($G$2:G898,G898)=1,ROW()-1,ROWS(Clean_Data[OrderID])+1)</f>
        <v>901</v>
      </c>
      <c r="AD898" s="1">
        <f>IF(COUNTIF($H$2:H898,H898)=1,ROW()-1,ROWS(Clean_Data[OrderID])+1)</f>
        <v>901</v>
      </c>
      <c r="AE898" s="1">
        <f>IF(COUNTIF($V$2:V898,V898)=1,V898,ROWS(Clean_Data[OrderID])+1)</f>
        <v>901</v>
      </c>
      <c r="AF898" s="1">
        <f>IF(COUNTIF($U$2:U898,U898)=1,U898,ROWS(Clean_Data[OrderID])+1)</f>
        <v>901</v>
      </c>
      <c r="AG898" s="1">
        <f>IF(COUNTIF($E$2:E898,E898)=1,ROW()-1,ROWS(Clean_Data[OrderID])+1)</f>
        <v>901</v>
      </c>
    </row>
    <row r="899" spans="1:33" ht="20" customHeight="1">
      <c r="A899" s="3" t="s">
        <v>1307</v>
      </c>
      <c r="B899" s="2">
        <v>46295</v>
      </c>
      <c r="C899" s="3">
        <v>13</v>
      </c>
      <c r="D899" s="3" t="s">
        <v>532</v>
      </c>
      <c r="E899" s="3" t="s">
        <v>91</v>
      </c>
      <c r="F899" s="3" t="s">
        <v>109</v>
      </c>
      <c r="G899" s="3" t="s">
        <v>93</v>
      </c>
      <c r="H899" s="3" t="s">
        <v>118</v>
      </c>
      <c r="I899" s="3">
        <v>1</v>
      </c>
      <c r="J899" s="11">
        <v>45</v>
      </c>
      <c r="K899" s="4">
        <v>0.15</v>
      </c>
      <c r="L899" s="3" t="s">
        <v>95</v>
      </c>
      <c r="M899" s="3">
        <v>19</v>
      </c>
      <c r="N899" s="3">
        <v>12</v>
      </c>
      <c r="O899" s="3">
        <v>4</v>
      </c>
      <c r="P899" s="11">
        <f>Clean_Data[[#This Row],[Quantity]]*Clean_Data[[#This Row],[UnitPrice]]</f>
        <v>45</v>
      </c>
      <c r="Q899" s="11">
        <f>ROUND(Clean_Data[[#This Row],[GrossSales]]*Clean_Data[[#This Row],[DiscountPct]],2)</f>
        <v>6.75</v>
      </c>
      <c r="R899" s="11">
        <f>IF(Clean_Data[[#This Row],[Status]]="Delivered",ROUND(Clean_Data[[#This Row],[GrossSales]]-Clean_Data[[#This Row],[DiscountAmount]],2),0)</f>
        <v>38.25</v>
      </c>
      <c r="S899" s="3" t="str">
        <f>IF(Clean_Data[[#This Row],[OrderHour]]&lt;6,"Night",IF(Clean_Data[[#This Row],[OrderHour]]&lt;12,"Morning",IF(Clean_Data[[#This Row],[OrderHour]]&lt;18,"Afternoon","Evening")))</f>
        <v>Afternoon</v>
      </c>
      <c r="T899" s="3" t="str">
        <f>TEXT(Clean_Data[[#This Row],[OrderDate]],"[$-409]ddd")</f>
        <v>Wed</v>
      </c>
      <c r="U899" s="3">
        <f>WEEKDAY(Clean_Data[[#This Row],[OrderDate]],2)</f>
        <v>3</v>
      </c>
      <c r="V899" s="3">
        <f>INT(Clean_Data[[#This Row],[OrderHour]]/6)+1</f>
        <v>3</v>
      </c>
      <c r="W899" s="3">
        <f>IF(Clean_Data[[#This Row],[Status]]="Delivered",1,0)</f>
        <v>1</v>
      </c>
      <c r="X899" s="3">
        <f>IF(Clean_Data[[#This Row],[Status]]="Delivered",IF(Clean_Data[[#This Row],[DeliveryMinutes]]&lt;=Dashboard!$X$5,1,0),0)</f>
        <v>1</v>
      </c>
      <c r="Y899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899" s="3">
        <f>IF(AND(Clean_Data[[#This Row],[Include]]=1,Clean_Data[[#This Row],[DeliveredFlag]]=1),1,0)</f>
        <v>1</v>
      </c>
      <c r="AA899" s="1">
        <f>IF(COUNTIF($D$2:D899,D899)=1,ROW()-1,ROWS(Clean_Data[OrderID])+1)</f>
        <v>901</v>
      </c>
      <c r="AB899" s="1">
        <f>IF(COUNTIF($F$2:F899,F899)=1,ROW()-1,ROWS(Clean_Data[OrderID])+1)</f>
        <v>901</v>
      </c>
      <c r="AC899" s="1">
        <f>IF(COUNTIF($G$2:G899,G899)=1,ROW()-1,ROWS(Clean_Data[OrderID])+1)</f>
        <v>901</v>
      </c>
      <c r="AD899" s="1">
        <f>IF(COUNTIF($H$2:H899,H899)=1,ROW()-1,ROWS(Clean_Data[OrderID])+1)</f>
        <v>901</v>
      </c>
      <c r="AE899" s="1">
        <f>IF(COUNTIF($V$2:V899,V899)=1,V899,ROWS(Clean_Data[OrderID])+1)</f>
        <v>901</v>
      </c>
      <c r="AF899" s="1">
        <f>IF(COUNTIF($U$2:U899,U899)=1,U899,ROWS(Clean_Data[OrderID])+1)</f>
        <v>901</v>
      </c>
      <c r="AG899" s="1">
        <f>IF(COUNTIF($E$2:E899,E899)=1,ROW()-1,ROWS(Clean_Data[OrderID])+1)</f>
        <v>901</v>
      </c>
    </row>
    <row r="900" spans="1:33" ht="20" customHeight="1">
      <c r="A900" s="3" t="s">
        <v>1308</v>
      </c>
      <c r="B900" s="2">
        <v>46295</v>
      </c>
      <c r="C900" s="3">
        <v>18</v>
      </c>
      <c r="D900" s="3" t="s">
        <v>188</v>
      </c>
      <c r="E900" s="3" t="s">
        <v>117</v>
      </c>
      <c r="F900" s="3" t="s">
        <v>139</v>
      </c>
      <c r="G900" s="3" t="s">
        <v>99</v>
      </c>
      <c r="H900" s="3" t="s">
        <v>104</v>
      </c>
      <c r="I900" s="3">
        <v>6</v>
      </c>
      <c r="J900" s="11">
        <v>240</v>
      </c>
      <c r="K900" s="4">
        <v>0</v>
      </c>
      <c r="L900" s="3" t="s">
        <v>95</v>
      </c>
      <c r="M900" s="3">
        <v>26</v>
      </c>
      <c r="N900" s="3">
        <v>8</v>
      </c>
      <c r="O900" s="3">
        <v>5</v>
      </c>
      <c r="P900" s="11">
        <f>Clean_Data[[#This Row],[Quantity]]*Clean_Data[[#This Row],[UnitPrice]]</f>
        <v>1440</v>
      </c>
      <c r="Q900" s="11">
        <f>ROUND(Clean_Data[[#This Row],[GrossSales]]*Clean_Data[[#This Row],[DiscountPct]],2)</f>
        <v>0</v>
      </c>
      <c r="R900" s="11">
        <f>IF(Clean_Data[[#This Row],[Status]]="Delivered",ROUND(Clean_Data[[#This Row],[GrossSales]]-Clean_Data[[#This Row],[DiscountAmount]],2),0)</f>
        <v>1440</v>
      </c>
      <c r="S900" s="3" t="str">
        <f>IF(Clean_Data[[#This Row],[OrderHour]]&lt;6,"Night",IF(Clean_Data[[#This Row],[OrderHour]]&lt;12,"Morning",IF(Clean_Data[[#This Row],[OrderHour]]&lt;18,"Afternoon","Evening")))</f>
        <v>Evening</v>
      </c>
      <c r="T900" s="3" t="str">
        <f>TEXT(Clean_Data[[#This Row],[OrderDate]],"[$-409]ddd")</f>
        <v>Wed</v>
      </c>
      <c r="U900" s="3">
        <f>WEEKDAY(Clean_Data[[#This Row],[OrderDate]],2)</f>
        <v>3</v>
      </c>
      <c r="V900" s="3">
        <f>INT(Clean_Data[[#This Row],[OrderHour]]/6)+1</f>
        <v>4</v>
      </c>
      <c r="W900" s="3">
        <f>IF(Clean_Data[[#This Row],[Status]]="Delivered",1,0)</f>
        <v>1</v>
      </c>
      <c r="X900" s="3">
        <f>IF(Clean_Data[[#This Row],[Status]]="Delivered",IF(Clean_Data[[#This Row],[DeliveryMinutes]]&lt;=Dashboard!$X$5,1,0),0)</f>
        <v>1</v>
      </c>
      <c r="Y900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00" s="3">
        <f>IF(AND(Clean_Data[[#This Row],[Include]]=1,Clean_Data[[#This Row],[DeliveredFlag]]=1),1,0)</f>
        <v>1</v>
      </c>
      <c r="AA900" s="1">
        <f>IF(COUNTIF($D$2:D900,D900)=1,ROW()-1,ROWS(Clean_Data[OrderID])+1)</f>
        <v>901</v>
      </c>
      <c r="AB900" s="1">
        <f>IF(COUNTIF($F$2:F900,F900)=1,ROW()-1,ROWS(Clean_Data[OrderID])+1)</f>
        <v>901</v>
      </c>
      <c r="AC900" s="1">
        <f>IF(COUNTIF($G$2:G900,G900)=1,ROW()-1,ROWS(Clean_Data[OrderID])+1)</f>
        <v>901</v>
      </c>
      <c r="AD900" s="1">
        <f>IF(COUNTIF($H$2:H900,H900)=1,ROW()-1,ROWS(Clean_Data[OrderID])+1)</f>
        <v>901</v>
      </c>
      <c r="AE900" s="1">
        <f>IF(COUNTIF($V$2:V900,V900)=1,V900,ROWS(Clean_Data[OrderID])+1)</f>
        <v>901</v>
      </c>
      <c r="AF900" s="1">
        <f>IF(COUNTIF($U$2:U900,U900)=1,U900,ROWS(Clean_Data[OrderID])+1)</f>
        <v>901</v>
      </c>
      <c r="AG900" s="1">
        <f>IF(COUNTIF($E$2:E900,E900)=1,ROW()-1,ROWS(Clean_Data[OrderID])+1)</f>
        <v>901</v>
      </c>
    </row>
    <row r="901" spans="1:33" ht="20" customHeight="1">
      <c r="A901" s="3" t="s">
        <v>1309</v>
      </c>
      <c r="B901" s="2">
        <v>46295</v>
      </c>
      <c r="C901" s="3">
        <v>23</v>
      </c>
      <c r="D901" s="3" t="s">
        <v>708</v>
      </c>
      <c r="E901" s="3" t="s">
        <v>117</v>
      </c>
      <c r="F901" s="3" t="s">
        <v>98</v>
      </c>
      <c r="G901" s="3" t="s">
        <v>110</v>
      </c>
      <c r="H901" s="3" t="s">
        <v>111</v>
      </c>
      <c r="I901" s="3">
        <v>6</v>
      </c>
      <c r="J901" s="11">
        <v>115</v>
      </c>
      <c r="K901" s="4">
        <v>0.05</v>
      </c>
      <c r="L901" s="3" t="s">
        <v>101</v>
      </c>
      <c r="M901" s="3"/>
      <c r="N901" s="3"/>
      <c r="O901" s="3"/>
      <c r="P901" s="11">
        <f>Clean_Data[[#This Row],[Quantity]]*Clean_Data[[#This Row],[UnitPrice]]</f>
        <v>690</v>
      </c>
      <c r="Q901" s="11">
        <f>ROUND(Clean_Data[[#This Row],[GrossSales]]*Clean_Data[[#This Row],[DiscountPct]],2)</f>
        <v>34.5</v>
      </c>
      <c r="R901" s="11">
        <f>IF(Clean_Data[[#This Row],[Status]]="Delivered",ROUND(Clean_Data[[#This Row],[GrossSales]]-Clean_Data[[#This Row],[DiscountAmount]],2),0)</f>
        <v>0</v>
      </c>
      <c r="S901" s="3" t="str">
        <f>IF(Clean_Data[[#This Row],[OrderHour]]&lt;6,"Night",IF(Clean_Data[[#This Row],[OrderHour]]&lt;12,"Morning",IF(Clean_Data[[#This Row],[OrderHour]]&lt;18,"Afternoon","Evening")))</f>
        <v>Evening</v>
      </c>
      <c r="T901" s="3" t="str">
        <f>TEXT(Clean_Data[[#This Row],[OrderDate]],"[$-409]ddd")</f>
        <v>Wed</v>
      </c>
      <c r="U901" s="3">
        <f>WEEKDAY(Clean_Data[[#This Row],[OrderDate]],2)</f>
        <v>3</v>
      </c>
      <c r="V901" s="3">
        <f>INT(Clean_Data[[#This Row],[OrderHour]]/6)+1</f>
        <v>4</v>
      </c>
      <c r="W901" s="3">
        <f>IF(Clean_Data[[#This Row],[Status]]="Delivered",1,0)</f>
        <v>0</v>
      </c>
      <c r="X901" s="3">
        <f>IF(Clean_Data[[#This Row],[Status]]="Delivered",IF(Clean_Data[[#This Row],[DeliveryMinutes]]&lt;=Dashboard!$X$5,1,0),0)</f>
        <v>0</v>
      </c>
      <c r="Y901" s="3">
        <f>IF(AND(Clean_Data[[#This Row],[OrderDate]]&gt;=Dashboard!$B$5,Clean_Data[[#This Row],[OrderDate]]&lt;=Dashboard!$F$5,OR(Dashboard!$J$5="All",Clean_Data[[#This Row],[Zone]]=Dashboard!$J$5),OR(Dashboard!$P$5="All",Clean_Data[[#This Row],[Category]]=Dashboard!$P$5)),1,0)</f>
        <v>1</v>
      </c>
      <c r="Z901" s="3">
        <f>IF(AND(Clean_Data[[#This Row],[Include]]=1,Clean_Data[[#This Row],[DeliveredFlag]]=1),1,0)</f>
        <v>0</v>
      </c>
      <c r="AA901" s="1">
        <f>IF(COUNTIF($D$2:D901,D901)=1,ROW()-1,ROWS(Clean_Data[OrderID])+1)</f>
        <v>901</v>
      </c>
      <c r="AB901" s="1">
        <f>IF(COUNTIF($F$2:F901,F901)=1,ROW()-1,ROWS(Clean_Data[OrderID])+1)</f>
        <v>901</v>
      </c>
      <c r="AC901" s="1">
        <f>IF(COUNTIF($G$2:G901,G901)=1,ROW()-1,ROWS(Clean_Data[OrderID])+1)</f>
        <v>901</v>
      </c>
      <c r="AD901" s="1">
        <f>IF(COUNTIF($H$2:H901,H901)=1,ROW()-1,ROWS(Clean_Data[OrderID])+1)</f>
        <v>901</v>
      </c>
      <c r="AE901" s="1">
        <f>IF(COUNTIF($V$2:V901,V901)=1,V901,ROWS(Clean_Data[OrderID])+1)</f>
        <v>901</v>
      </c>
      <c r="AF901" s="1">
        <f>IF(COUNTIF($U$2:U901,U901)=1,U901,ROWS(Clean_Data[OrderID])+1)</f>
        <v>901</v>
      </c>
      <c r="AG901" s="1">
        <f>IF(COUNTIF($E$2:E901,E901)=1,ROW()-1,ROWS(Clean_Data[OrderID])+1)</f>
        <v>901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5" width="17" customWidth="1"/>
  </cols>
  <sheetData>
    <row r="1" spans="1:15" ht="30" customHeight="1">
      <c r="A1" s="6" t="s">
        <v>63</v>
      </c>
      <c r="B1" s="6" t="s">
        <v>64</v>
      </c>
      <c r="C1" s="6" t="s">
        <v>65</v>
      </c>
      <c r="D1" s="6" t="s">
        <v>46</v>
      </c>
      <c r="E1" s="6" t="s">
        <v>66</v>
      </c>
      <c r="F1" s="6" t="s">
        <v>2</v>
      </c>
      <c r="G1" s="6" t="s">
        <v>3</v>
      </c>
      <c r="H1" s="6" t="s">
        <v>24</v>
      </c>
      <c r="I1" s="6" t="s">
        <v>67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</row>
    <row r="2" spans="1:15" ht="20" customHeight="1">
      <c r="A2" s="3" t="s">
        <v>89</v>
      </c>
      <c r="B2" s="2">
        <v>46266</v>
      </c>
      <c r="C2" s="3">
        <v>13</v>
      </c>
      <c r="D2" s="3" t="s">
        <v>90</v>
      </c>
      <c r="E2" s="3" t="s">
        <v>91</v>
      </c>
      <c r="F2" s="3" t="s">
        <v>1310</v>
      </c>
      <c r="G2" s="3" t="s">
        <v>93</v>
      </c>
      <c r="H2" s="3" t="s">
        <v>94</v>
      </c>
      <c r="I2" s="3">
        <v>3</v>
      </c>
      <c r="J2" s="11">
        <v>95</v>
      </c>
      <c r="K2" s="4">
        <v>0</v>
      </c>
      <c r="L2" s="3" t="s">
        <v>1311</v>
      </c>
      <c r="M2" s="3">
        <v>24</v>
      </c>
      <c r="N2" s="3">
        <v>13</v>
      </c>
      <c r="O2" s="3">
        <v>5</v>
      </c>
    </row>
    <row r="3" spans="1:15" ht="20" customHeight="1">
      <c r="A3" s="3" t="s">
        <v>96</v>
      </c>
      <c r="B3" s="2">
        <v>46266</v>
      </c>
      <c r="C3" s="3">
        <v>16</v>
      </c>
      <c r="D3" s="3" t="s">
        <v>97</v>
      </c>
      <c r="E3" s="3" t="s">
        <v>91</v>
      </c>
      <c r="F3" s="3" t="s">
        <v>98</v>
      </c>
      <c r="G3" s="3" t="s">
        <v>99</v>
      </c>
      <c r="H3" s="3" t="s">
        <v>100</v>
      </c>
      <c r="I3" s="3">
        <v>5</v>
      </c>
      <c r="J3" s="11">
        <v>120</v>
      </c>
      <c r="K3" s="4">
        <v>0.1</v>
      </c>
      <c r="L3" s="3" t="s">
        <v>101</v>
      </c>
      <c r="M3" s="3"/>
      <c r="N3" s="3"/>
      <c r="O3" s="3"/>
    </row>
    <row r="4" spans="1:15" ht="20" customHeight="1">
      <c r="A4" s="3" t="s">
        <v>102</v>
      </c>
      <c r="B4" s="2">
        <v>46266</v>
      </c>
      <c r="C4" s="3">
        <v>18</v>
      </c>
      <c r="D4" s="3" t="s">
        <v>103</v>
      </c>
      <c r="E4" s="3" t="s">
        <v>91</v>
      </c>
      <c r="F4" s="3" t="s">
        <v>92</v>
      </c>
      <c r="G4" s="3" t="s">
        <v>99</v>
      </c>
      <c r="H4" s="3" t="s">
        <v>104</v>
      </c>
      <c r="I4" s="3">
        <v>4</v>
      </c>
      <c r="J4" s="11">
        <v>240</v>
      </c>
      <c r="K4" s="4">
        <v>0</v>
      </c>
      <c r="L4" s="3" t="s">
        <v>95</v>
      </c>
      <c r="M4" s="3">
        <v>30</v>
      </c>
      <c r="N4" s="3">
        <v>9</v>
      </c>
      <c r="O4" s="3">
        <v>5</v>
      </c>
    </row>
    <row r="5" spans="1:15" ht="20" customHeight="1">
      <c r="A5" s="3" t="s">
        <v>105</v>
      </c>
      <c r="B5" s="2">
        <v>46266</v>
      </c>
      <c r="C5" s="3">
        <v>17</v>
      </c>
      <c r="D5" s="3" t="s">
        <v>106</v>
      </c>
      <c r="E5" s="3" t="s">
        <v>91</v>
      </c>
      <c r="F5" s="3" t="s">
        <v>98</v>
      </c>
      <c r="G5" s="3" t="s">
        <v>99</v>
      </c>
      <c r="H5" s="3" t="s">
        <v>104</v>
      </c>
      <c r="I5" s="3">
        <v>2</v>
      </c>
      <c r="J5" s="11">
        <v>240</v>
      </c>
      <c r="K5" s="4">
        <v>0</v>
      </c>
      <c r="L5" s="3" t="s">
        <v>101</v>
      </c>
      <c r="M5" s="3"/>
      <c r="N5" s="3"/>
      <c r="O5" s="3"/>
    </row>
    <row r="6" spans="1:15" ht="20" customHeight="1">
      <c r="A6" s="3" t="s">
        <v>107</v>
      </c>
      <c r="B6" s="2">
        <v>46266</v>
      </c>
      <c r="C6" s="3">
        <v>7</v>
      </c>
      <c r="D6" s="3" t="s">
        <v>108</v>
      </c>
      <c r="E6" s="3" t="s">
        <v>91</v>
      </c>
      <c r="F6" s="3" t="s">
        <v>109</v>
      </c>
      <c r="G6" s="3" t="s">
        <v>110</v>
      </c>
      <c r="H6" s="3" t="s">
        <v>111</v>
      </c>
      <c r="I6" s="3">
        <v>3</v>
      </c>
      <c r="J6" s="11">
        <v>115</v>
      </c>
      <c r="K6" s="4">
        <v>0.15</v>
      </c>
      <c r="L6" s="3" t="s">
        <v>95</v>
      </c>
      <c r="M6" s="3">
        <v>32</v>
      </c>
      <c r="N6" s="3">
        <v>9</v>
      </c>
      <c r="O6" s="3">
        <v>4</v>
      </c>
    </row>
    <row r="7" spans="1:15" ht="20" customHeight="1">
      <c r="A7" s="3" t="s">
        <v>112</v>
      </c>
      <c r="B7" s="2">
        <v>46266</v>
      </c>
      <c r="C7" s="3">
        <v>9</v>
      </c>
      <c r="D7" s="3" t="s">
        <v>113</v>
      </c>
      <c r="E7" s="3" t="s">
        <v>91</v>
      </c>
      <c r="F7" s="3" t="s">
        <v>109</v>
      </c>
      <c r="G7" s="3" t="s">
        <v>110</v>
      </c>
      <c r="H7" s="3" t="s">
        <v>114</v>
      </c>
      <c r="I7" s="3">
        <v>1</v>
      </c>
      <c r="J7" s="11">
        <v>145</v>
      </c>
      <c r="K7" s="4">
        <v>0</v>
      </c>
      <c r="L7" s="3" t="s">
        <v>95</v>
      </c>
      <c r="M7" s="3">
        <v>21</v>
      </c>
      <c r="N7" s="3">
        <v>9</v>
      </c>
      <c r="O7" s="3">
        <v>4</v>
      </c>
    </row>
    <row r="8" spans="1:15" ht="20" customHeight="1">
      <c r="A8" s="3" t="s">
        <v>115</v>
      </c>
      <c r="B8" s="2">
        <v>46266</v>
      </c>
      <c r="C8" s="3">
        <v>18</v>
      </c>
      <c r="D8" s="3" t="s">
        <v>116</v>
      </c>
      <c r="E8" s="3" t="s">
        <v>117</v>
      </c>
      <c r="F8" s="3" t="s">
        <v>98</v>
      </c>
      <c r="G8" s="3" t="s">
        <v>93</v>
      </c>
      <c r="H8" s="3" t="s">
        <v>118</v>
      </c>
      <c r="I8" s="3">
        <v>4</v>
      </c>
      <c r="J8" s="11">
        <v>45</v>
      </c>
      <c r="K8" s="4">
        <v>0.1</v>
      </c>
      <c r="L8" s="3" t="s">
        <v>95</v>
      </c>
      <c r="M8" s="3">
        <v>28</v>
      </c>
      <c r="N8" s="3">
        <v>9</v>
      </c>
      <c r="O8" s="3">
        <v>4</v>
      </c>
    </row>
    <row r="9" spans="1:15" ht="20" customHeight="1">
      <c r="A9" s="3" t="s">
        <v>119</v>
      </c>
      <c r="B9" s="2">
        <v>46266</v>
      </c>
      <c r="C9" s="3">
        <v>21</v>
      </c>
      <c r="D9" s="3" t="s">
        <v>120</v>
      </c>
      <c r="E9" s="3" t="s">
        <v>91</v>
      </c>
      <c r="F9" s="3" t="s">
        <v>121</v>
      </c>
      <c r="G9" s="3" t="s">
        <v>122</v>
      </c>
      <c r="H9" s="3" t="s">
        <v>123</v>
      </c>
      <c r="I9" s="3">
        <v>5</v>
      </c>
      <c r="J9" s="11">
        <v>45</v>
      </c>
      <c r="K9" s="4">
        <v>0</v>
      </c>
      <c r="L9" s="3" t="s">
        <v>95</v>
      </c>
      <c r="M9" s="3">
        <v>24</v>
      </c>
      <c r="N9" s="3">
        <v>12</v>
      </c>
      <c r="O9" s="3">
        <v>4</v>
      </c>
    </row>
    <row r="10" spans="1:15" ht="20" customHeight="1">
      <c r="A10" s="3" t="s">
        <v>124</v>
      </c>
      <c r="B10" s="2">
        <v>46266</v>
      </c>
      <c r="C10" s="3">
        <v>19</v>
      </c>
      <c r="D10" s="3" t="s">
        <v>125</v>
      </c>
      <c r="E10" s="3" t="s">
        <v>91</v>
      </c>
      <c r="F10" s="3" t="s">
        <v>92</v>
      </c>
      <c r="G10" s="3" t="s">
        <v>99</v>
      </c>
      <c r="H10" s="3" t="s">
        <v>100</v>
      </c>
      <c r="I10" s="3">
        <v>1</v>
      </c>
      <c r="J10" s="11">
        <v>120</v>
      </c>
      <c r="K10" s="4">
        <v>0</v>
      </c>
      <c r="L10" s="3" t="s">
        <v>95</v>
      </c>
      <c r="M10" s="3">
        <v>17</v>
      </c>
      <c r="N10" s="3">
        <v>15</v>
      </c>
      <c r="O10" s="3">
        <v>4</v>
      </c>
    </row>
    <row r="11" spans="1:15" ht="20" customHeight="1">
      <c r="A11" s="3" t="s">
        <v>126</v>
      </c>
      <c r="B11" s="2">
        <v>46266</v>
      </c>
      <c r="C11" s="3">
        <v>22</v>
      </c>
      <c r="D11" s="3" t="s">
        <v>127</v>
      </c>
      <c r="E11" s="3" t="s">
        <v>91</v>
      </c>
      <c r="F11" s="3" t="s">
        <v>121</v>
      </c>
      <c r="G11" s="3" t="s">
        <v>93</v>
      </c>
      <c r="H11" s="3" t="s">
        <v>118</v>
      </c>
      <c r="I11" s="3">
        <v>4</v>
      </c>
      <c r="J11" s="11">
        <v>45</v>
      </c>
      <c r="K11" s="4">
        <v>0</v>
      </c>
      <c r="L11" s="3" t="s">
        <v>95</v>
      </c>
      <c r="M11" s="3">
        <v>16</v>
      </c>
      <c r="N11" s="3">
        <v>12</v>
      </c>
      <c r="O11" s="3">
        <v>5</v>
      </c>
    </row>
    <row r="12" spans="1:15" ht="20" customHeight="1">
      <c r="A12" s="3" t="s">
        <v>128</v>
      </c>
      <c r="B12" s="2">
        <v>46266</v>
      </c>
      <c r="C12" s="3">
        <v>20</v>
      </c>
      <c r="D12" s="3" t="s">
        <v>129</v>
      </c>
      <c r="E12" s="3" t="s">
        <v>91</v>
      </c>
      <c r="F12" s="3" t="s">
        <v>98</v>
      </c>
      <c r="G12" s="3" t="s">
        <v>99</v>
      </c>
      <c r="H12" s="3" t="s">
        <v>130</v>
      </c>
      <c r="I12" s="3">
        <v>3</v>
      </c>
      <c r="J12" s="11">
        <v>85</v>
      </c>
      <c r="K12" s="4">
        <v>0</v>
      </c>
      <c r="L12" s="3" t="s">
        <v>95</v>
      </c>
      <c r="M12" s="3">
        <v>34</v>
      </c>
      <c r="N12" s="3">
        <v>8</v>
      </c>
      <c r="O12" s="3">
        <v>5</v>
      </c>
    </row>
    <row r="13" spans="1:15" ht="20" customHeight="1">
      <c r="A13" s="3" t="s">
        <v>131</v>
      </c>
      <c r="B13" s="2">
        <v>46266</v>
      </c>
      <c r="C13" s="3">
        <v>23</v>
      </c>
      <c r="D13" s="3" t="s">
        <v>132</v>
      </c>
      <c r="E13" s="3" t="s">
        <v>91</v>
      </c>
      <c r="F13" s="3" t="s">
        <v>109</v>
      </c>
      <c r="G13" s="3" t="s">
        <v>110</v>
      </c>
      <c r="H13" s="3" t="s">
        <v>111</v>
      </c>
      <c r="I13" s="3">
        <v>2</v>
      </c>
      <c r="J13" s="11">
        <v>115</v>
      </c>
      <c r="K13" s="4">
        <v>0.15</v>
      </c>
      <c r="L13" s="3" t="s">
        <v>95</v>
      </c>
      <c r="M13" s="3">
        <v>22</v>
      </c>
      <c r="N13" s="3">
        <v>6</v>
      </c>
      <c r="O13" s="3">
        <v>4</v>
      </c>
    </row>
    <row r="14" spans="1:15" ht="20" customHeight="1">
      <c r="A14" s="3" t="s">
        <v>133</v>
      </c>
      <c r="B14" s="2">
        <v>46266</v>
      </c>
      <c r="C14" s="3">
        <v>7</v>
      </c>
      <c r="D14" s="3" t="s">
        <v>134</v>
      </c>
      <c r="E14" s="3" t="s">
        <v>91</v>
      </c>
      <c r="F14" s="3" t="s">
        <v>109</v>
      </c>
      <c r="G14" s="3" t="s">
        <v>135</v>
      </c>
      <c r="H14" s="3" t="s">
        <v>136</v>
      </c>
      <c r="I14" s="3">
        <v>1</v>
      </c>
      <c r="J14" s="11">
        <v>40</v>
      </c>
      <c r="K14" s="4">
        <v>0.1</v>
      </c>
      <c r="L14" s="3" t="s">
        <v>101</v>
      </c>
      <c r="M14" s="3"/>
      <c r="N14" s="3"/>
      <c r="O14" s="3"/>
    </row>
    <row r="15" spans="1:15" ht="20" customHeight="1">
      <c r="A15" s="3" t="s">
        <v>137</v>
      </c>
      <c r="B15" s="2">
        <v>46266</v>
      </c>
      <c r="C15" s="3">
        <v>6</v>
      </c>
      <c r="D15" s="3" t="s">
        <v>138</v>
      </c>
      <c r="E15" s="3" t="s">
        <v>91</v>
      </c>
      <c r="F15" s="3" t="s">
        <v>139</v>
      </c>
      <c r="G15" s="3" t="s">
        <v>122</v>
      </c>
      <c r="H15" s="3" t="s">
        <v>123</v>
      </c>
      <c r="I15" s="3">
        <v>2</v>
      </c>
      <c r="J15" s="11">
        <v>45</v>
      </c>
      <c r="K15" s="4">
        <v>0.15</v>
      </c>
      <c r="L15" s="3" t="s">
        <v>95</v>
      </c>
      <c r="M15" s="3">
        <v>31</v>
      </c>
      <c r="N15" s="3">
        <v>5</v>
      </c>
      <c r="O15" s="3">
        <v>4</v>
      </c>
    </row>
    <row r="16" spans="1:15" ht="20" customHeight="1">
      <c r="A16" s="3" t="s">
        <v>140</v>
      </c>
      <c r="B16" s="2">
        <v>46266</v>
      </c>
      <c r="C16" s="3">
        <v>12</v>
      </c>
      <c r="D16" s="3" t="s">
        <v>141</v>
      </c>
      <c r="E16" s="3" t="s">
        <v>91</v>
      </c>
      <c r="F16" s="3" t="s">
        <v>121</v>
      </c>
      <c r="G16" s="3" t="s">
        <v>110</v>
      </c>
      <c r="H16" s="3" t="s">
        <v>111</v>
      </c>
      <c r="I16" s="3">
        <v>1</v>
      </c>
      <c r="J16" s="11">
        <v>115</v>
      </c>
      <c r="K16" s="4">
        <v>0</v>
      </c>
      <c r="L16" s="3" t="s">
        <v>95</v>
      </c>
      <c r="M16" s="3">
        <v>27</v>
      </c>
      <c r="N16" s="3">
        <v>13</v>
      </c>
      <c r="O16" s="3">
        <v>3</v>
      </c>
    </row>
    <row r="17" spans="1:15" ht="20" customHeight="1">
      <c r="A17" s="3" t="s">
        <v>142</v>
      </c>
      <c r="B17" s="2">
        <v>46266</v>
      </c>
      <c r="C17" s="3">
        <v>11</v>
      </c>
      <c r="D17" s="3" t="s">
        <v>143</v>
      </c>
      <c r="E17" s="3" t="s">
        <v>91</v>
      </c>
      <c r="F17" s="3" t="s">
        <v>98</v>
      </c>
      <c r="G17" s="3" t="s">
        <v>99</v>
      </c>
      <c r="H17" s="3" t="s">
        <v>130</v>
      </c>
      <c r="I17" s="3">
        <v>6</v>
      </c>
      <c r="J17" s="11">
        <v>85</v>
      </c>
      <c r="K17" s="4">
        <v>0.15</v>
      </c>
      <c r="L17" s="3" t="s">
        <v>95</v>
      </c>
      <c r="M17" s="3">
        <v>35</v>
      </c>
      <c r="N17" s="3">
        <v>9</v>
      </c>
      <c r="O17" s="3">
        <v>4</v>
      </c>
    </row>
    <row r="18" spans="1:15" ht="20" customHeight="1">
      <c r="A18" s="3" t="s">
        <v>144</v>
      </c>
      <c r="B18" s="2">
        <v>46266</v>
      </c>
      <c r="C18" s="3">
        <v>17</v>
      </c>
      <c r="D18" s="3" t="s">
        <v>145</v>
      </c>
      <c r="E18" s="3" t="s">
        <v>117</v>
      </c>
      <c r="F18" s="3" t="s">
        <v>121</v>
      </c>
      <c r="G18" s="3" t="s">
        <v>93</v>
      </c>
      <c r="H18" s="3" t="s">
        <v>146</v>
      </c>
      <c r="I18" s="3">
        <v>6</v>
      </c>
      <c r="J18" s="11">
        <v>110</v>
      </c>
      <c r="K18" s="4">
        <v>0</v>
      </c>
      <c r="L18" s="3" t="s">
        <v>95</v>
      </c>
      <c r="M18" s="3">
        <v>25</v>
      </c>
      <c r="N18" s="3">
        <v>6</v>
      </c>
      <c r="O18" s="3">
        <v>5</v>
      </c>
    </row>
    <row r="19" spans="1:15" ht="20" customHeight="1">
      <c r="A19" s="3" t="s">
        <v>147</v>
      </c>
      <c r="B19" s="2">
        <v>46266</v>
      </c>
      <c r="C19" s="3">
        <v>21</v>
      </c>
      <c r="D19" s="3" t="s">
        <v>148</v>
      </c>
      <c r="E19" s="3" t="s">
        <v>91</v>
      </c>
      <c r="F19" s="3" t="s">
        <v>98</v>
      </c>
      <c r="G19" s="3" t="s">
        <v>93</v>
      </c>
      <c r="H19" s="3" t="s">
        <v>146</v>
      </c>
      <c r="I19" s="3">
        <v>5</v>
      </c>
      <c r="J19" s="11">
        <v>110</v>
      </c>
      <c r="K19" s="4">
        <v>0</v>
      </c>
      <c r="L19" s="3" t="s">
        <v>95</v>
      </c>
      <c r="M19" s="3">
        <v>21</v>
      </c>
      <c r="N19" s="3">
        <v>8</v>
      </c>
      <c r="O19" s="3">
        <v>4</v>
      </c>
    </row>
    <row r="20" spans="1:15" ht="20" customHeight="1">
      <c r="A20" s="3" t="s">
        <v>149</v>
      </c>
      <c r="B20" s="2">
        <v>46266</v>
      </c>
      <c r="C20" s="3">
        <v>6</v>
      </c>
      <c r="D20" s="3" t="s">
        <v>150</v>
      </c>
      <c r="E20" s="3" t="s">
        <v>91</v>
      </c>
      <c r="F20" s="3" t="s">
        <v>139</v>
      </c>
      <c r="G20" s="3" t="s">
        <v>99</v>
      </c>
      <c r="H20" s="3" t="s">
        <v>104</v>
      </c>
      <c r="I20" s="3">
        <v>5</v>
      </c>
      <c r="J20" s="11">
        <v>240</v>
      </c>
      <c r="K20" s="4">
        <v>0.15</v>
      </c>
      <c r="L20" s="3" t="s">
        <v>95</v>
      </c>
      <c r="M20" s="3">
        <v>35</v>
      </c>
      <c r="N20" s="3">
        <v>15</v>
      </c>
      <c r="O20" s="3">
        <v>4</v>
      </c>
    </row>
    <row r="21" spans="1:15" ht="20" customHeight="1">
      <c r="A21" s="3" t="s">
        <v>151</v>
      </c>
      <c r="B21" s="2">
        <v>46266</v>
      </c>
      <c r="C21" s="3">
        <v>11</v>
      </c>
      <c r="D21" s="3" t="s">
        <v>152</v>
      </c>
      <c r="E21" s="3" t="s">
        <v>117</v>
      </c>
      <c r="F21" s="3" t="s">
        <v>98</v>
      </c>
      <c r="G21" s="3" t="s">
        <v>122</v>
      </c>
      <c r="H21" s="3" t="s">
        <v>153</v>
      </c>
      <c r="I21" s="3">
        <v>1</v>
      </c>
      <c r="J21" s="11">
        <v>130</v>
      </c>
      <c r="K21" s="4">
        <v>0</v>
      </c>
      <c r="L21" s="3" t="s">
        <v>95</v>
      </c>
      <c r="M21" s="3">
        <v>28</v>
      </c>
      <c r="N21" s="3">
        <v>9</v>
      </c>
      <c r="O21" s="3">
        <v>5</v>
      </c>
    </row>
    <row r="22" spans="1:15" ht="20" customHeight="1">
      <c r="A22" s="3" t="s">
        <v>154</v>
      </c>
      <c r="B22" s="2">
        <v>46266</v>
      </c>
      <c r="C22" s="3">
        <v>16</v>
      </c>
      <c r="D22" s="3" t="s">
        <v>155</v>
      </c>
      <c r="E22" s="3" t="s">
        <v>91</v>
      </c>
      <c r="F22" s="3" t="s">
        <v>98</v>
      </c>
      <c r="G22" s="3" t="s">
        <v>93</v>
      </c>
      <c r="H22" s="3" t="s">
        <v>94</v>
      </c>
      <c r="I22" s="3">
        <v>5</v>
      </c>
      <c r="J22" s="11">
        <v>95</v>
      </c>
      <c r="K22" s="4">
        <v>0</v>
      </c>
      <c r="L22" s="3" t="s">
        <v>95</v>
      </c>
      <c r="M22" s="3">
        <v>27</v>
      </c>
      <c r="N22" s="3">
        <v>13</v>
      </c>
      <c r="O22" s="3">
        <v>4</v>
      </c>
    </row>
    <row r="23" spans="1:15" ht="20" customHeight="1">
      <c r="A23" s="3" t="s">
        <v>156</v>
      </c>
      <c r="B23" s="2">
        <v>46266</v>
      </c>
      <c r="C23" s="3">
        <v>6</v>
      </c>
      <c r="D23" s="3" t="s">
        <v>157</v>
      </c>
      <c r="E23" s="3" t="s">
        <v>91</v>
      </c>
      <c r="F23" s="3" t="s">
        <v>92</v>
      </c>
      <c r="G23" s="3" t="s">
        <v>93</v>
      </c>
      <c r="H23" s="3" t="s">
        <v>94</v>
      </c>
      <c r="I23" s="3">
        <v>6</v>
      </c>
      <c r="J23" s="11">
        <v>95</v>
      </c>
      <c r="K23" s="4">
        <v>0.05</v>
      </c>
      <c r="L23" s="3" t="s">
        <v>95</v>
      </c>
      <c r="M23" s="3">
        <v>23</v>
      </c>
      <c r="N23" s="3">
        <v>5</v>
      </c>
      <c r="O23" s="3">
        <v>5</v>
      </c>
    </row>
    <row r="24" spans="1:15" ht="20" customHeight="1">
      <c r="A24" s="3" t="s">
        <v>158</v>
      </c>
      <c r="B24" s="2">
        <v>46266</v>
      </c>
      <c r="C24" s="3">
        <v>9</v>
      </c>
      <c r="D24" s="3" t="s">
        <v>159</v>
      </c>
      <c r="E24" s="3" t="s">
        <v>117</v>
      </c>
      <c r="F24" s="3" t="s">
        <v>109</v>
      </c>
      <c r="G24" s="3" t="s">
        <v>93</v>
      </c>
      <c r="H24" s="3" t="s">
        <v>94</v>
      </c>
      <c r="I24" s="3">
        <v>4</v>
      </c>
      <c r="J24" s="11">
        <v>95</v>
      </c>
      <c r="K24" s="4">
        <v>0</v>
      </c>
      <c r="L24" s="3" t="s">
        <v>101</v>
      </c>
      <c r="M24" s="3"/>
      <c r="N24" s="3"/>
      <c r="O24" s="3"/>
    </row>
    <row r="25" spans="1:15" ht="20" customHeight="1">
      <c r="A25" s="3" t="s">
        <v>160</v>
      </c>
      <c r="B25" s="2">
        <v>46266</v>
      </c>
      <c r="C25" s="3">
        <v>20</v>
      </c>
      <c r="D25" s="3" t="s">
        <v>161</v>
      </c>
      <c r="E25" s="3" t="s">
        <v>91</v>
      </c>
      <c r="F25" s="3" t="s">
        <v>139</v>
      </c>
      <c r="G25" s="3" t="s">
        <v>135</v>
      </c>
      <c r="H25" s="3" t="s">
        <v>162</v>
      </c>
      <c r="I25" s="3">
        <v>1</v>
      </c>
      <c r="J25" s="11">
        <v>180</v>
      </c>
      <c r="K25" s="4">
        <v>0</v>
      </c>
      <c r="L25" s="3" t="s">
        <v>95</v>
      </c>
      <c r="M25" s="3">
        <v>34</v>
      </c>
      <c r="N25" s="3">
        <v>8</v>
      </c>
      <c r="O25" s="3">
        <v>3</v>
      </c>
    </row>
    <row r="26" spans="1:15" ht="20" customHeight="1">
      <c r="A26" s="3" t="s">
        <v>163</v>
      </c>
      <c r="B26" s="2">
        <v>46266</v>
      </c>
      <c r="C26" s="3">
        <v>17</v>
      </c>
      <c r="D26" s="3" t="s">
        <v>157</v>
      </c>
      <c r="E26" s="3" t="s">
        <v>91</v>
      </c>
      <c r="F26" s="3" t="s">
        <v>139</v>
      </c>
      <c r="G26" s="3" t="s">
        <v>99</v>
      </c>
      <c r="H26" s="3" t="s">
        <v>100</v>
      </c>
      <c r="I26" s="3">
        <v>1</v>
      </c>
      <c r="J26" s="11">
        <v>120</v>
      </c>
      <c r="K26" s="4">
        <v>0</v>
      </c>
      <c r="L26" s="3" t="s">
        <v>95</v>
      </c>
      <c r="M26" s="3">
        <v>25</v>
      </c>
      <c r="N26" s="3">
        <v>4</v>
      </c>
      <c r="O26" s="3">
        <v>4</v>
      </c>
    </row>
    <row r="27" spans="1:15" ht="20" customHeight="1">
      <c r="A27" s="3" t="s">
        <v>164</v>
      </c>
      <c r="B27" s="2">
        <v>46266</v>
      </c>
      <c r="C27" s="3">
        <v>22</v>
      </c>
      <c r="D27" s="3" t="s">
        <v>165</v>
      </c>
      <c r="E27" s="3" t="s">
        <v>91</v>
      </c>
      <c r="F27" s="3" t="s">
        <v>121</v>
      </c>
      <c r="G27" s="3" t="s">
        <v>135</v>
      </c>
      <c r="H27" s="3" t="s">
        <v>162</v>
      </c>
      <c r="I27" s="3">
        <v>2</v>
      </c>
      <c r="J27" s="11">
        <v>180</v>
      </c>
      <c r="K27" s="4">
        <v>0</v>
      </c>
      <c r="L27" s="3" t="s">
        <v>95</v>
      </c>
      <c r="M27" s="3">
        <v>20</v>
      </c>
      <c r="N27" s="3">
        <v>9</v>
      </c>
      <c r="O27" s="3">
        <v>5</v>
      </c>
    </row>
    <row r="28" spans="1:15" ht="20" customHeight="1">
      <c r="A28" s="3" t="s">
        <v>166</v>
      </c>
      <c r="B28" s="2">
        <v>46266</v>
      </c>
      <c r="C28" s="3">
        <v>15</v>
      </c>
      <c r="D28" s="3" t="s">
        <v>167</v>
      </c>
      <c r="E28" s="3" t="s">
        <v>91</v>
      </c>
      <c r="F28" s="3" t="s">
        <v>121</v>
      </c>
      <c r="G28" s="3" t="s">
        <v>99</v>
      </c>
      <c r="H28" s="3" t="s">
        <v>100</v>
      </c>
      <c r="I28" s="3">
        <v>5</v>
      </c>
      <c r="J28" s="11">
        <v>120</v>
      </c>
      <c r="K28" s="4">
        <v>0</v>
      </c>
      <c r="L28" s="3" t="s">
        <v>95</v>
      </c>
      <c r="M28" s="3">
        <v>22</v>
      </c>
      <c r="N28" s="3">
        <v>7</v>
      </c>
      <c r="O28" s="3">
        <v>5</v>
      </c>
    </row>
    <row r="29" spans="1:15" ht="20" customHeight="1">
      <c r="A29" s="3" t="s">
        <v>168</v>
      </c>
      <c r="B29" s="2">
        <v>46266</v>
      </c>
      <c r="C29" s="3">
        <v>18</v>
      </c>
      <c r="D29" s="3" t="s">
        <v>169</v>
      </c>
      <c r="E29" s="3" t="s">
        <v>91</v>
      </c>
      <c r="F29" s="3" t="s">
        <v>139</v>
      </c>
      <c r="G29" s="3" t="s">
        <v>93</v>
      </c>
      <c r="H29" s="3" t="s">
        <v>146</v>
      </c>
      <c r="I29" s="3">
        <v>3</v>
      </c>
      <c r="J29" s="11">
        <v>110</v>
      </c>
      <c r="K29" s="4">
        <v>0.15</v>
      </c>
      <c r="L29" s="3" t="s">
        <v>95</v>
      </c>
      <c r="M29" s="3">
        <v>34</v>
      </c>
      <c r="N29" s="3">
        <v>9</v>
      </c>
      <c r="O29" s="3">
        <v>5</v>
      </c>
    </row>
    <row r="30" spans="1:15" ht="20" customHeight="1">
      <c r="A30" s="3" t="s">
        <v>170</v>
      </c>
      <c r="B30" s="2">
        <v>46266</v>
      </c>
      <c r="C30" s="3">
        <v>14</v>
      </c>
      <c r="D30" s="3" t="s">
        <v>171</v>
      </c>
      <c r="E30" s="3" t="s">
        <v>91</v>
      </c>
      <c r="F30" s="3" t="s">
        <v>92</v>
      </c>
      <c r="G30" s="3" t="s">
        <v>93</v>
      </c>
      <c r="H30" s="3" t="s">
        <v>146</v>
      </c>
      <c r="I30" s="3">
        <v>6</v>
      </c>
      <c r="J30" s="11">
        <v>110</v>
      </c>
      <c r="K30" s="4">
        <v>0</v>
      </c>
      <c r="L30" s="3" t="s">
        <v>95</v>
      </c>
      <c r="M30" s="3">
        <v>22</v>
      </c>
      <c r="N30" s="3">
        <v>15</v>
      </c>
      <c r="O30" s="3">
        <v>3</v>
      </c>
    </row>
    <row r="31" spans="1:15" ht="20" customHeight="1">
      <c r="A31" s="3" t="s">
        <v>172</v>
      </c>
      <c r="B31" s="2">
        <v>46266</v>
      </c>
      <c r="C31" s="3">
        <v>8</v>
      </c>
      <c r="D31" s="3" t="s">
        <v>173</v>
      </c>
      <c r="E31" s="3" t="s">
        <v>91</v>
      </c>
      <c r="F31" s="3" t="s">
        <v>109</v>
      </c>
      <c r="G31" s="3" t="s">
        <v>174</v>
      </c>
      <c r="H31" s="3" t="s">
        <v>175</v>
      </c>
      <c r="I31" s="3">
        <v>6</v>
      </c>
      <c r="J31" s="11">
        <v>155</v>
      </c>
      <c r="K31" s="4">
        <v>0.05</v>
      </c>
      <c r="L31" s="3" t="s">
        <v>95</v>
      </c>
      <c r="M31" s="3">
        <v>16</v>
      </c>
      <c r="N31" s="3">
        <v>9</v>
      </c>
      <c r="O31" s="3">
        <v>5</v>
      </c>
    </row>
    <row r="32" spans="1:15" ht="20" customHeight="1">
      <c r="A32" s="3" t="s">
        <v>176</v>
      </c>
      <c r="B32" s="2">
        <v>46267</v>
      </c>
      <c r="C32" s="3">
        <v>21</v>
      </c>
      <c r="D32" s="3" t="s">
        <v>177</v>
      </c>
      <c r="E32" s="3" t="s">
        <v>117</v>
      </c>
      <c r="F32" s="3" t="s">
        <v>121</v>
      </c>
      <c r="G32" s="3" t="s">
        <v>110</v>
      </c>
      <c r="H32" s="3" t="s">
        <v>114</v>
      </c>
      <c r="I32" s="3">
        <v>1</v>
      </c>
      <c r="J32" s="11">
        <v>145</v>
      </c>
      <c r="K32" s="4">
        <v>0.1</v>
      </c>
      <c r="L32" s="3" t="s">
        <v>95</v>
      </c>
      <c r="M32" s="3">
        <v>13</v>
      </c>
      <c r="N32" s="3">
        <v>14</v>
      </c>
      <c r="O32" s="3">
        <v>5</v>
      </c>
    </row>
    <row r="33" spans="1:15" ht="20" customHeight="1">
      <c r="A33" s="3" t="s">
        <v>178</v>
      </c>
      <c r="B33" s="2">
        <v>46267</v>
      </c>
      <c r="C33" s="3">
        <v>18</v>
      </c>
      <c r="D33" s="3" t="s">
        <v>179</v>
      </c>
      <c r="E33" s="3" t="s">
        <v>91</v>
      </c>
      <c r="F33" s="3" t="s">
        <v>98</v>
      </c>
      <c r="G33" s="3" t="s">
        <v>110</v>
      </c>
      <c r="H33" s="3" t="s">
        <v>111</v>
      </c>
      <c r="I33" s="3">
        <v>5</v>
      </c>
      <c r="J33" s="11">
        <v>115</v>
      </c>
      <c r="K33" s="4">
        <v>0</v>
      </c>
      <c r="L33" s="3" t="s">
        <v>95</v>
      </c>
      <c r="M33" s="3">
        <v>13</v>
      </c>
      <c r="N33" s="3">
        <v>14</v>
      </c>
      <c r="O33" s="3">
        <v>4</v>
      </c>
    </row>
    <row r="34" spans="1:15" ht="20" customHeight="1">
      <c r="A34" s="3" t="s">
        <v>180</v>
      </c>
      <c r="B34" s="2">
        <v>46267</v>
      </c>
      <c r="C34" s="3">
        <v>18</v>
      </c>
      <c r="D34" s="3" t="s">
        <v>181</v>
      </c>
      <c r="E34" s="3" t="s">
        <v>117</v>
      </c>
      <c r="F34" s="3" t="s">
        <v>92</v>
      </c>
      <c r="G34" s="3" t="s">
        <v>110</v>
      </c>
      <c r="H34" s="3" t="s">
        <v>114</v>
      </c>
      <c r="I34" s="3">
        <v>6</v>
      </c>
      <c r="J34" s="11">
        <v>145</v>
      </c>
      <c r="K34" s="4">
        <v>0.15</v>
      </c>
      <c r="L34" s="3" t="s">
        <v>95</v>
      </c>
      <c r="M34" s="3">
        <v>24</v>
      </c>
      <c r="N34" s="3">
        <v>8</v>
      </c>
      <c r="O34" s="3">
        <v>3</v>
      </c>
    </row>
    <row r="35" spans="1:15" ht="20" customHeight="1">
      <c r="A35" s="3" t="s">
        <v>182</v>
      </c>
      <c r="B35" s="2">
        <v>46267</v>
      </c>
      <c r="C35" s="3">
        <v>7</v>
      </c>
      <c r="D35" s="3" t="s">
        <v>183</v>
      </c>
      <c r="E35" s="3" t="s">
        <v>91</v>
      </c>
      <c r="F35" s="3" t="s">
        <v>92</v>
      </c>
      <c r="G35" s="3" t="s">
        <v>174</v>
      </c>
      <c r="H35" s="3" t="s">
        <v>184</v>
      </c>
      <c r="I35" s="3">
        <v>1</v>
      </c>
      <c r="J35" s="11">
        <v>62</v>
      </c>
      <c r="K35" s="4">
        <v>0.05</v>
      </c>
      <c r="L35" s="3" t="s">
        <v>95</v>
      </c>
      <c r="M35" s="3">
        <v>23</v>
      </c>
      <c r="N35" s="3">
        <v>14</v>
      </c>
      <c r="O35" s="3">
        <v>5</v>
      </c>
    </row>
    <row r="36" spans="1:15" ht="20" customHeight="1">
      <c r="A36" s="3" t="s">
        <v>185</v>
      </c>
      <c r="B36" s="2">
        <v>46267</v>
      </c>
      <c r="C36" s="3">
        <v>19</v>
      </c>
      <c r="D36" s="3" t="s">
        <v>186</v>
      </c>
      <c r="E36" s="3" t="s">
        <v>117</v>
      </c>
      <c r="F36" s="3" t="s">
        <v>98</v>
      </c>
      <c r="G36" s="3" t="s">
        <v>93</v>
      </c>
      <c r="H36" s="3" t="s">
        <v>118</v>
      </c>
      <c r="I36" s="3">
        <v>3</v>
      </c>
      <c r="J36" s="11">
        <v>45</v>
      </c>
      <c r="K36" s="4">
        <v>0.1</v>
      </c>
      <c r="L36" s="3" t="s">
        <v>95</v>
      </c>
      <c r="M36" s="3">
        <v>31</v>
      </c>
      <c r="N36" s="3">
        <v>10</v>
      </c>
      <c r="O36" s="3">
        <v>4</v>
      </c>
    </row>
    <row r="37" spans="1:15" ht="20" customHeight="1">
      <c r="A37" s="3" t="s">
        <v>187</v>
      </c>
      <c r="B37" s="2">
        <v>46267</v>
      </c>
      <c r="C37" s="3">
        <v>10</v>
      </c>
      <c r="D37" s="3" t="s">
        <v>188</v>
      </c>
      <c r="E37" s="3" t="s">
        <v>117</v>
      </c>
      <c r="F37" s="3" t="s">
        <v>109</v>
      </c>
      <c r="G37" s="3" t="s">
        <v>110</v>
      </c>
      <c r="H37" s="3" t="s">
        <v>114</v>
      </c>
      <c r="I37" s="3">
        <v>2</v>
      </c>
      <c r="J37" s="11">
        <v>145</v>
      </c>
      <c r="K37" s="4">
        <v>0.1</v>
      </c>
      <c r="L37" s="3" t="s">
        <v>95</v>
      </c>
      <c r="M37" s="3">
        <v>27</v>
      </c>
      <c r="N37" s="3">
        <v>4</v>
      </c>
      <c r="O37" s="3">
        <v>4</v>
      </c>
    </row>
    <row r="38" spans="1:15" ht="20" customHeight="1">
      <c r="A38" s="3" t="s">
        <v>189</v>
      </c>
      <c r="B38" s="2">
        <v>46267</v>
      </c>
      <c r="C38" s="3">
        <v>22</v>
      </c>
      <c r="D38" s="3" t="s">
        <v>120</v>
      </c>
      <c r="E38" s="3" t="s">
        <v>91</v>
      </c>
      <c r="F38" s="3" t="s">
        <v>109</v>
      </c>
      <c r="G38" s="3" t="s">
        <v>135</v>
      </c>
      <c r="H38" s="3" t="s">
        <v>136</v>
      </c>
      <c r="I38" s="3">
        <v>3</v>
      </c>
      <c r="J38" s="11">
        <v>40</v>
      </c>
      <c r="K38" s="4">
        <v>0.1</v>
      </c>
      <c r="L38" s="3" t="s">
        <v>95</v>
      </c>
      <c r="M38" s="3">
        <v>18</v>
      </c>
      <c r="N38" s="3">
        <v>8</v>
      </c>
      <c r="O38" s="3">
        <v>5</v>
      </c>
    </row>
    <row r="39" spans="1:15" ht="20" customHeight="1">
      <c r="A39" s="3" t="s">
        <v>190</v>
      </c>
      <c r="B39" s="2">
        <v>46267</v>
      </c>
      <c r="C39" s="3">
        <v>7</v>
      </c>
      <c r="D39" s="3" t="s">
        <v>191</v>
      </c>
      <c r="E39" s="3" t="s">
        <v>91</v>
      </c>
      <c r="F39" s="3" t="s">
        <v>92</v>
      </c>
      <c r="G39" s="3" t="s">
        <v>122</v>
      </c>
      <c r="H39" s="3" t="s">
        <v>153</v>
      </c>
      <c r="I39" s="3">
        <v>2</v>
      </c>
      <c r="J39" s="11">
        <v>130</v>
      </c>
      <c r="K39" s="4">
        <v>0.05</v>
      </c>
      <c r="L39" s="3" t="s">
        <v>95</v>
      </c>
      <c r="M39" s="3">
        <v>15</v>
      </c>
      <c r="N39" s="3">
        <v>9</v>
      </c>
      <c r="O39" s="3">
        <v>5</v>
      </c>
    </row>
    <row r="40" spans="1:15" ht="20" customHeight="1">
      <c r="A40" s="3" t="s">
        <v>192</v>
      </c>
      <c r="B40" s="2">
        <v>46267</v>
      </c>
      <c r="C40" s="3">
        <v>20</v>
      </c>
      <c r="D40" s="3" t="s">
        <v>193</v>
      </c>
      <c r="E40" s="3" t="s">
        <v>117</v>
      </c>
      <c r="F40" s="3" t="s">
        <v>139</v>
      </c>
      <c r="G40" s="3" t="s">
        <v>93</v>
      </c>
      <c r="H40" s="3" t="s">
        <v>146</v>
      </c>
      <c r="I40" s="3">
        <v>3</v>
      </c>
      <c r="J40" s="11">
        <v>110</v>
      </c>
      <c r="K40" s="4">
        <v>0.1</v>
      </c>
      <c r="L40" s="3" t="s">
        <v>95</v>
      </c>
      <c r="M40" s="3">
        <v>20</v>
      </c>
      <c r="N40" s="3">
        <v>9</v>
      </c>
      <c r="O40" s="3">
        <v>4</v>
      </c>
    </row>
    <row r="41" spans="1:15" ht="20" customHeight="1">
      <c r="A41" s="3" t="s">
        <v>194</v>
      </c>
      <c r="B41" s="2">
        <v>46267</v>
      </c>
      <c r="C41" s="3">
        <v>9</v>
      </c>
      <c r="D41" s="3" t="s">
        <v>195</v>
      </c>
      <c r="E41" s="3" t="s">
        <v>91</v>
      </c>
      <c r="F41" s="3" t="s">
        <v>109</v>
      </c>
      <c r="G41" s="3" t="s">
        <v>110</v>
      </c>
      <c r="H41" s="3" t="s">
        <v>114</v>
      </c>
      <c r="I41" s="3">
        <v>5</v>
      </c>
      <c r="J41" s="11">
        <v>145</v>
      </c>
      <c r="K41" s="4">
        <v>0</v>
      </c>
      <c r="L41" s="3" t="s">
        <v>95</v>
      </c>
      <c r="M41" s="3">
        <v>15</v>
      </c>
      <c r="N41" s="3">
        <v>9</v>
      </c>
      <c r="O41" s="3">
        <v>4</v>
      </c>
    </row>
    <row r="42" spans="1:15" ht="20" customHeight="1">
      <c r="A42" s="3" t="s">
        <v>196</v>
      </c>
      <c r="B42" s="2">
        <v>46267</v>
      </c>
      <c r="C42" s="3">
        <v>23</v>
      </c>
      <c r="D42" s="3" t="s">
        <v>197</v>
      </c>
      <c r="E42" s="3" t="s">
        <v>91</v>
      </c>
      <c r="F42" s="3" t="s">
        <v>109</v>
      </c>
      <c r="G42" s="3" t="s">
        <v>99</v>
      </c>
      <c r="H42" s="3" t="s">
        <v>104</v>
      </c>
      <c r="I42" s="3">
        <v>3</v>
      </c>
      <c r="J42" s="11">
        <v>240</v>
      </c>
      <c r="K42" s="4">
        <v>0.05</v>
      </c>
      <c r="L42" s="3" t="s">
        <v>95</v>
      </c>
      <c r="M42" s="3">
        <v>16</v>
      </c>
      <c r="N42" s="3">
        <v>6</v>
      </c>
      <c r="O42" s="3">
        <v>4</v>
      </c>
    </row>
    <row r="43" spans="1:15" ht="20" customHeight="1">
      <c r="A43" s="3" t="s">
        <v>198</v>
      </c>
      <c r="B43" s="2">
        <v>46267</v>
      </c>
      <c r="C43" s="3">
        <v>8</v>
      </c>
      <c r="D43" s="3" t="s">
        <v>199</v>
      </c>
      <c r="E43" s="3" t="s">
        <v>117</v>
      </c>
      <c r="F43" s="3" t="s">
        <v>98</v>
      </c>
      <c r="G43" s="3" t="s">
        <v>122</v>
      </c>
      <c r="H43" s="3" t="s">
        <v>123</v>
      </c>
      <c r="I43" s="3">
        <v>4</v>
      </c>
      <c r="J43" s="11">
        <v>45</v>
      </c>
      <c r="K43" s="4">
        <v>0.1</v>
      </c>
      <c r="L43" s="3" t="s">
        <v>95</v>
      </c>
      <c r="M43" s="3">
        <v>28</v>
      </c>
      <c r="N43" s="3">
        <v>7</v>
      </c>
      <c r="O43" s="3">
        <v>5</v>
      </c>
    </row>
    <row r="44" spans="1:15" ht="20" customHeight="1">
      <c r="A44" s="3" t="s">
        <v>200</v>
      </c>
      <c r="B44" s="2">
        <v>46267</v>
      </c>
      <c r="C44" s="3">
        <v>14</v>
      </c>
      <c r="D44" s="3" t="s">
        <v>201</v>
      </c>
      <c r="E44" s="3" t="s">
        <v>91</v>
      </c>
      <c r="F44" s="3" t="s">
        <v>139</v>
      </c>
      <c r="G44" s="3" t="s">
        <v>122</v>
      </c>
      <c r="H44" s="3" t="s">
        <v>153</v>
      </c>
      <c r="I44" s="3">
        <v>1</v>
      </c>
      <c r="J44" s="11">
        <v>130</v>
      </c>
      <c r="K44" s="4">
        <v>0.15</v>
      </c>
      <c r="L44" s="3" t="s">
        <v>95</v>
      </c>
      <c r="M44" s="3">
        <v>15</v>
      </c>
      <c r="N44" s="3">
        <v>14</v>
      </c>
      <c r="O44" s="3">
        <v>4</v>
      </c>
    </row>
    <row r="45" spans="1:15" ht="20" customHeight="1">
      <c r="A45" s="3" t="s">
        <v>202</v>
      </c>
      <c r="B45" s="2">
        <v>46267</v>
      </c>
      <c r="C45" s="3">
        <v>23</v>
      </c>
      <c r="D45" s="3" t="s">
        <v>203</v>
      </c>
      <c r="E45" s="3" t="s">
        <v>117</v>
      </c>
      <c r="F45" s="3" t="s">
        <v>92</v>
      </c>
      <c r="G45" s="3" t="s">
        <v>93</v>
      </c>
      <c r="H45" s="3" t="s">
        <v>118</v>
      </c>
      <c r="I45" s="3">
        <v>6</v>
      </c>
      <c r="J45" s="11">
        <v>45</v>
      </c>
      <c r="K45" s="4">
        <v>0</v>
      </c>
      <c r="L45" s="3" t="s">
        <v>95</v>
      </c>
      <c r="M45" s="3">
        <v>34</v>
      </c>
      <c r="N45" s="3">
        <v>9</v>
      </c>
      <c r="O45" s="3">
        <v>4</v>
      </c>
    </row>
    <row r="46" spans="1:15" ht="20" customHeight="1">
      <c r="A46" s="3" t="s">
        <v>204</v>
      </c>
      <c r="B46" s="2">
        <v>46267</v>
      </c>
      <c r="C46" s="3">
        <v>8</v>
      </c>
      <c r="D46" s="3" t="s">
        <v>205</v>
      </c>
      <c r="E46" s="3" t="s">
        <v>91</v>
      </c>
      <c r="F46" s="3" t="s">
        <v>139</v>
      </c>
      <c r="G46" s="3" t="s">
        <v>110</v>
      </c>
      <c r="H46" s="3" t="s">
        <v>206</v>
      </c>
      <c r="I46" s="3">
        <v>6</v>
      </c>
      <c r="J46" s="11">
        <v>220</v>
      </c>
      <c r="K46" s="4">
        <v>0.05</v>
      </c>
      <c r="L46" s="3" t="s">
        <v>95</v>
      </c>
      <c r="M46" s="3">
        <v>26</v>
      </c>
      <c r="N46" s="3">
        <v>14</v>
      </c>
      <c r="O46" s="3">
        <v>4</v>
      </c>
    </row>
    <row r="47" spans="1:15" ht="20" customHeight="1">
      <c r="A47" s="3" t="s">
        <v>207</v>
      </c>
      <c r="B47" s="2">
        <v>46267</v>
      </c>
      <c r="C47" s="3">
        <v>16</v>
      </c>
      <c r="D47" s="3" t="s">
        <v>208</v>
      </c>
      <c r="E47" s="3" t="s">
        <v>117</v>
      </c>
      <c r="F47" s="3" t="s">
        <v>1312</v>
      </c>
      <c r="G47" s="3" t="s">
        <v>99</v>
      </c>
      <c r="H47" s="3" t="s">
        <v>100</v>
      </c>
      <c r="I47" s="3">
        <v>4</v>
      </c>
      <c r="J47" s="11">
        <v>120</v>
      </c>
      <c r="K47" s="4">
        <v>0</v>
      </c>
      <c r="L47" s="3" t="s">
        <v>95</v>
      </c>
      <c r="M47" s="3">
        <v>37</v>
      </c>
      <c r="N47" s="3">
        <v>12</v>
      </c>
      <c r="O47" s="3">
        <v>5</v>
      </c>
    </row>
    <row r="48" spans="1:15" ht="20" customHeight="1">
      <c r="A48" s="3" t="s">
        <v>209</v>
      </c>
      <c r="B48" s="2">
        <v>46267</v>
      </c>
      <c r="C48" s="3">
        <v>15</v>
      </c>
      <c r="D48" s="3" t="s">
        <v>210</v>
      </c>
      <c r="E48" s="3" t="s">
        <v>117</v>
      </c>
      <c r="F48" s="3" t="s">
        <v>109</v>
      </c>
      <c r="G48" s="3" t="s">
        <v>122</v>
      </c>
      <c r="H48" s="3" t="s">
        <v>123</v>
      </c>
      <c r="I48" s="3">
        <v>1</v>
      </c>
      <c r="J48" s="11">
        <v>45</v>
      </c>
      <c r="K48" s="4">
        <v>0.05</v>
      </c>
      <c r="L48" s="3" t="s">
        <v>95</v>
      </c>
      <c r="M48" s="3">
        <v>29</v>
      </c>
      <c r="N48" s="3">
        <v>14</v>
      </c>
      <c r="O48" s="3">
        <v>4</v>
      </c>
    </row>
    <row r="49" spans="1:15" ht="20" customHeight="1">
      <c r="A49" s="3" t="s">
        <v>211</v>
      </c>
      <c r="B49" s="2">
        <v>46267</v>
      </c>
      <c r="C49" s="3">
        <v>18</v>
      </c>
      <c r="D49" s="3" t="s">
        <v>212</v>
      </c>
      <c r="E49" s="3" t="s">
        <v>91</v>
      </c>
      <c r="F49" s="3" t="s">
        <v>98</v>
      </c>
      <c r="G49" s="3" t="s">
        <v>93</v>
      </c>
      <c r="H49" s="3" t="s">
        <v>94</v>
      </c>
      <c r="I49" s="3">
        <v>3</v>
      </c>
      <c r="J49" s="11">
        <v>95</v>
      </c>
      <c r="K49" s="4">
        <v>0</v>
      </c>
      <c r="L49" s="3" t="s">
        <v>95</v>
      </c>
      <c r="M49" s="3">
        <v>17</v>
      </c>
      <c r="N49" s="3">
        <v>11</v>
      </c>
      <c r="O49" s="3">
        <v>4</v>
      </c>
    </row>
    <row r="50" spans="1:15" ht="20" customHeight="1">
      <c r="A50" s="3" t="s">
        <v>213</v>
      </c>
      <c r="B50" s="2">
        <v>46267</v>
      </c>
      <c r="C50" s="3">
        <v>14</v>
      </c>
      <c r="D50" s="3" t="s">
        <v>201</v>
      </c>
      <c r="E50" s="3" t="s">
        <v>91</v>
      </c>
      <c r="F50" s="3" t="s">
        <v>121</v>
      </c>
      <c r="G50" s="3" t="s">
        <v>122</v>
      </c>
      <c r="H50" s="3" t="s">
        <v>214</v>
      </c>
      <c r="I50" s="3">
        <v>5</v>
      </c>
      <c r="J50" s="11">
        <v>55</v>
      </c>
      <c r="K50" s="4">
        <v>0</v>
      </c>
      <c r="L50" s="3" t="s">
        <v>95</v>
      </c>
      <c r="M50" s="3">
        <v>23</v>
      </c>
      <c r="N50" s="3">
        <v>5</v>
      </c>
      <c r="O50" s="3">
        <v>5</v>
      </c>
    </row>
    <row r="51" spans="1:15" ht="20" customHeight="1">
      <c r="A51" s="3" t="s">
        <v>215</v>
      </c>
      <c r="B51" s="2">
        <v>46267</v>
      </c>
      <c r="C51" s="3">
        <v>12</v>
      </c>
      <c r="D51" s="3" t="s">
        <v>216</v>
      </c>
      <c r="E51" s="3" t="s">
        <v>91</v>
      </c>
      <c r="F51" s="3" t="s">
        <v>98</v>
      </c>
      <c r="G51" s="3" t="s">
        <v>135</v>
      </c>
      <c r="H51" s="3" t="s">
        <v>217</v>
      </c>
      <c r="I51" s="3">
        <v>6</v>
      </c>
      <c r="J51" s="11">
        <v>65</v>
      </c>
      <c r="K51" s="4">
        <v>0.05</v>
      </c>
      <c r="L51" s="3" t="s">
        <v>95</v>
      </c>
      <c r="M51" s="3">
        <v>17</v>
      </c>
      <c r="N51" s="3">
        <v>11</v>
      </c>
      <c r="O51" s="3">
        <v>4</v>
      </c>
    </row>
    <row r="52" spans="1:15" ht="20" customHeight="1">
      <c r="A52" s="3" t="s">
        <v>218</v>
      </c>
      <c r="B52" s="2">
        <v>46267</v>
      </c>
      <c r="C52" s="3">
        <v>12</v>
      </c>
      <c r="D52" s="3" t="s">
        <v>219</v>
      </c>
      <c r="E52" s="3" t="s">
        <v>91</v>
      </c>
      <c r="F52" s="3" t="s">
        <v>98</v>
      </c>
      <c r="G52" s="3" t="s">
        <v>135</v>
      </c>
      <c r="H52" s="3" t="s">
        <v>136</v>
      </c>
      <c r="I52" s="3">
        <v>4</v>
      </c>
      <c r="J52" s="11">
        <v>40</v>
      </c>
      <c r="K52" s="4">
        <v>0</v>
      </c>
      <c r="L52" s="3" t="s">
        <v>95</v>
      </c>
      <c r="M52" s="3">
        <v>32</v>
      </c>
      <c r="N52" s="3">
        <v>12</v>
      </c>
      <c r="O52" s="3">
        <v>4</v>
      </c>
    </row>
    <row r="53" spans="1:15" ht="20" customHeight="1">
      <c r="A53" s="3" t="s">
        <v>220</v>
      </c>
      <c r="B53" s="2">
        <v>46267</v>
      </c>
      <c r="C53" s="3">
        <v>18</v>
      </c>
      <c r="D53" s="3" t="s">
        <v>188</v>
      </c>
      <c r="E53" s="3" t="s">
        <v>117</v>
      </c>
      <c r="F53" s="3" t="s">
        <v>121</v>
      </c>
      <c r="G53" s="3" t="s">
        <v>122</v>
      </c>
      <c r="H53" s="3" t="s">
        <v>214</v>
      </c>
      <c r="I53" s="3">
        <v>3</v>
      </c>
      <c r="J53" s="11">
        <v>55</v>
      </c>
      <c r="K53" s="4">
        <v>0</v>
      </c>
      <c r="L53" s="3" t="s">
        <v>95</v>
      </c>
      <c r="M53" s="3">
        <v>23</v>
      </c>
      <c r="N53" s="3">
        <v>12</v>
      </c>
      <c r="O53" s="3">
        <v>5</v>
      </c>
    </row>
    <row r="54" spans="1:15" ht="20" customHeight="1">
      <c r="A54" s="3" t="s">
        <v>221</v>
      </c>
      <c r="B54" s="2">
        <v>46267</v>
      </c>
      <c r="C54" s="3">
        <v>12</v>
      </c>
      <c r="D54" s="3" t="s">
        <v>222</v>
      </c>
      <c r="E54" s="3" t="s">
        <v>91</v>
      </c>
      <c r="F54" s="3" t="s">
        <v>109</v>
      </c>
      <c r="G54" s="3" t="s">
        <v>93</v>
      </c>
      <c r="H54" s="3" t="s">
        <v>146</v>
      </c>
      <c r="I54" s="3">
        <v>4</v>
      </c>
      <c r="J54" s="11">
        <v>110</v>
      </c>
      <c r="K54" s="4">
        <v>0</v>
      </c>
      <c r="L54" s="3" t="s">
        <v>95</v>
      </c>
      <c r="M54" s="3">
        <v>26</v>
      </c>
      <c r="N54" s="3">
        <v>9</v>
      </c>
      <c r="O54" s="3">
        <v>3</v>
      </c>
    </row>
    <row r="55" spans="1:15" ht="20" customHeight="1">
      <c r="A55" s="3" t="s">
        <v>223</v>
      </c>
      <c r="B55" s="2">
        <v>46267</v>
      </c>
      <c r="C55" s="3">
        <v>11</v>
      </c>
      <c r="D55" s="3" t="s">
        <v>224</v>
      </c>
      <c r="E55" s="3" t="s">
        <v>91</v>
      </c>
      <c r="F55" s="3" t="s">
        <v>92</v>
      </c>
      <c r="G55" s="3" t="s">
        <v>99</v>
      </c>
      <c r="H55" s="3" t="s">
        <v>100</v>
      </c>
      <c r="I55" s="3">
        <v>1</v>
      </c>
      <c r="J55" s="11">
        <v>120</v>
      </c>
      <c r="K55" s="4">
        <v>0.15</v>
      </c>
      <c r="L55" s="3" t="s">
        <v>95</v>
      </c>
      <c r="M55" s="3">
        <v>34</v>
      </c>
      <c r="N55" s="3">
        <v>11</v>
      </c>
      <c r="O55" s="3">
        <v>4</v>
      </c>
    </row>
    <row r="56" spans="1:15" ht="20" customHeight="1">
      <c r="A56" s="3" t="s">
        <v>225</v>
      </c>
      <c r="B56" s="2">
        <v>46267</v>
      </c>
      <c r="C56" s="3">
        <v>9</v>
      </c>
      <c r="D56" s="3" t="s">
        <v>226</v>
      </c>
      <c r="E56" s="3" t="s">
        <v>91</v>
      </c>
      <c r="F56" s="3" t="s">
        <v>139</v>
      </c>
      <c r="G56" s="3" t="s">
        <v>99</v>
      </c>
      <c r="H56" s="3" t="s">
        <v>100</v>
      </c>
      <c r="I56" s="3">
        <v>3</v>
      </c>
      <c r="J56" s="11">
        <v>120</v>
      </c>
      <c r="K56" s="4">
        <v>0</v>
      </c>
      <c r="L56" s="3" t="s">
        <v>95</v>
      </c>
      <c r="M56" s="3">
        <v>35</v>
      </c>
      <c r="N56" s="3">
        <v>5</v>
      </c>
      <c r="O56" s="3">
        <v>4</v>
      </c>
    </row>
    <row r="57" spans="1:15" ht="20" customHeight="1">
      <c r="A57" s="3" t="s">
        <v>227</v>
      </c>
      <c r="B57" s="2">
        <v>46267</v>
      </c>
      <c r="C57" s="3">
        <v>10</v>
      </c>
      <c r="D57" s="3" t="s">
        <v>228</v>
      </c>
      <c r="E57" s="3" t="s">
        <v>91</v>
      </c>
      <c r="F57" s="3" t="s">
        <v>139</v>
      </c>
      <c r="G57" s="3" t="s">
        <v>135</v>
      </c>
      <c r="H57" s="3" t="s">
        <v>136</v>
      </c>
      <c r="I57" s="3">
        <v>3</v>
      </c>
      <c r="J57" s="11">
        <v>40</v>
      </c>
      <c r="K57" s="4">
        <v>0</v>
      </c>
      <c r="L57" s="3" t="s">
        <v>95</v>
      </c>
      <c r="M57" s="3">
        <v>29</v>
      </c>
      <c r="N57" s="3">
        <v>6</v>
      </c>
      <c r="O57" s="3">
        <v>5</v>
      </c>
    </row>
    <row r="58" spans="1:15" ht="20" customHeight="1">
      <c r="A58" s="3" t="s">
        <v>229</v>
      </c>
      <c r="B58" s="2">
        <v>46267</v>
      </c>
      <c r="C58" s="3">
        <v>17</v>
      </c>
      <c r="D58" s="3" t="s">
        <v>230</v>
      </c>
      <c r="E58" s="3" t="s">
        <v>91</v>
      </c>
      <c r="F58" s="3" t="s">
        <v>121</v>
      </c>
      <c r="G58" s="3" t="s">
        <v>110</v>
      </c>
      <c r="H58" s="3" t="s">
        <v>114</v>
      </c>
      <c r="I58" s="3">
        <v>3</v>
      </c>
      <c r="J58" s="11">
        <v>145</v>
      </c>
      <c r="K58" s="4">
        <v>0</v>
      </c>
      <c r="L58" s="3" t="s">
        <v>101</v>
      </c>
      <c r="M58" s="3"/>
      <c r="N58" s="3"/>
      <c r="O58" s="3"/>
    </row>
    <row r="59" spans="1:15" ht="20" customHeight="1">
      <c r="A59" s="3" t="s">
        <v>231</v>
      </c>
      <c r="B59" s="2">
        <v>46267</v>
      </c>
      <c r="C59" s="3">
        <v>15</v>
      </c>
      <c r="D59" s="3" t="s">
        <v>232</v>
      </c>
      <c r="E59" s="3" t="s">
        <v>91</v>
      </c>
      <c r="F59" s="3" t="s">
        <v>121</v>
      </c>
      <c r="G59" s="3" t="s">
        <v>99</v>
      </c>
      <c r="H59" s="3" t="s">
        <v>100</v>
      </c>
      <c r="I59" s="3">
        <v>4</v>
      </c>
      <c r="J59" s="11">
        <v>120</v>
      </c>
      <c r="K59" s="4">
        <v>0.15</v>
      </c>
      <c r="L59" s="3" t="s">
        <v>95</v>
      </c>
      <c r="M59" s="3">
        <v>16</v>
      </c>
      <c r="N59" s="3">
        <v>11</v>
      </c>
      <c r="O59" s="3">
        <v>5</v>
      </c>
    </row>
    <row r="60" spans="1:15" ht="20" customHeight="1">
      <c r="A60" s="3" t="s">
        <v>233</v>
      </c>
      <c r="B60" s="2">
        <v>46267</v>
      </c>
      <c r="C60" s="3">
        <v>11</v>
      </c>
      <c r="D60" s="3" t="s">
        <v>234</v>
      </c>
      <c r="E60" s="3" t="s">
        <v>91</v>
      </c>
      <c r="F60" s="3" t="s">
        <v>92</v>
      </c>
      <c r="G60" s="3" t="s">
        <v>93</v>
      </c>
      <c r="H60" s="3" t="s">
        <v>118</v>
      </c>
      <c r="I60" s="3">
        <v>1</v>
      </c>
      <c r="J60" s="11">
        <v>45</v>
      </c>
      <c r="K60" s="4">
        <v>0</v>
      </c>
      <c r="L60" s="3" t="s">
        <v>95</v>
      </c>
      <c r="M60" s="3">
        <v>18</v>
      </c>
      <c r="N60" s="3">
        <v>8</v>
      </c>
      <c r="O60" s="3">
        <v>4</v>
      </c>
    </row>
    <row r="61" spans="1:15" ht="20" customHeight="1">
      <c r="A61" s="3" t="s">
        <v>235</v>
      </c>
      <c r="B61" s="2">
        <v>46267</v>
      </c>
      <c r="C61" s="3">
        <v>10</v>
      </c>
      <c r="D61" s="3" t="s">
        <v>236</v>
      </c>
      <c r="E61" s="3" t="s">
        <v>91</v>
      </c>
      <c r="F61" s="3" t="s">
        <v>98</v>
      </c>
      <c r="G61" s="3" t="s">
        <v>135</v>
      </c>
      <c r="H61" s="3" t="s">
        <v>162</v>
      </c>
      <c r="I61" s="3">
        <v>6</v>
      </c>
      <c r="J61" s="11">
        <v>180</v>
      </c>
      <c r="K61" s="4">
        <v>0.1</v>
      </c>
      <c r="L61" s="3" t="s">
        <v>101</v>
      </c>
      <c r="M61" s="3"/>
      <c r="N61" s="3"/>
      <c r="O61" s="3"/>
    </row>
    <row r="62" spans="1:15" ht="20" customHeight="1">
      <c r="A62" s="3" t="s">
        <v>237</v>
      </c>
      <c r="B62" s="2">
        <v>46268</v>
      </c>
      <c r="C62" s="3">
        <v>19</v>
      </c>
      <c r="D62" s="3" t="s">
        <v>238</v>
      </c>
      <c r="E62" s="3" t="s">
        <v>91</v>
      </c>
      <c r="F62" s="3" t="s">
        <v>121</v>
      </c>
      <c r="G62" s="3" t="s">
        <v>110</v>
      </c>
      <c r="H62" s="3" t="s">
        <v>206</v>
      </c>
      <c r="I62" s="3">
        <v>1</v>
      </c>
      <c r="J62" s="11">
        <v>220</v>
      </c>
      <c r="K62" s="4">
        <v>0</v>
      </c>
      <c r="L62" s="3" t="s">
        <v>1311</v>
      </c>
      <c r="M62" s="3">
        <v>18</v>
      </c>
      <c r="N62" s="3">
        <v>13</v>
      </c>
      <c r="O62" s="3">
        <v>5</v>
      </c>
    </row>
    <row r="63" spans="1:15" ht="20" customHeight="1">
      <c r="A63" s="3" t="s">
        <v>239</v>
      </c>
      <c r="B63" s="2">
        <v>46268</v>
      </c>
      <c r="C63" s="3">
        <v>21</v>
      </c>
      <c r="D63" s="3" t="s">
        <v>240</v>
      </c>
      <c r="E63" s="3" t="s">
        <v>91</v>
      </c>
      <c r="F63" s="3" t="s">
        <v>109</v>
      </c>
      <c r="G63" s="3" t="s">
        <v>135</v>
      </c>
      <c r="H63" s="3" t="s">
        <v>162</v>
      </c>
      <c r="I63" s="3">
        <v>1</v>
      </c>
      <c r="J63" s="11">
        <v>180</v>
      </c>
      <c r="K63" s="4">
        <v>0.15</v>
      </c>
      <c r="L63" s="3" t="s">
        <v>95</v>
      </c>
      <c r="M63" s="3">
        <v>13</v>
      </c>
      <c r="N63" s="3">
        <v>14</v>
      </c>
      <c r="O63" s="3">
        <v>4</v>
      </c>
    </row>
    <row r="64" spans="1:15" ht="20" customHeight="1">
      <c r="A64" s="3" t="s">
        <v>241</v>
      </c>
      <c r="B64" s="2">
        <v>46268</v>
      </c>
      <c r="C64" s="3">
        <v>20</v>
      </c>
      <c r="D64" s="3" t="s">
        <v>242</v>
      </c>
      <c r="E64" s="3" t="s">
        <v>91</v>
      </c>
      <c r="F64" s="3" t="s">
        <v>121</v>
      </c>
      <c r="G64" s="3" t="s">
        <v>135</v>
      </c>
      <c r="H64" s="3" t="s">
        <v>136</v>
      </c>
      <c r="I64" s="3">
        <v>3</v>
      </c>
      <c r="J64" s="11">
        <v>40</v>
      </c>
      <c r="K64" s="4">
        <v>0.15</v>
      </c>
      <c r="L64" s="3" t="s">
        <v>95</v>
      </c>
      <c r="M64" s="3">
        <v>28</v>
      </c>
      <c r="N64" s="3">
        <v>11</v>
      </c>
      <c r="O64" s="3">
        <v>5</v>
      </c>
    </row>
    <row r="65" spans="1:15" ht="20" customHeight="1">
      <c r="A65" s="3" t="s">
        <v>243</v>
      </c>
      <c r="B65" s="2">
        <v>46268</v>
      </c>
      <c r="C65" s="3">
        <v>17</v>
      </c>
      <c r="D65" s="3" t="s">
        <v>244</v>
      </c>
      <c r="E65" s="3" t="s">
        <v>117</v>
      </c>
      <c r="F65" s="3" t="s">
        <v>121</v>
      </c>
      <c r="G65" s="3" t="s">
        <v>93</v>
      </c>
      <c r="H65" s="3" t="s">
        <v>118</v>
      </c>
      <c r="I65" s="3">
        <v>1</v>
      </c>
      <c r="J65" s="11">
        <v>45</v>
      </c>
      <c r="K65" s="4">
        <v>0.05</v>
      </c>
      <c r="L65" s="3" t="s">
        <v>95</v>
      </c>
      <c r="M65" s="3">
        <v>17</v>
      </c>
      <c r="N65" s="3">
        <v>13</v>
      </c>
      <c r="O65" s="3">
        <v>4</v>
      </c>
    </row>
    <row r="66" spans="1:15" ht="20" customHeight="1">
      <c r="A66" s="3" t="s">
        <v>245</v>
      </c>
      <c r="B66" s="2">
        <v>46268</v>
      </c>
      <c r="C66" s="3">
        <v>10</v>
      </c>
      <c r="D66" s="3" t="s">
        <v>169</v>
      </c>
      <c r="E66" s="3" t="s">
        <v>91</v>
      </c>
      <c r="F66" s="3" t="s">
        <v>121</v>
      </c>
      <c r="G66" s="3" t="s">
        <v>110</v>
      </c>
      <c r="H66" s="3" t="s">
        <v>111</v>
      </c>
      <c r="I66" s="3">
        <v>6</v>
      </c>
      <c r="J66" s="11">
        <v>115</v>
      </c>
      <c r="K66" s="4">
        <v>0.05</v>
      </c>
      <c r="L66" s="3" t="s">
        <v>95</v>
      </c>
      <c r="M66" s="3">
        <v>35</v>
      </c>
      <c r="N66" s="3">
        <v>6</v>
      </c>
      <c r="O66" s="3">
        <v>5</v>
      </c>
    </row>
    <row r="67" spans="1:15" ht="20" customHeight="1">
      <c r="A67" s="3" t="s">
        <v>246</v>
      </c>
      <c r="B67" s="2">
        <v>46268</v>
      </c>
      <c r="C67" s="3">
        <v>17</v>
      </c>
      <c r="D67" s="3" t="s">
        <v>247</v>
      </c>
      <c r="E67" s="3" t="s">
        <v>117</v>
      </c>
      <c r="F67" s="3" t="s">
        <v>92</v>
      </c>
      <c r="G67" s="3" t="s">
        <v>93</v>
      </c>
      <c r="H67" s="3" t="s">
        <v>118</v>
      </c>
      <c r="I67" s="3">
        <v>2</v>
      </c>
      <c r="J67" s="11">
        <v>45</v>
      </c>
      <c r="K67" s="4">
        <v>0</v>
      </c>
      <c r="L67" s="3" t="s">
        <v>95</v>
      </c>
      <c r="M67" s="3">
        <v>29</v>
      </c>
      <c r="N67" s="3">
        <v>5</v>
      </c>
      <c r="O67" s="3">
        <v>4</v>
      </c>
    </row>
    <row r="68" spans="1:15" ht="20" customHeight="1">
      <c r="A68" s="3" t="s">
        <v>248</v>
      </c>
      <c r="B68" s="2">
        <v>46268</v>
      </c>
      <c r="C68" s="3">
        <v>10</v>
      </c>
      <c r="D68" s="3" t="s">
        <v>116</v>
      </c>
      <c r="E68" s="3" t="s">
        <v>117</v>
      </c>
      <c r="F68" s="3" t="s">
        <v>92</v>
      </c>
      <c r="G68" s="3" t="s">
        <v>93</v>
      </c>
      <c r="H68" s="3" t="s">
        <v>118</v>
      </c>
      <c r="I68" s="3">
        <v>2</v>
      </c>
      <c r="J68" s="11">
        <v>45</v>
      </c>
      <c r="K68" s="4">
        <v>0</v>
      </c>
      <c r="L68" s="3" t="s">
        <v>95</v>
      </c>
      <c r="M68" s="3">
        <v>27</v>
      </c>
      <c r="N68" s="3">
        <v>6</v>
      </c>
      <c r="O68" s="3">
        <v>3</v>
      </c>
    </row>
    <row r="69" spans="1:15" ht="20" customHeight="1">
      <c r="A69" s="3" t="s">
        <v>249</v>
      </c>
      <c r="B69" s="2">
        <v>46268</v>
      </c>
      <c r="C69" s="3">
        <v>10</v>
      </c>
      <c r="D69" s="3" t="s">
        <v>250</v>
      </c>
      <c r="E69" s="3" t="s">
        <v>91</v>
      </c>
      <c r="F69" s="3" t="s">
        <v>92</v>
      </c>
      <c r="G69" s="3" t="s">
        <v>174</v>
      </c>
      <c r="H69" s="3" t="s">
        <v>175</v>
      </c>
      <c r="I69" s="3">
        <v>3</v>
      </c>
      <c r="J69" s="11">
        <v>155</v>
      </c>
      <c r="K69" s="4">
        <v>0</v>
      </c>
      <c r="L69" s="3" t="s">
        <v>95</v>
      </c>
      <c r="M69" s="3">
        <v>24</v>
      </c>
      <c r="N69" s="3">
        <v>13</v>
      </c>
      <c r="O69" s="3">
        <v>4</v>
      </c>
    </row>
    <row r="70" spans="1:15" ht="20" customHeight="1">
      <c r="A70" s="3" t="s">
        <v>251</v>
      </c>
      <c r="B70" s="2">
        <v>46268</v>
      </c>
      <c r="C70" s="3">
        <v>7</v>
      </c>
      <c r="D70" s="3" t="s">
        <v>252</v>
      </c>
      <c r="E70" s="3" t="s">
        <v>91</v>
      </c>
      <c r="F70" s="3" t="s">
        <v>121</v>
      </c>
      <c r="G70" s="3" t="s">
        <v>99</v>
      </c>
      <c r="H70" s="3" t="s">
        <v>104</v>
      </c>
      <c r="I70" s="3">
        <v>3</v>
      </c>
      <c r="J70" s="11">
        <v>240</v>
      </c>
      <c r="K70" s="4">
        <v>0</v>
      </c>
      <c r="L70" s="3" t="s">
        <v>95</v>
      </c>
      <c r="M70" s="3">
        <v>13</v>
      </c>
      <c r="N70" s="3">
        <v>13</v>
      </c>
      <c r="O70" s="3">
        <v>3</v>
      </c>
    </row>
    <row r="71" spans="1:15" ht="20" customHeight="1">
      <c r="A71" s="3" t="s">
        <v>253</v>
      </c>
      <c r="B71" s="2">
        <v>46268</v>
      </c>
      <c r="C71" s="3">
        <v>8</v>
      </c>
      <c r="D71" s="3" t="s">
        <v>90</v>
      </c>
      <c r="E71" s="3" t="s">
        <v>91</v>
      </c>
      <c r="F71" s="3" t="s">
        <v>92</v>
      </c>
      <c r="G71" s="3" t="s">
        <v>93</v>
      </c>
      <c r="H71" s="3" t="s">
        <v>94</v>
      </c>
      <c r="I71" s="3">
        <v>1</v>
      </c>
      <c r="J71" s="11">
        <v>95</v>
      </c>
      <c r="K71" s="4">
        <v>0.15</v>
      </c>
      <c r="L71" s="3" t="s">
        <v>101</v>
      </c>
      <c r="M71" s="3"/>
      <c r="N71" s="3"/>
      <c r="O71" s="3"/>
    </row>
    <row r="72" spans="1:15" ht="20" customHeight="1">
      <c r="A72" s="3" t="s">
        <v>254</v>
      </c>
      <c r="B72" s="2">
        <v>46268</v>
      </c>
      <c r="C72" s="3">
        <v>16</v>
      </c>
      <c r="D72" s="3" t="s">
        <v>255</v>
      </c>
      <c r="E72" s="3" t="s">
        <v>91</v>
      </c>
      <c r="F72" s="3" t="s">
        <v>109</v>
      </c>
      <c r="G72" s="3" t="s">
        <v>99</v>
      </c>
      <c r="H72" s="3" t="s">
        <v>130</v>
      </c>
      <c r="I72" s="3">
        <v>1</v>
      </c>
      <c r="J72" s="11">
        <v>85</v>
      </c>
      <c r="K72" s="4">
        <v>0.15</v>
      </c>
      <c r="L72" s="3" t="s">
        <v>95</v>
      </c>
      <c r="M72" s="3">
        <v>31</v>
      </c>
      <c r="N72" s="3">
        <v>6</v>
      </c>
      <c r="O72" s="3">
        <v>3</v>
      </c>
    </row>
    <row r="73" spans="1:15" ht="20" customHeight="1">
      <c r="A73" s="3" t="s">
        <v>256</v>
      </c>
      <c r="B73" s="2">
        <v>46268</v>
      </c>
      <c r="C73" s="3">
        <v>12</v>
      </c>
      <c r="D73" s="3" t="s">
        <v>257</v>
      </c>
      <c r="E73" s="3" t="s">
        <v>91</v>
      </c>
      <c r="F73" s="3" t="s">
        <v>92</v>
      </c>
      <c r="G73" s="3" t="s">
        <v>135</v>
      </c>
      <c r="H73" s="3" t="s">
        <v>217</v>
      </c>
      <c r="I73" s="3">
        <v>2</v>
      </c>
      <c r="J73" s="11">
        <v>65</v>
      </c>
      <c r="K73" s="4">
        <v>0.05</v>
      </c>
      <c r="L73" s="3" t="s">
        <v>95</v>
      </c>
      <c r="M73" s="3">
        <v>13</v>
      </c>
      <c r="N73" s="3">
        <v>5</v>
      </c>
      <c r="O73" s="3">
        <v>3</v>
      </c>
    </row>
    <row r="74" spans="1:15" ht="20" customHeight="1">
      <c r="A74" s="3" t="s">
        <v>258</v>
      </c>
      <c r="B74" s="2">
        <v>46268</v>
      </c>
      <c r="C74" s="3">
        <v>8</v>
      </c>
      <c r="D74" s="3" t="s">
        <v>259</v>
      </c>
      <c r="E74" s="3" t="s">
        <v>91</v>
      </c>
      <c r="F74" s="3" t="s">
        <v>92</v>
      </c>
      <c r="G74" s="3" t="s">
        <v>110</v>
      </c>
      <c r="H74" s="3" t="s">
        <v>114</v>
      </c>
      <c r="I74" s="3">
        <v>1</v>
      </c>
      <c r="J74" s="11">
        <v>145</v>
      </c>
      <c r="K74" s="4">
        <v>0.1</v>
      </c>
      <c r="L74" s="3" t="s">
        <v>95</v>
      </c>
      <c r="M74" s="3">
        <v>29</v>
      </c>
      <c r="N74" s="3">
        <v>13</v>
      </c>
      <c r="O74" s="3">
        <v>4</v>
      </c>
    </row>
    <row r="75" spans="1:15" ht="20" customHeight="1">
      <c r="A75" s="3" t="s">
        <v>260</v>
      </c>
      <c r="B75" s="2">
        <v>46268</v>
      </c>
      <c r="C75" s="3">
        <v>13</v>
      </c>
      <c r="D75" s="3" t="s">
        <v>97</v>
      </c>
      <c r="E75" s="3" t="s">
        <v>91</v>
      </c>
      <c r="F75" s="3" t="s">
        <v>92</v>
      </c>
      <c r="G75" s="3" t="s">
        <v>99</v>
      </c>
      <c r="H75" s="3" t="s">
        <v>100</v>
      </c>
      <c r="I75" s="3">
        <v>4</v>
      </c>
      <c r="J75" s="11">
        <v>120</v>
      </c>
      <c r="K75" s="4">
        <v>0.1</v>
      </c>
      <c r="L75" s="3" t="s">
        <v>95</v>
      </c>
      <c r="M75" s="3">
        <v>28</v>
      </c>
      <c r="N75" s="3">
        <v>4</v>
      </c>
      <c r="O75" s="3">
        <v>3</v>
      </c>
    </row>
    <row r="76" spans="1:15" ht="20" customHeight="1">
      <c r="A76" s="3" t="s">
        <v>261</v>
      </c>
      <c r="B76" s="2">
        <v>46268</v>
      </c>
      <c r="C76" s="3">
        <v>19</v>
      </c>
      <c r="D76" s="3" t="s">
        <v>262</v>
      </c>
      <c r="E76" s="3" t="s">
        <v>117</v>
      </c>
      <c r="F76" s="3" t="s">
        <v>92</v>
      </c>
      <c r="G76" s="3" t="s">
        <v>122</v>
      </c>
      <c r="H76" s="3" t="s">
        <v>153</v>
      </c>
      <c r="I76" s="3">
        <v>1</v>
      </c>
      <c r="J76" s="11">
        <v>130</v>
      </c>
      <c r="K76" s="4">
        <v>0.15</v>
      </c>
      <c r="L76" s="3" t="s">
        <v>95</v>
      </c>
      <c r="M76" s="3">
        <v>19</v>
      </c>
      <c r="N76" s="3">
        <v>5</v>
      </c>
      <c r="O76" s="3">
        <v>5</v>
      </c>
    </row>
    <row r="77" spans="1:15" ht="20" customHeight="1">
      <c r="A77" s="3" t="s">
        <v>263</v>
      </c>
      <c r="B77" s="2">
        <v>46268</v>
      </c>
      <c r="C77" s="3">
        <v>9</v>
      </c>
      <c r="D77" s="3" t="s">
        <v>120</v>
      </c>
      <c r="E77" s="3" t="s">
        <v>91</v>
      </c>
      <c r="F77" s="3" t="s">
        <v>139</v>
      </c>
      <c r="G77" s="3" t="s">
        <v>110</v>
      </c>
      <c r="H77" s="3" t="s">
        <v>114</v>
      </c>
      <c r="I77" s="3">
        <v>3</v>
      </c>
      <c r="J77" s="11">
        <v>145</v>
      </c>
      <c r="K77" s="4">
        <v>0.1</v>
      </c>
      <c r="L77" s="3" t="s">
        <v>95</v>
      </c>
      <c r="M77" s="3">
        <v>34</v>
      </c>
      <c r="N77" s="3">
        <v>8</v>
      </c>
      <c r="O77" s="3">
        <v>4</v>
      </c>
    </row>
    <row r="78" spans="1:15" ht="20" customHeight="1">
      <c r="A78" s="3" t="s">
        <v>264</v>
      </c>
      <c r="B78" s="2">
        <v>46268</v>
      </c>
      <c r="C78" s="3">
        <v>10</v>
      </c>
      <c r="D78" s="3" t="s">
        <v>265</v>
      </c>
      <c r="E78" s="3" t="s">
        <v>117</v>
      </c>
      <c r="F78" s="3" t="s">
        <v>109</v>
      </c>
      <c r="G78" s="3" t="s">
        <v>135</v>
      </c>
      <c r="H78" s="3" t="s">
        <v>162</v>
      </c>
      <c r="I78" s="3">
        <v>6</v>
      </c>
      <c r="J78" s="11">
        <v>180</v>
      </c>
      <c r="K78" s="4">
        <v>0.05</v>
      </c>
      <c r="L78" s="3" t="s">
        <v>95</v>
      </c>
      <c r="M78" s="3">
        <v>17</v>
      </c>
      <c r="N78" s="3">
        <v>5</v>
      </c>
      <c r="O78" s="3">
        <v>5</v>
      </c>
    </row>
    <row r="79" spans="1:15" ht="20" customHeight="1">
      <c r="A79" s="3" t="s">
        <v>266</v>
      </c>
      <c r="B79" s="2">
        <v>46268</v>
      </c>
      <c r="C79" s="3">
        <v>8</v>
      </c>
      <c r="D79" s="3" t="s">
        <v>267</v>
      </c>
      <c r="E79" s="3" t="s">
        <v>91</v>
      </c>
      <c r="F79" s="3" t="s">
        <v>92</v>
      </c>
      <c r="G79" s="3" t="s">
        <v>135</v>
      </c>
      <c r="H79" s="3" t="s">
        <v>136</v>
      </c>
      <c r="I79" s="3">
        <v>5</v>
      </c>
      <c r="J79" s="11">
        <v>40</v>
      </c>
      <c r="K79" s="4">
        <v>0</v>
      </c>
      <c r="L79" s="3" t="s">
        <v>95</v>
      </c>
      <c r="M79" s="3">
        <v>25</v>
      </c>
      <c r="N79" s="3">
        <v>9</v>
      </c>
      <c r="O79" s="3">
        <v>3</v>
      </c>
    </row>
    <row r="80" spans="1:15" ht="20" customHeight="1">
      <c r="A80" s="3" t="s">
        <v>268</v>
      </c>
      <c r="B80" s="2">
        <v>46268</v>
      </c>
      <c r="C80" s="3">
        <v>17</v>
      </c>
      <c r="D80" s="3" t="s">
        <v>269</v>
      </c>
      <c r="E80" s="3" t="s">
        <v>117</v>
      </c>
      <c r="F80" s="3" t="s">
        <v>92</v>
      </c>
      <c r="G80" s="3" t="s">
        <v>122</v>
      </c>
      <c r="H80" s="3" t="s">
        <v>214</v>
      </c>
      <c r="I80" s="3">
        <v>3</v>
      </c>
      <c r="J80" s="11">
        <v>55</v>
      </c>
      <c r="K80" s="4">
        <v>0.15</v>
      </c>
      <c r="L80" s="3" t="s">
        <v>95</v>
      </c>
      <c r="M80" s="3">
        <v>33</v>
      </c>
      <c r="N80" s="3">
        <v>5</v>
      </c>
      <c r="O80" s="3">
        <v>5</v>
      </c>
    </row>
    <row r="81" spans="1:15" ht="20" customHeight="1">
      <c r="A81" s="3" t="s">
        <v>270</v>
      </c>
      <c r="B81" s="2">
        <v>46268</v>
      </c>
      <c r="C81" s="3">
        <v>22</v>
      </c>
      <c r="D81" s="3" t="s">
        <v>271</v>
      </c>
      <c r="E81" s="3" t="s">
        <v>91</v>
      </c>
      <c r="F81" s="3" t="s">
        <v>98</v>
      </c>
      <c r="G81" s="3" t="s">
        <v>93</v>
      </c>
      <c r="H81" s="3" t="s">
        <v>118</v>
      </c>
      <c r="I81" s="3">
        <v>2</v>
      </c>
      <c r="J81" s="11">
        <v>45</v>
      </c>
      <c r="K81" s="4">
        <v>0</v>
      </c>
      <c r="L81" s="3" t="s">
        <v>95</v>
      </c>
      <c r="M81" s="3">
        <v>17</v>
      </c>
      <c r="N81" s="3">
        <v>11</v>
      </c>
      <c r="O81" s="3">
        <v>5</v>
      </c>
    </row>
    <row r="82" spans="1:15" ht="20" customHeight="1">
      <c r="A82" s="3" t="s">
        <v>272</v>
      </c>
      <c r="B82" s="2">
        <v>46268</v>
      </c>
      <c r="C82" s="3">
        <v>18</v>
      </c>
      <c r="D82" s="3" t="s">
        <v>273</v>
      </c>
      <c r="E82" s="3" t="s">
        <v>117</v>
      </c>
      <c r="F82" s="3" t="s">
        <v>121</v>
      </c>
      <c r="G82" s="3" t="s">
        <v>174</v>
      </c>
      <c r="H82" s="3" t="s">
        <v>274</v>
      </c>
      <c r="I82" s="3">
        <v>5</v>
      </c>
      <c r="J82" s="11">
        <v>90</v>
      </c>
      <c r="K82" s="4">
        <v>0.05</v>
      </c>
      <c r="L82" s="3" t="s">
        <v>95</v>
      </c>
      <c r="M82" s="3">
        <v>16</v>
      </c>
      <c r="N82" s="3">
        <v>5</v>
      </c>
      <c r="O82" s="3">
        <v>3</v>
      </c>
    </row>
    <row r="83" spans="1:15" ht="20" customHeight="1">
      <c r="A83" s="3" t="s">
        <v>275</v>
      </c>
      <c r="B83" s="2">
        <v>46268</v>
      </c>
      <c r="C83" s="3">
        <v>19</v>
      </c>
      <c r="D83" s="3" t="s">
        <v>276</v>
      </c>
      <c r="E83" s="3" t="s">
        <v>117</v>
      </c>
      <c r="F83" s="3" t="s">
        <v>98</v>
      </c>
      <c r="G83" s="3" t="s">
        <v>99</v>
      </c>
      <c r="H83" s="3" t="s">
        <v>104</v>
      </c>
      <c r="I83" s="3">
        <v>3</v>
      </c>
      <c r="J83" s="11">
        <v>240</v>
      </c>
      <c r="K83" s="4">
        <v>0</v>
      </c>
      <c r="L83" s="3" t="s">
        <v>101</v>
      </c>
      <c r="M83" s="3"/>
      <c r="N83" s="3"/>
      <c r="O83" s="3"/>
    </row>
    <row r="84" spans="1:15" ht="20" customHeight="1">
      <c r="A84" s="3" t="s">
        <v>277</v>
      </c>
      <c r="B84" s="2">
        <v>46268</v>
      </c>
      <c r="C84" s="3">
        <v>18</v>
      </c>
      <c r="D84" s="3" t="s">
        <v>252</v>
      </c>
      <c r="E84" s="3" t="s">
        <v>91</v>
      </c>
      <c r="F84" s="3" t="s">
        <v>98</v>
      </c>
      <c r="G84" s="3" t="s">
        <v>174</v>
      </c>
      <c r="H84" s="3" t="s">
        <v>274</v>
      </c>
      <c r="I84" s="3">
        <v>6</v>
      </c>
      <c r="J84" s="11">
        <v>90</v>
      </c>
      <c r="K84" s="4">
        <v>0.05</v>
      </c>
      <c r="L84" s="3" t="s">
        <v>95</v>
      </c>
      <c r="M84" s="3">
        <v>35</v>
      </c>
      <c r="N84" s="3">
        <v>6</v>
      </c>
      <c r="O84" s="3">
        <v>4</v>
      </c>
    </row>
    <row r="85" spans="1:15" ht="20" customHeight="1">
      <c r="A85" s="3" t="s">
        <v>278</v>
      </c>
      <c r="B85" s="2">
        <v>46268</v>
      </c>
      <c r="C85" s="3">
        <v>22</v>
      </c>
      <c r="D85" s="3" t="s">
        <v>279</v>
      </c>
      <c r="E85" s="3" t="s">
        <v>91</v>
      </c>
      <c r="F85" s="3" t="s">
        <v>92</v>
      </c>
      <c r="G85" s="3" t="s">
        <v>135</v>
      </c>
      <c r="H85" s="3" t="s">
        <v>136</v>
      </c>
      <c r="I85" s="3">
        <v>6</v>
      </c>
      <c r="J85" s="11">
        <v>40</v>
      </c>
      <c r="K85" s="4">
        <v>0.1</v>
      </c>
      <c r="L85" s="3" t="s">
        <v>95</v>
      </c>
      <c r="M85" s="3">
        <v>18</v>
      </c>
      <c r="N85" s="3">
        <v>9</v>
      </c>
      <c r="O85" s="3">
        <v>5</v>
      </c>
    </row>
    <row r="86" spans="1:15" ht="20" customHeight="1">
      <c r="A86" s="3" t="s">
        <v>280</v>
      </c>
      <c r="B86" s="2">
        <v>46268</v>
      </c>
      <c r="C86" s="3">
        <v>6</v>
      </c>
      <c r="D86" s="3" t="s">
        <v>281</v>
      </c>
      <c r="E86" s="3" t="s">
        <v>91</v>
      </c>
      <c r="F86" s="3" t="s">
        <v>139</v>
      </c>
      <c r="G86" s="3" t="s">
        <v>122</v>
      </c>
      <c r="H86" s="3" t="s">
        <v>123</v>
      </c>
      <c r="I86" s="3">
        <v>3</v>
      </c>
      <c r="J86" s="11">
        <v>45</v>
      </c>
      <c r="K86" s="4">
        <v>0.1</v>
      </c>
      <c r="L86" s="3" t="s">
        <v>95</v>
      </c>
      <c r="M86" s="3">
        <v>30</v>
      </c>
      <c r="N86" s="3">
        <v>9</v>
      </c>
      <c r="O86" s="3">
        <v>4</v>
      </c>
    </row>
    <row r="87" spans="1:15" ht="20" customHeight="1">
      <c r="A87" s="3" t="s">
        <v>282</v>
      </c>
      <c r="B87" s="2">
        <v>46268</v>
      </c>
      <c r="C87" s="3">
        <v>11</v>
      </c>
      <c r="D87" s="3" t="s">
        <v>283</v>
      </c>
      <c r="E87" s="3" t="s">
        <v>91</v>
      </c>
      <c r="F87" s="3" t="s">
        <v>109</v>
      </c>
      <c r="G87" s="3" t="s">
        <v>135</v>
      </c>
      <c r="H87" s="3" t="s">
        <v>217</v>
      </c>
      <c r="I87" s="3">
        <v>1</v>
      </c>
      <c r="J87" s="11">
        <v>65</v>
      </c>
      <c r="K87" s="4">
        <v>0.1</v>
      </c>
      <c r="L87" s="3" t="s">
        <v>95</v>
      </c>
      <c r="M87" s="3">
        <v>14</v>
      </c>
      <c r="N87" s="3">
        <v>11</v>
      </c>
      <c r="O87" s="3">
        <v>5</v>
      </c>
    </row>
    <row r="88" spans="1:15" ht="20" customHeight="1">
      <c r="A88" s="3" t="s">
        <v>284</v>
      </c>
      <c r="B88" s="2">
        <v>46268</v>
      </c>
      <c r="C88" s="3">
        <v>17</v>
      </c>
      <c r="D88" s="3" t="s">
        <v>285</v>
      </c>
      <c r="E88" s="3" t="s">
        <v>91</v>
      </c>
      <c r="F88" s="3" t="s">
        <v>98</v>
      </c>
      <c r="G88" s="3" t="s">
        <v>99</v>
      </c>
      <c r="H88" s="3" t="s">
        <v>100</v>
      </c>
      <c r="I88" s="3">
        <v>5</v>
      </c>
      <c r="J88" s="11">
        <v>120</v>
      </c>
      <c r="K88" s="4">
        <v>0.05</v>
      </c>
      <c r="L88" s="3" t="s">
        <v>95</v>
      </c>
      <c r="M88" s="3">
        <v>31</v>
      </c>
      <c r="N88" s="3">
        <v>8</v>
      </c>
      <c r="O88" s="3">
        <v>5</v>
      </c>
    </row>
    <row r="89" spans="1:15" ht="20" customHeight="1">
      <c r="A89" s="3" t="s">
        <v>286</v>
      </c>
      <c r="B89" s="2">
        <v>46268</v>
      </c>
      <c r="C89" s="3">
        <v>7</v>
      </c>
      <c r="D89" s="3" t="s">
        <v>287</v>
      </c>
      <c r="E89" s="3" t="s">
        <v>91</v>
      </c>
      <c r="F89" s="3" t="s">
        <v>98</v>
      </c>
      <c r="G89" s="3" t="s">
        <v>135</v>
      </c>
      <c r="H89" s="3" t="s">
        <v>217</v>
      </c>
      <c r="I89" s="3">
        <v>6</v>
      </c>
      <c r="J89" s="11">
        <v>65</v>
      </c>
      <c r="K89" s="4">
        <v>0.15</v>
      </c>
      <c r="L89" s="3" t="s">
        <v>95</v>
      </c>
      <c r="M89" s="3">
        <v>15</v>
      </c>
      <c r="N89" s="3">
        <v>6</v>
      </c>
      <c r="O89" s="3">
        <v>5</v>
      </c>
    </row>
    <row r="90" spans="1:15" ht="20" customHeight="1">
      <c r="A90" s="3" t="s">
        <v>288</v>
      </c>
      <c r="B90" s="2">
        <v>46268</v>
      </c>
      <c r="C90" s="3">
        <v>18</v>
      </c>
      <c r="D90" s="3" t="s">
        <v>289</v>
      </c>
      <c r="E90" s="3" t="s">
        <v>117</v>
      </c>
      <c r="F90" s="3" t="s">
        <v>109</v>
      </c>
      <c r="G90" s="3" t="s">
        <v>135</v>
      </c>
      <c r="H90" s="3" t="s">
        <v>162</v>
      </c>
      <c r="I90" s="3">
        <v>5</v>
      </c>
      <c r="J90" s="11">
        <v>180</v>
      </c>
      <c r="K90" s="4">
        <v>0.05</v>
      </c>
      <c r="L90" s="3" t="s">
        <v>95</v>
      </c>
      <c r="M90" s="3">
        <v>21</v>
      </c>
      <c r="N90" s="3">
        <v>10</v>
      </c>
      <c r="O90" s="3">
        <v>4</v>
      </c>
    </row>
    <row r="91" spans="1:15" ht="20" customHeight="1">
      <c r="A91" s="3" t="s">
        <v>290</v>
      </c>
      <c r="B91" s="2">
        <v>46268</v>
      </c>
      <c r="C91" s="3">
        <v>20</v>
      </c>
      <c r="D91" s="3" t="s">
        <v>291</v>
      </c>
      <c r="E91" s="3" t="s">
        <v>91</v>
      </c>
      <c r="F91" s="3" t="s">
        <v>92</v>
      </c>
      <c r="G91" s="3" t="s">
        <v>110</v>
      </c>
      <c r="H91" s="3" t="s">
        <v>114</v>
      </c>
      <c r="I91" s="3">
        <v>6</v>
      </c>
      <c r="J91" s="11">
        <v>145</v>
      </c>
      <c r="K91" s="4">
        <v>0</v>
      </c>
      <c r="L91" s="3" t="s">
        <v>95</v>
      </c>
      <c r="M91" s="3">
        <v>23</v>
      </c>
      <c r="N91" s="3">
        <v>14</v>
      </c>
      <c r="O91" s="3">
        <v>4</v>
      </c>
    </row>
    <row r="92" spans="1:15" ht="20" customHeight="1">
      <c r="A92" s="3" t="s">
        <v>292</v>
      </c>
      <c r="B92" s="2">
        <v>46269</v>
      </c>
      <c r="C92" s="3">
        <v>7</v>
      </c>
      <c r="D92" s="3" t="s">
        <v>293</v>
      </c>
      <c r="E92" s="3" t="s">
        <v>91</v>
      </c>
      <c r="F92" s="3" t="s">
        <v>1310</v>
      </c>
      <c r="G92" s="3" t="s">
        <v>99</v>
      </c>
      <c r="H92" s="3" t="s">
        <v>104</v>
      </c>
      <c r="I92" s="3">
        <v>6</v>
      </c>
      <c r="J92" s="11">
        <v>240</v>
      </c>
      <c r="K92" s="4">
        <v>0.05</v>
      </c>
      <c r="L92" s="3" t="s">
        <v>95</v>
      </c>
      <c r="M92" s="3">
        <v>18</v>
      </c>
      <c r="N92" s="3">
        <v>10</v>
      </c>
      <c r="O92" s="3">
        <v>4</v>
      </c>
    </row>
    <row r="93" spans="1:15" ht="20" customHeight="1">
      <c r="A93" s="3" t="s">
        <v>294</v>
      </c>
      <c r="B93" s="2">
        <v>46269</v>
      </c>
      <c r="C93" s="3">
        <v>18</v>
      </c>
      <c r="D93" s="3" t="s">
        <v>295</v>
      </c>
      <c r="E93" s="3" t="s">
        <v>117</v>
      </c>
      <c r="F93" s="3" t="s">
        <v>139</v>
      </c>
      <c r="G93" s="3" t="s">
        <v>122</v>
      </c>
      <c r="H93" s="3" t="s">
        <v>214</v>
      </c>
      <c r="I93" s="3">
        <v>3</v>
      </c>
      <c r="J93" s="11">
        <v>55</v>
      </c>
      <c r="K93" s="4">
        <v>0</v>
      </c>
      <c r="L93" s="3" t="s">
        <v>95</v>
      </c>
      <c r="M93" s="3">
        <v>31</v>
      </c>
      <c r="N93" s="3">
        <v>11</v>
      </c>
      <c r="O93" s="3">
        <v>3</v>
      </c>
    </row>
    <row r="94" spans="1:15" ht="20" customHeight="1">
      <c r="A94" s="3" t="s">
        <v>296</v>
      </c>
      <c r="B94" s="2">
        <v>46269</v>
      </c>
      <c r="C94" s="3">
        <v>22</v>
      </c>
      <c r="D94" s="3" t="s">
        <v>297</v>
      </c>
      <c r="E94" s="3" t="s">
        <v>91</v>
      </c>
      <c r="F94" s="3" t="s">
        <v>92</v>
      </c>
      <c r="G94" s="3" t="s">
        <v>135</v>
      </c>
      <c r="H94" s="3" t="s">
        <v>162</v>
      </c>
      <c r="I94" s="3">
        <v>2</v>
      </c>
      <c r="J94" s="11">
        <v>180</v>
      </c>
      <c r="K94" s="4">
        <v>0</v>
      </c>
      <c r="L94" s="3" t="s">
        <v>95</v>
      </c>
      <c r="M94" s="3">
        <v>17</v>
      </c>
      <c r="N94" s="3">
        <v>5</v>
      </c>
      <c r="O94" s="3">
        <v>5</v>
      </c>
    </row>
    <row r="95" spans="1:15" ht="20" customHeight="1">
      <c r="A95" s="3" t="s">
        <v>298</v>
      </c>
      <c r="B95" s="2">
        <v>46269</v>
      </c>
      <c r="C95" s="3">
        <v>6</v>
      </c>
      <c r="D95" s="3" t="s">
        <v>299</v>
      </c>
      <c r="E95" s="3" t="s">
        <v>91</v>
      </c>
      <c r="F95" s="3" t="s">
        <v>121</v>
      </c>
      <c r="G95" s="3" t="s">
        <v>122</v>
      </c>
      <c r="H95" s="3" t="s">
        <v>214</v>
      </c>
      <c r="I95" s="3">
        <v>4</v>
      </c>
      <c r="J95" s="11">
        <v>55</v>
      </c>
      <c r="K95" s="4">
        <v>0</v>
      </c>
      <c r="L95" s="3" t="s">
        <v>95</v>
      </c>
      <c r="M95" s="3">
        <v>23</v>
      </c>
      <c r="N95" s="3">
        <v>11</v>
      </c>
      <c r="O95" s="3">
        <v>5</v>
      </c>
    </row>
    <row r="96" spans="1:15" ht="20" customHeight="1">
      <c r="A96" s="3" t="s">
        <v>300</v>
      </c>
      <c r="B96" s="2">
        <v>46269</v>
      </c>
      <c r="C96" s="3">
        <v>12</v>
      </c>
      <c r="D96" s="3" t="s">
        <v>301</v>
      </c>
      <c r="E96" s="3" t="s">
        <v>91</v>
      </c>
      <c r="F96" s="3" t="s">
        <v>98</v>
      </c>
      <c r="G96" s="3" t="s">
        <v>174</v>
      </c>
      <c r="H96" s="3" t="s">
        <v>184</v>
      </c>
      <c r="I96" s="3">
        <v>6</v>
      </c>
      <c r="J96" s="11">
        <v>62</v>
      </c>
      <c r="K96" s="4">
        <v>0</v>
      </c>
      <c r="L96" s="3" t="s">
        <v>95</v>
      </c>
      <c r="M96" s="3">
        <v>25</v>
      </c>
      <c r="N96" s="3">
        <v>5</v>
      </c>
      <c r="O96" s="3">
        <v>4</v>
      </c>
    </row>
    <row r="97" spans="1:15" ht="20" customHeight="1">
      <c r="A97" s="3" t="s">
        <v>302</v>
      </c>
      <c r="B97" s="2">
        <v>46269</v>
      </c>
      <c r="C97" s="3">
        <v>17</v>
      </c>
      <c r="D97" s="3" t="s">
        <v>303</v>
      </c>
      <c r="E97" s="3" t="s">
        <v>91</v>
      </c>
      <c r="F97" s="3" t="s">
        <v>121</v>
      </c>
      <c r="G97" s="3" t="s">
        <v>110</v>
      </c>
      <c r="H97" s="3" t="s">
        <v>114</v>
      </c>
      <c r="I97" s="3">
        <v>3</v>
      </c>
      <c r="J97" s="11">
        <v>145</v>
      </c>
      <c r="K97" s="4">
        <v>0</v>
      </c>
      <c r="L97" s="3" t="s">
        <v>95</v>
      </c>
      <c r="M97" s="3">
        <v>29</v>
      </c>
      <c r="N97" s="3">
        <v>10</v>
      </c>
      <c r="O97" s="3">
        <v>5</v>
      </c>
    </row>
    <row r="98" spans="1:15" ht="20" customHeight="1">
      <c r="A98" s="3" t="s">
        <v>304</v>
      </c>
      <c r="B98" s="2">
        <v>46269</v>
      </c>
      <c r="C98" s="3">
        <v>17</v>
      </c>
      <c r="D98" s="3" t="s">
        <v>305</v>
      </c>
      <c r="E98" s="3" t="s">
        <v>91</v>
      </c>
      <c r="F98" s="3" t="s">
        <v>98</v>
      </c>
      <c r="G98" s="3" t="s">
        <v>110</v>
      </c>
      <c r="H98" s="3" t="s">
        <v>206</v>
      </c>
      <c r="I98" s="3">
        <v>5</v>
      </c>
      <c r="J98" s="11">
        <v>220</v>
      </c>
      <c r="K98" s="4">
        <v>0.05</v>
      </c>
      <c r="L98" s="3" t="s">
        <v>95</v>
      </c>
      <c r="M98" s="3">
        <v>13</v>
      </c>
      <c r="N98" s="3">
        <v>9</v>
      </c>
      <c r="O98" s="3">
        <v>3</v>
      </c>
    </row>
    <row r="99" spans="1:15" ht="20" customHeight="1">
      <c r="A99" s="3" t="s">
        <v>306</v>
      </c>
      <c r="B99" s="2">
        <v>46269</v>
      </c>
      <c r="C99" s="3">
        <v>17</v>
      </c>
      <c r="D99" s="3" t="s">
        <v>113</v>
      </c>
      <c r="E99" s="3" t="s">
        <v>91</v>
      </c>
      <c r="F99" s="3" t="s">
        <v>98</v>
      </c>
      <c r="G99" s="3" t="s">
        <v>174</v>
      </c>
      <c r="H99" s="3" t="s">
        <v>175</v>
      </c>
      <c r="I99" s="3">
        <v>5</v>
      </c>
      <c r="J99" s="11">
        <v>155</v>
      </c>
      <c r="K99" s="4">
        <v>0.1</v>
      </c>
      <c r="L99" s="3" t="s">
        <v>95</v>
      </c>
      <c r="M99" s="3">
        <v>37</v>
      </c>
      <c r="N99" s="3">
        <v>6</v>
      </c>
      <c r="O99" s="3">
        <v>4</v>
      </c>
    </row>
    <row r="100" spans="1:15" ht="20" customHeight="1">
      <c r="A100" s="3" t="s">
        <v>307</v>
      </c>
      <c r="B100" s="2">
        <v>46269</v>
      </c>
      <c r="C100" s="3">
        <v>16</v>
      </c>
      <c r="D100" s="3" t="s">
        <v>308</v>
      </c>
      <c r="E100" s="3" t="s">
        <v>91</v>
      </c>
      <c r="F100" s="3" t="s">
        <v>139</v>
      </c>
      <c r="G100" s="3" t="s">
        <v>99</v>
      </c>
      <c r="H100" s="3" t="s">
        <v>100</v>
      </c>
      <c r="I100" s="3">
        <v>2</v>
      </c>
      <c r="J100" s="11">
        <v>120</v>
      </c>
      <c r="K100" s="4">
        <v>0.1</v>
      </c>
      <c r="L100" s="3" t="s">
        <v>95</v>
      </c>
      <c r="M100" s="3">
        <v>12</v>
      </c>
      <c r="N100" s="3">
        <v>8</v>
      </c>
      <c r="O100" s="3">
        <v>5</v>
      </c>
    </row>
    <row r="101" spans="1:15" ht="20" customHeight="1">
      <c r="A101" s="3" t="s">
        <v>309</v>
      </c>
      <c r="B101" s="2">
        <v>46269</v>
      </c>
      <c r="C101" s="3">
        <v>18</v>
      </c>
      <c r="D101" s="3" t="s">
        <v>310</v>
      </c>
      <c r="E101" s="3" t="s">
        <v>117</v>
      </c>
      <c r="F101" s="3" t="s">
        <v>92</v>
      </c>
      <c r="G101" s="3" t="s">
        <v>99</v>
      </c>
      <c r="H101" s="3" t="s">
        <v>104</v>
      </c>
      <c r="I101" s="3">
        <v>3</v>
      </c>
      <c r="J101" s="11">
        <v>240</v>
      </c>
      <c r="K101" s="4">
        <v>0</v>
      </c>
      <c r="L101" s="3" t="s">
        <v>95</v>
      </c>
      <c r="M101" s="3">
        <v>29</v>
      </c>
      <c r="N101" s="3">
        <v>10</v>
      </c>
      <c r="O101" s="3">
        <v>5</v>
      </c>
    </row>
    <row r="102" spans="1:15" ht="20" customHeight="1">
      <c r="A102" s="3" t="s">
        <v>311</v>
      </c>
      <c r="B102" s="2">
        <v>46269</v>
      </c>
      <c r="C102" s="3">
        <v>16</v>
      </c>
      <c r="D102" s="3" t="s">
        <v>312</v>
      </c>
      <c r="E102" s="3" t="s">
        <v>91</v>
      </c>
      <c r="F102" s="3" t="s">
        <v>139</v>
      </c>
      <c r="G102" s="3" t="s">
        <v>93</v>
      </c>
      <c r="H102" s="3" t="s">
        <v>118</v>
      </c>
      <c r="I102" s="3">
        <v>6</v>
      </c>
      <c r="J102" s="11">
        <v>45</v>
      </c>
      <c r="K102" s="4">
        <v>0.1</v>
      </c>
      <c r="L102" s="3" t="s">
        <v>95</v>
      </c>
      <c r="M102" s="3">
        <v>18</v>
      </c>
      <c r="N102" s="3">
        <v>14</v>
      </c>
      <c r="O102" s="3">
        <v>4</v>
      </c>
    </row>
    <row r="103" spans="1:15" ht="20" customHeight="1">
      <c r="A103" s="3" t="s">
        <v>313</v>
      </c>
      <c r="B103" s="2">
        <v>46269</v>
      </c>
      <c r="C103" s="3">
        <v>8</v>
      </c>
      <c r="D103" s="3" t="s">
        <v>314</v>
      </c>
      <c r="E103" s="3" t="s">
        <v>117</v>
      </c>
      <c r="F103" s="3" t="s">
        <v>121</v>
      </c>
      <c r="G103" s="3" t="s">
        <v>110</v>
      </c>
      <c r="H103" s="3" t="s">
        <v>114</v>
      </c>
      <c r="I103" s="3">
        <v>3</v>
      </c>
      <c r="J103" s="11">
        <v>145</v>
      </c>
      <c r="K103" s="4">
        <v>0</v>
      </c>
      <c r="L103" s="3" t="s">
        <v>95</v>
      </c>
      <c r="M103" s="3">
        <v>37</v>
      </c>
      <c r="N103" s="3">
        <v>8</v>
      </c>
      <c r="O103" s="3">
        <v>5</v>
      </c>
    </row>
    <row r="104" spans="1:15" ht="20" customHeight="1">
      <c r="A104" s="3" t="s">
        <v>315</v>
      </c>
      <c r="B104" s="2">
        <v>46269</v>
      </c>
      <c r="C104" s="3">
        <v>10</v>
      </c>
      <c r="D104" s="3" t="s">
        <v>316</v>
      </c>
      <c r="E104" s="3" t="s">
        <v>117</v>
      </c>
      <c r="F104" s="3" t="s">
        <v>98</v>
      </c>
      <c r="G104" s="3" t="s">
        <v>93</v>
      </c>
      <c r="H104" s="3" t="s">
        <v>146</v>
      </c>
      <c r="I104" s="3">
        <v>5</v>
      </c>
      <c r="J104" s="11">
        <v>110</v>
      </c>
      <c r="K104" s="4">
        <v>0.1</v>
      </c>
      <c r="L104" s="3" t="s">
        <v>95</v>
      </c>
      <c r="M104" s="3">
        <v>14</v>
      </c>
      <c r="N104" s="3">
        <v>6</v>
      </c>
      <c r="O104" s="3">
        <v>4</v>
      </c>
    </row>
    <row r="105" spans="1:15" ht="20" customHeight="1">
      <c r="A105" s="3" t="s">
        <v>317</v>
      </c>
      <c r="B105" s="2">
        <v>46269</v>
      </c>
      <c r="C105" s="3">
        <v>19</v>
      </c>
      <c r="D105" s="3" t="s">
        <v>318</v>
      </c>
      <c r="E105" s="3" t="s">
        <v>117</v>
      </c>
      <c r="F105" s="3" t="s">
        <v>92</v>
      </c>
      <c r="G105" s="3" t="s">
        <v>110</v>
      </c>
      <c r="H105" s="3" t="s">
        <v>114</v>
      </c>
      <c r="I105" s="3">
        <v>1</v>
      </c>
      <c r="J105" s="11">
        <v>145</v>
      </c>
      <c r="K105" s="4">
        <v>0.1</v>
      </c>
      <c r="L105" s="3" t="s">
        <v>95</v>
      </c>
      <c r="M105" s="3">
        <v>23</v>
      </c>
      <c r="N105" s="3">
        <v>10</v>
      </c>
      <c r="O105" s="3">
        <v>5</v>
      </c>
    </row>
    <row r="106" spans="1:15" ht="20" customHeight="1">
      <c r="A106" s="3" t="s">
        <v>319</v>
      </c>
      <c r="B106" s="2">
        <v>46269</v>
      </c>
      <c r="C106" s="3">
        <v>21</v>
      </c>
      <c r="D106" s="3" t="s">
        <v>320</v>
      </c>
      <c r="E106" s="3" t="s">
        <v>91</v>
      </c>
      <c r="F106" s="3" t="s">
        <v>109</v>
      </c>
      <c r="G106" s="3" t="s">
        <v>110</v>
      </c>
      <c r="H106" s="3" t="s">
        <v>114</v>
      </c>
      <c r="I106" s="3">
        <v>3</v>
      </c>
      <c r="J106" s="11">
        <v>145</v>
      </c>
      <c r="K106" s="4">
        <v>0</v>
      </c>
      <c r="L106" s="3" t="s">
        <v>95</v>
      </c>
      <c r="M106" s="3">
        <v>14</v>
      </c>
      <c r="N106" s="3">
        <v>12</v>
      </c>
      <c r="O106" s="3">
        <v>4</v>
      </c>
    </row>
    <row r="107" spans="1:15" ht="20" customHeight="1">
      <c r="A107" s="3" t="s">
        <v>321</v>
      </c>
      <c r="B107" s="2">
        <v>46269</v>
      </c>
      <c r="C107" s="3">
        <v>11</v>
      </c>
      <c r="D107" s="3" t="s">
        <v>322</v>
      </c>
      <c r="E107" s="3" t="s">
        <v>117</v>
      </c>
      <c r="F107" s="3" t="s">
        <v>109</v>
      </c>
      <c r="G107" s="3" t="s">
        <v>174</v>
      </c>
      <c r="H107" s="3" t="s">
        <v>175</v>
      </c>
      <c r="I107" s="3">
        <v>4</v>
      </c>
      <c r="J107" s="11">
        <v>155</v>
      </c>
      <c r="K107" s="4">
        <v>0.05</v>
      </c>
      <c r="L107" s="3" t="s">
        <v>95</v>
      </c>
      <c r="M107" s="3">
        <v>36</v>
      </c>
      <c r="N107" s="3">
        <v>8</v>
      </c>
      <c r="O107" s="3">
        <v>4</v>
      </c>
    </row>
    <row r="108" spans="1:15" ht="20" customHeight="1">
      <c r="A108" s="3" t="s">
        <v>323</v>
      </c>
      <c r="B108" s="2">
        <v>46269</v>
      </c>
      <c r="C108" s="3">
        <v>23</v>
      </c>
      <c r="D108" s="3" t="s">
        <v>191</v>
      </c>
      <c r="E108" s="3" t="s">
        <v>91</v>
      </c>
      <c r="F108" s="3" t="s">
        <v>139</v>
      </c>
      <c r="G108" s="3" t="s">
        <v>110</v>
      </c>
      <c r="H108" s="3" t="s">
        <v>206</v>
      </c>
      <c r="I108" s="3">
        <v>5</v>
      </c>
      <c r="J108" s="11">
        <v>220</v>
      </c>
      <c r="K108" s="4">
        <v>0</v>
      </c>
      <c r="L108" s="3" t="s">
        <v>95</v>
      </c>
      <c r="M108" s="3">
        <v>28</v>
      </c>
      <c r="N108" s="3">
        <v>5</v>
      </c>
      <c r="O108" s="3">
        <v>4</v>
      </c>
    </row>
    <row r="109" spans="1:15" ht="20" customHeight="1">
      <c r="A109" s="3" t="s">
        <v>324</v>
      </c>
      <c r="B109" s="2">
        <v>46269</v>
      </c>
      <c r="C109" s="3">
        <v>11</v>
      </c>
      <c r="D109" s="3" t="s">
        <v>325</v>
      </c>
      <c r="E109" s="3" t="s">
        <v>117</v>
      </c>
      <c r="F109" s="3" t="s">
        <v>139</v>
      </c>
      <c r="G109" s="3" t="s">
        <v>135</v>
      </c>
      <c r="H109" s="3" t="s">
        <v>162</v>
      </c>
      <c r="I109" s="3">
        <v>3</v>
      </c>
      <c r="J109" s="11">
        <v>180</v>
      </c>
      <c r="K109" s="4">
        <v>0</v>
      </c>
      <c r="L109" s="3" t="s">
        <v>95</v>
      </c>
      <c r="M109" s="3">
        <v>18</v>
      </c>
      <c r="N109" s="3">
        <v>10</v>
      </c>
      <c r="O109" s="3">
        <v>3</v>
      </c>
    </row>
    <row r="110" spans="1:15" ht="20" customHeight="1">
      <c r="A110" s="3" t="s">
        <v>326</v>
      </c>
      <c r="B110" s="2">
        <v>46269</v>
      </c>
      <c r="C110" s="3">
        <v>13</v>
      </c>
      <c r="D110" s="3" t="s">
        <v>90</v>
      </c>
      <c r="E110" s="3" t="s">
        <v>91</v>
      </c>
      <c r="F110" s="3" t="s">
        <v>121</v>
      </c>
      <c r="G110" s="3" t="s">
        <v>122</v>
      </c>
      <c r="H110" s="3" t="s">
        <v>153</v>
      </c>
      <c r="I110" s="3">
        <v>2</v>
      </c>
      <c r="J110" s="11">
        <v>130</v>
      </c>
      <c r="K110" s="4">
        <v>0.1</v>
      </c>
      <c r="L110" s="3" t="s">
        <v>95</v>
      </c>
      <c r="M110" s="3">
        <v>33</v>
      </c>
      <c r="N110" s="3">
        <v>4</v>
      </c>
      <c r="O110" s="3">
        <v>3</v>
      </c>
    </row>
    <row r="111" spans="1:15" ht="20" customHeight="1">
      <c r="A111" s="3" t="s">
        <v>327</v>
      </c>
      <c r="B111" s="2">
        <v>46269</v>
      </c>
      <c r="C111" s="3">
        <v>8</v>
      </c>
      <c r="D111" s="3" t="s">
        <v>216</v>
      </c>
      <c r="E111" s="3" t="s">
        <v>91</v>
      </c>
      <c r="F111" s="3" t="s">
        <v>109</v>
      </c>
      <c r="G111" s="3" t="s">
        <v>110</v>
      </c>
      <c r="H111" s="3" t="s">
        <v>111</v>
      </c>
      <c r="I111" s="3">
        <v>5</v>
      </c>
      <c r="J111" s="11">
        <v>115</v>
      </c>
      <c r="K111" s="4">
        <v>0.15</v>
      </c>
      <c r="L111" s="3" t="s">
        <v>95</v>
      </c>
      <c r="M111" s="3">
        <v>30</v>
      </c>
      <c r="N111" s="3">
        <v>9</v>
      </c>
      <c r="O111" s="3">
        <v>5</v>
      </c>
    </row>
    <row r="112" spans="1:15" ht="20" customHeight="1">
      <c r="A112" s="3" t="s">
        <v>328</v>
      </c>
      <c r="B112" s="2">
        <v>46269</v>
      </c>
      <c r="C112" s="3">
        <v>20</v>
      </c>
      <c r="D112" s="3" t="s">
        <v>97</v>
      </c>
      <c r="E112" s="3" t="s">
        <v>91</v>
      </c>
      <c r="F112" s="3" t="s">
        <v>92</v>
      </c>
      <c r="G112" s="3" t="s">
        <v>99</v>
      </c>
      <c r="H112" s="3" t="s">
        <v>100</v>
      </c>
      <c r="I112" s="3">
        <v>2</v>
      </c>
      <c r="J112" s="11">
        <v>120</v>
      </c>
      <c r="K112" s="4">
        <v>0</v>
      </c>
      <c r="L112" s="3" t="s">
        <v>95</v>
      </c>
      <c r="M112" s="3">
        <v>22</v>
      </c>
      <c r="N112" s="3">
        <v>14</v>
      </c>
      <c r="O112" s="3">
        <v>4</v>
      </c>
    </row>
    <row r="113" spans="1:15" ht="20" customHeight="1">
      <c r="A113" s="3" t="s">
        <v>329</v>
      </c>
      <c r="B113" s="2">
        <v>46269</v>
      </c>
      <c r="C113" s="3">
        <v>7</v>
      </c>
      <c r="D113" s="3" t="s">
        <v>90</v>
      </c>
      <c r="E113" s="3" t="s">
        <v>91</v>
      </c>
      <c r="F113" s="3" t="s">
        <v>92</v>
      </c>
      <c r="G113" s="3" t="s">
        <v>174</v>
      </c>
      <c r="H113" s="3" t="s">
        <v>274</v>
      </c>
      <c r="I113" s="3">
        <v>1</v>
      </c>
      <c r="J113" s="11">
        <v>90</v>
      </c>
      <c r="K113" s="4">
        <v>0.15</v>
      </c>
      <c r="L113" s="3" t="s">
        <v>95</v>
      </c>
      <c r="M113" s="3">
        <v>16</v>
      </c>
      <c r="N113" s="3">
        <v>8</v>
      </c>
      <c r="O113" s="3">
        <v>4</v>
      </c>
    </row>
    <row r="114" spans="1:15" ht="20" customHeight="1">
      <c r="A114" s="3" t="s">
        <v>330</v>
      </c>
      <c r="B114" s="2">
        <v>46269</v>
      </c>
      <c r="C114" s="3">
        <v>6</v>
      </c>
      <c r="D114" s="3" t="s">
        <v>181</v>
      </c>
      <c r="E114" s="3" t="s">
        <v>117</v>
      </c>
      <c r="F114" s="3" t="s">
        <v>109</v>
      </c>
      <c r="G114" s="3" t="s">
        <v>93</v>
      </c>
      <c r="H114" s="3" t="s">
        <v>94</v>
      </c>
      <c r="I114" s="3">
        <v>2</v>
      </c>
      <c r="J114" s="11">
        <v>95</v>
      </c>
      <c r="K114" s="4">
        <v>0.1</v>
      </c>
      <c r="L114" s="3" t="s">
        <v>95</v>
      </c>
      <c r="M114" s="3">
        <v>13</v>
      </c>
      <c r="N114" s="3">
        <v>10</v>
      </c>
      <c r="O114" s="3">
        <v>4</v>
      </c>
    </row>
    <row r="115" spans="1:15" ht="20" customHeight="1">
      <c r="A115" s="3" t="s">
        <v>331</v>
      </c>
      <c r="B115" s="2">
        <v>46269</v>
      </c>
      <c r="C115" s="3">
        <v>12</v>
      </c>
      <c r="D115" s="3" t="s">
        <v>332</v>
      </c>
      <c r="E115" s="3" t="s">
        <v>91</v>
      </c>
      <c r="F115" s="3" t="s">
        <v>139</v>
      </c>
      <c r="G115" s="3" t="s">
        <v>110</v>
      </c>
      <c r="H115" s="3" t="s">
        <v>206</v>
      </c>
      <c r="I115" s="3">
        <v>5</v>
      </c>
      <c r="J115" s="11">
        <v>220</v>
      </c>
      <c r="K115" s="4">
        <v>0.15</v>
      </c>
      <c r="L115" s="3" t="s">
        <v>95</v>
      </c>
      <c r="M115" s="3">
        <v>22</v>
      </c>
      <c r="N115" s="3">
        <v>6</v>
      </c>
      <c r="O115" s="3">
        <v>5</v>
      </c>
    </row>
    <row r="116" spans="1:15" ht="20" customHeight="1">
      <c r="A116" s="3" t="s">
        <v>333</v>
      </c>
      <c r="B116" s="2">
        <v>46269</v>
      </c>
      <c r="C116" s="3">
        <v>12</v>
      </c>
      <c r="D116" s="3" t="s">
        <v>334</v>
      </c>
      <c r="E116" s="3" t="s">
        <v>91</v>
      </c>
      <c r="F116" s="3" t="s">
        <v>92</v>
      </c>
      <c r="G116" s="3" t="s">
        <v>99</v>
      </c>
      <c r="H116" s="3" t="s">
        <v>130</v>
      </c>
      <c r="I116" s="3">
        <v>5</v>
      </c>
      <c r="J116" s="11">
        <v>85</v>
      </c>
      <c r="K116" s="4">
        <v>0.1</v>
      </c>
      <c r="L116" s="3" t="s">
        <v>95</v>
      </c>
      <c r="M116" s="3">
        <v>18</v>
      </c>
      <c r="N116" s="3">
        <v>6</v>
      </c>
      <c r="O116" s="3">
        <v>5</v>
      </c>
    </row>
    <row r="117" spans="1:15" ht="20" customHeight="1">
      <c r="A117" s="3" t="s">
        <v>335</v>
      </c>
      <c r="B117" s="2">
        <v>46269</v>
      </c>
      <c r="C117" s="3">
        <v>19</v>
      </c>
      <c r="D117" s="3" t="s">
        <v>138</v>
      </c>
      <c r="E117" s="3" t="s">
        <v>91</v>
      </c>
      <c r="F117" s="3" t="s">
        <v>98</v>
      </c>
      <c r="G117" s="3" t="s">
        <v>122</v>
      </c>
      <c r="H117" s="3" t="s">
        <v>123</v>
      </c>
      <c r="I117" s="3">
        <v>5</v>
      </c>
      <c r="J117" s="11">
        <v>45</v>
      </c>
      <c r="K117" s="4">
        <v>0.1</v>
      </c>
      <c r="L117" s="3" t="s">
        <v>95</v>
      </c>
      <c r="M117" s="3">
        <v>23</v>
      </c>
      <c r="N117" s="3">
        <v>13</v>
      </c>
      <c r="O117" s="3">
        <v>3</v>
      </c>
    </row>
    <row r="118" spans="1:15" ht="20" customHeight="1">
      <c r="A118" s="3" t="s">
        <v>336</v>
      </c>
      <c r="B118" s="2">
        <v>46269</v>
      </c>
      <c r="C118" s="3">
        <v>11</v>
      </c>
      <c r="D118" s="3" t="s">
        <v>337</v>
      </c>
      <c r="E118" s="3" t="s">
        <v>117</v>
      </c>
      <c r="F118" s="3" t="s">
        <v>121</v>
      </c>
      <c r="G118" s="3" t="s">
        <v>174</v>
      </c>
      <c r="H118" s="3" t="s">
        <v>184</v>
      </c>
      <c r="I118" s="3">
        <v>2</v>
      </c>
      <c r="J118" s="11">
        <v>62</v>
      </c>
      <c r="K118" s="4">
        <v>0.1</v>
      </c>
      <c r="L118" s="3" t="s">
        <v>95</v>
      </c>
      <c r="M118" s="3">
        <v>12</v>
      </c>
      <c r="N118" s="3">
        <v>4</v>
      </c>
      <c r="O118" s="3">
        <v>5</v>
      </c>
    </row>
    <row r="119" spans="1:15" ht="20" customHeight="1">
      <c r="A119" s="3" t="s">
        <v>338</v>
      </c>
      <c r="B119" s="2">
        <v>46269</v>
      </c>
      <c r="C119" s="3">
        <v>12</v>
      </c>
      <c r="D119" s="3" t="s">
        <v>186</v>
      </c>
      <c r="E119" s="3" t="s">
        <v>117</v>
      </c>
      <c r="F119" s="3" t="s">
        <v>139</v>
      </c>
      <c r="G119" s="3" t="s">
        <v>174</v>
      </c>
      <c r="H119" s="3" t="s">
        <v>175</v>
      </c>
      <c r="I119" s="3">
        <v>3</v>
      </c>
      <c r="J119" s="11">
        <v>155</v>
      </c>
      <c r="K119" s="4">
        <v>0.1</v>
      </c>
      <c r="L119" s="3" t="s">
        <v>95</v>
      </c>
      <c r="M119" s="3">
        <v>33</v>
      </c>
      <c r="N119" s="3">
        <v>6</v>
      </c>
      <c r="O119" s="3">
        <v>5</v>
      </c>
    </row>
    <row r="120" spans="1:15" ht="20" customHeight="1">
      <c r="A120" s="3" t="s">
        <v>339</v>
      </c>
      <c r="B120" s="2">
        <v>46269</v>
      </c>
      <c r="C120" s="3">
        <v>11</v>
      </c>
      <c r="D120" s="3" t="s">
        <v>340</v>
      </c>
      <c r="E120" s="3" t="s">
        <v>91</v>
      </c>
      <c r="F120" s="3" t="s">
        <v>109</v>
      </c>
      <c r="G120" s="3" t="s">
        <v>110</v>
      </c>
      <c r="H120" s="3" t="s">
        <v>111</v>
      </c>
      <c r="I120" s="3">
        <v>4</v>
      </c>
      <c r="J120" s="11">
        <v>115</v>
      </c>
      <c r="K120" s="4">
        <v>0.05</v>
      </c>
      <c r="L120" s="3" t="s">
        <v>95</v>
      </c>
      <c r="M120" s="3">
        <v>35</v>
      </c>
      <c r="N120" s="3">
        <v>12</v>
      </c>
      <c r="O120" s="3">
        <v>3</v>
      </c>
    </row>
    <row r="121" spans="1:15" ht="20" customHeight="1">
      <c r="A121" s="3" t="s">
        <v>341</v>
      </c>
      <c r="B121" s="2">
        <v>46269</v>
      </c>
      <c r="C121" s="3">
        <v>23</v>
      </c>
      <c r="D121" s="3" t="s">
        <v>342</v>
      </c>
      <c r="E121" s="3" t="s">
        <v>91</v>
      </c>
      <c r="F121" s="3" t="s">
        <v>92</v>
      </c>
      <c r="G121" s="3" t="s">
        <v>93</v>
      </c>
      <c r="H121" s="3" t="s">
        <v>94</v>
      </c>
      <c r="I121" s="3">
        <v>4</v>
      </c>
      <c r="J121" s="11">
        <v>95</v>
      </c>
      <c r="K121" s="4">
        <v>0.1</v>
      </c>
      <c r="L121" s="3" t="s">
        <v>95</v>
      </c>
      <c r="M121" s="3">
        <v>19</v>
      </c>
      <c r="N121" s="3">
        <v>7</v>
      </c>
      <c r="O121" s="3">
        <v>4</v>
      </c>
    </row>
    <row r="122" spans="1:15" ht="20" customHeight="1">
      <c r="A122" s="3" t="s">
        <v>343</v>
      </c>
      <c r="B122" s="2">
        <v>46270</v>
      </c>
      <c r="C122" s="3">
        <v>8</v>
      </c>
      <c r="D122" s="3" t="s">
        <v>271</v>
      </c>
      <c r="E122" s="3" t="s">
        <v>91</v>
      </c>
      <c r="F122" s="3" t="s">
        <v>121</v>
      </c>
      <c r="G122" s="3" t="s">
        <v>93</v>
      </c>
      <c r="H122" s="3" t="s">
        <v>146</v>
      </c>
      <c r="I122" s="3">
        <v>3</v>
      </c>
      <c r="J122" s="11">
        <v>110</v>
      </c>
      <c r="K122" s="4">
        <v>0</v>
      </c>
      <c r="L122" s="3" t="s">
        <v>1311</v>
      </c>
      <c r="M122" s="3">
        <v>31</v>
      </c>
      <c r="N122" s="3">
        <v>4</v>
      </c>
      <c r="O122" s="3">
        <v>5</v>
      </c>
    </row>
    <row r="123" spans="1:15" ht="20" customHeight="1">
      <c r="A123" s="3" t="s">
        <v>344</v>
      </c>
      <c r="B123" s="2">
        <v>46270</v>
      </c>
      <c r="C123" s="3">
        <v>19</v>
      </c>
      <c r="D123" s="3" t="s">
        <v>345</v>
      </c>
      <c r="E123" s="3" t="s">
        <v>117</v>
      </c>
      <c r="F123" s="3" t="s">
        <v>109</v>
      </c>
      <c r="G123" s="3" t="s">
        <v>99</v>
      </c>
      <c r="H123" s="3" t="s">
        <v>130</v>
      </c>
      <c r="I123" s="3">
        <v>1</v>
      </c>
      <c r="J123" s="11">
        <v>85</v>
      </c>
      <c r="K123" s="4">
        <v>0</v>
      </c>
      <c r="L123" s="3" t="s">
        <v>95</v>
      </c>
      <c r="M123" s="3">
        <v>14</v>
      </c>
      <c r="N123" s="3">
        <v>6</v>
      </c>
      <c r="O123" s="3">
        <v>3</v>
      </c>
    </row>
    <row r="124" spans="1:15" ht="20" customHeight="1">
      <c r="A124" s="3" t="s">
        <v>346</v>
      </c>
      <c r="B124" s="2">
        <v>46270</v>
      </c>
      <c r="C124" s="3">
        <v>22</v>
      </c>
      <c r="D124" s="3" t="s">
        <v>347</v>
      </c>
      <c r="E124" s="3" t="s">
        <v>91</v>
      </c>
      <c r="F124" s="3" t="s">
        <v>98</v>
      </c>
      <c r="G124" s="3" t="s">
        <v>110</v>
      </c>
      <c r="H124" s="3" t="s">
        <v>206</v>
      </c>
      <c r="I124" s="3">
        <v>6</v>
      </c>
      <c r="J124" s="11">
        <v>220</v>
      </c>
      <c r="K124" s="4">
        <v>0</v>
      </c>
      <c r="L124" s="3" t="s">
        <v>95</v>
      </c>
      <c r="M124" s="3">
        <v>17</v>
      </c>
      <c r="N124" s="3">
        <v>7</v>
      </c>
      <c r="O124" s="3">
        <v>3</v>
      </c>
    </row>
    <row r="125" spans="1:15" ht="20" customHeight="1">
      <c r="A125" s="3" t="s">
        <v>348</v>
      </c>
      <c r="B125" s="2">
        <v>46270</v>
      </c>
      <c r="C125" s="3">
        <v>9</v>
      </c>
      <c r="D125" s="3" t="s">
        <v>349</v>
      </c>
      <c r="E125" s="3" t="s">
        <v>117</v>
      </c>
      <c r="F125" s="3" t="s">
        <v>109</v>
      </c>
      <c r="G125" s="3" t="s">
        <v>135</v>
      </c>
      <c r="H125" s="3" t="s">
        <v>136</v>
      </c>
      <c r="I125" s="3">
        <v>1</v>
      </c>
      <c r="J125" s="11">
        <v>40</v>
      </c>
      <c r="K125" s="4">
        <v>0</v>
      </c>
      <c r="L125" s="3" t="s">
        <v>95</v>
      </c>
      <c r="M125" s="3">
        <v>35</v>
      </c>
      <c r="N125" s="3">
        <v>12</v>
      </c>
      <c r="O125" s="3">
        <v>5</v>
      </c>
    </row>
    <row r="126" spans="1:15" ht="20" customHeight="1">
      <c r="A126" s="3" t="s">
        <v>350</v>
      </c>
      <c r="B126" s="2">
        <v>46270</v>
      </c>
      <c r="C126" s="3">
        <v>12</v>
      </c>
      <c r="D126" s="3" t="s">
        <v>351</v>
      </c>
      <c r="E126" s="3" t="s">
        <v>91</v>
      </c>
      <c r="F126" s="3" t="s">
        <v>121</v>
      </c>
      <c r="G126" s="3" t="s">
        <v>174</v>
      </c>
      <c r="H126" s="3" t="s">
        <v>274</v>
      </c>
      <c r="I126" s="3">
        <v>5</v>
      </c>
      <c r="J126" s="11">
        <v>90</v>
      </c>
      <c r="K126" s="4">
        <v>0</v>
      </c>
      <c r="L126" s="3" t="s">
        <v>95</v>
      </c>
      <c r="M126" s="3">
        <v>19</v>
      </c>
      <c r="N126" s="3">
        <v>5</v>
      </c>
      <c r="O126" s="3">
        <v>5</v>
      </c>
    </row>
    <row r="127" spans="1:15" ht="20" customHeight="1">
      <c r="A127" s="3" t="s">
        <v>352</v>
      </c>
      <c r="B127" s="2">
        <v>46270</v>
      </c>
      <c r="C127" s="3">
        <v>14</v>
      </c>
      <c r="D127" s="3" t="s">
        <v>353</v>
      </c>
      <c r="E127" s="3" t="s">
        <v>91</v>
      </c>
      <c r="F127" s="3" t="s">
        <v>139</v>
      </c>
      <c r="G127" s="3" t="s">
        <v>99</v>
      </c>
      <c r="H127" s="3" t="s">
        <v>104</v>
      </c>
      <c r="I127" s="3">
        <v>2</v>
      </c>
      <c r="J127" s="11">
        <v>240</v>
      </c>
      <c r="K127" s="4">
        <v>0.1</v>
      </c>
      <c r="L127" s="3" t="s">
        <v>95</v>
      </c>
      <c r="M127" s="3">
        <v>27</v>
      </c>
      <c r="N127" s="3">
        <v>8</v>
      </c>
      <c r="O127" s="3">
        <v>3</v>
      </c>
    </row>
    <row r="128" spans="1:15" ht="20" customHeight="1">
      <c r="A128" s="3" t="s">
        <v>354</v>
      </c>
      <c r="B128" s="2">
        <v>46270</v>
      </c>
      <c r="C128" s="3">
        <v>12</v>
      </c>
      <c r="D128" s="3" t="s">
        <v>113</v>
      </c>
      <c r="E128" s="3" t="s">
        <v>91</v>
      </c>
      <c r="F128" s="3" t="s">
        <v>109</v>
      </c>
      <c r="G128" s="3" t="s">
        <v>174</v>
      </c>
      <c r="H128" s="3" t="s">
        <v>274</v>
      </c>
      <c r="I128" s="3">
        <v>5</v>
      </c>
      <c r="J128" s="11">
        <v>90</v>
      </c>
      <c r="K128" s="4">
        <v>0.15</v>
      </c>
      <c r="L128" s="3" t="s">
        <v>95</v>
      </c>
      <c r="M128" s="3">
        <v>17</v>
      </c>
      <c r="N128" s="3">
        <v>8</v>
      </c>
      <c r="O128" s="3">
        <v>4</v>
      </c>
    </row>
    <row r="129" spans="1:15" ht="20" customHeight="1">
      <c r="A129" s="3" t="s">
        <v>355</v>
      </c>
      <c r="B129" s="2">
        <v>46270</v>
      </c>
      <c r="C129" s="3">
        <v>21</v>
      </c>
      <c r="D129" s="3" t="s">
        <v>356</v>
      </c>
      <c r="E129" s="3" t="s">
        <v>91</v>
      </c>
      <c r="F129" s="3" t="s">
        <v>92</v>
      </c>
      <c r="G129" s="3" t="s">
        <v>99</v>
      </c>
      <c r="H129" s="3" t="s">
        <v>100</v>
      </c>
      <c r="I129" s="3">
        <v>3</v>
      </c>
      <c r="J129" s="11">
        <v>120</v>
      </c>
      <c r="K129" s="4">
        <v>0.15</v>
      </c>
      <c r="L129" s="3" t="s">
        <v>95</v>
      </c>
      <c r="M129" s="3">
        <v>13</v>
      </c>
      <c r="N129" s="3">
        <v>7</v>
      </c>
      <c r="O129" s="3">
        <v>5</v>
      </c>
    </row>
    <row r="130" spans="1:15" ht="20" customHeight="1">
      <c r="A130" s="3" t="s">
        <v>357</v>
      </c>
      <c r="B130" s="2">
        <v>46270</v>
      </c>
      <c r="C130" s="3">
        <v>18</v>
      </c>
      <c r="D130" s="3" t="s">
        <v>165</v>
      </c>
      <c r="E130" s="3" t="s">
        <v>91</v>
      </c>
      <c r="F130" s="3" t="s">
        <v>121</v>
      </c>
      <c r="G130" s="3" t="s">
        <v>110</v>
      </c>
      <c r="H130" s="3" t="s">
        <v>114</v>
      </c>
      <c r="I130" s="3">
        <v>3</v>
      </c>
      <c r="J130" s="11">
        <v>145</v>
      </c>
      <c r="K130" s="4">
        <v>0</v>
      </c>
      <c r="L130" s="3" t="s">
        <v>95</v>
      </c>
      <c r="M130" s="3">
        <v>34</v>
      </c>
      <c r="N130" s="3">
        <v>9</v>
      </c>
      <c r="O130" s="3">
        <v>3</v>
      </c>
    </row>
    <row r="131" spans="1:15" ht="20" customHeight="1">
      <c r="A131" s="3" t="s">
        <v>358</v>
      </c>
      <c r="B131" s="2">
        <v>46270</v>
      </c>
      <c r="C131" s="3">
        <v>17</v>
      </c>
      <c r="D131" s="3" t="s">
        <v>359</v>
      </c>
      <c r="E131" s="3" t="s">
        <v>91</v>
      </c>
      <c r="F131" s="3" t="s">
        <v>121</v>
      </c>
      <c r="G131" s="3" t="s">
        <v>174</v>
      </c>
      <c r="H131" s="3" t="s">
        <v>274</v>
      </c>
      <c r="I131" s="3">
        <v>3</v>
      </c>
      <c r="J131" s="11">
        <v>90</v>
      </c>
      <c r="K131" s="4">
        <v>0</v>
      </c>
      <c r="L131" s="3" t="s">
        <v>95</v>
      </c>
      <c r="M131" s="3">
        <v>21</v>
      </c>
      <c r="N131" s="3">
        <v>6</v>
      </c>
      <c r="O131" s="3">
        <v>4</v>
      </c>
    </row>
    <row r="132" spans="1:15" ht="20" customHeight="1">
      <c r="A132" s="3" t="s">
        <v>360</v>
      </c>
      <c r="B132" s="2">
        <v>46270</v>
      </c>
      <c r="C132" s="3">
        <v>15</v>
      </c>
      <c r="D132" s="3" t="s">
        <v>361</v>
      </c>
      <c r="E132" s="3" t="s">
        <v>91</v>
      </c>
      <c r="F132" s="3" t="s">
        <v>92</v>
      </c>
      <c r="G132" s="3" t="s">
        <v>110</v>
      </c>
      <c r="H132" s="3" t="s">
        <v>206</v>
      </c>
      <c r="I132" s="3">
        <v>5</v>
      </c>
      <c r="J132" s="11">
        <v>220</v>
      </c>
      <c r="K132" s="4">
        <v>0.15</v>
      </c>
      <c r="L132" s="3" t="s">
        <v>95</v>
      </c>
      <c r="M132" s="3">
        <v>34</v>
      </c>
      <c r="N132" s="3">
        <v>12</v>
      </c>
      <c r="O132" s="3">
        <v>4</v>
      </c>
    </row>
    <row r="133" spans="1:15" ht="20" customHeight="1">
      <c r="A133" s="3" t="s">
        <v>362</v>
      </c>
      <c r="B133" s="2">
        <v>46270</v>
      </c>
      <c r="C133" s="3">
        <v>22</v>
      </c>
      <c r="D133" s="3" t="s">
        <v>363</v>
      </c>
      <c r="E133" s="3" t="s">
        <v>91</v>
      </c>
      <c r="F133" s="3" t="s">
        <v>98</v>
      </c>
      <c r="G133" s="3" t="s">
        <v>110</v>
      </c>
      <c r="H133" s="3" t="s">
        <v>111</v>
      </c>
      <c r="I133" s="3">
        <v>6</v>
      </c>
      <c r="J133" s="11">
        <v>115</v>
      </c>
      <c r="K133" s="4">
        <v>0</v>
      </c>
      <c r="L133" s="3" t="s">
        <v>95</v>
      </c>
      <c r="M133" s="3">
        <v>20</v>
      </c>
      <c r="N133" s="3">
        <v>14</v>
      </c>
      <c r="O133" s="3">
        <v>3</v>
      </c>
    </row>
    <row r="134" spans="1:15" ht="20" customHeight="1">
      <c r="A134" s="3" t="s">
        <v>364</v>
      </c>
      <c r="B134" s="2">
        <v>46270</v>
      </c>
      <c r="C134" s="3">
        <v>23</v>
      </c>
      <c r="D134" s="3" t="s">
        <v>365</v>
      </c>
      <c r="E134" s="3" t="s">
        <v>91</v>
      </c>
      <c r="F134" s="3" t="s">
        <v>121</v>
      </c>
      <c r="G134" s="3" t="s">
        <v>174</v>
      </c>
      <c r="H134" s="3" t="s">
        <v>175</v>
      </c>
      <c r="I134" s="3">
        <v>1</v>
      </c>
      <c r="J134" s="11">
        <v>155</v>
      </c>
      <c r="K134" s="4">
        <v>0.15</v>
      </c>
      <c r="L134" s="3" t="s">
        <v>95</v>
      </c>
      <c r="M134" s="3">
        <v>19</v>
      </c>
      <c r="N134" s="3">
        <v>10</v>
      </c>
      <c r="O134" s="3">
        <v>5</v>
      </c>
    </row>
    <row r="135" spans="1:15" ht="20" customHeight="1">
      <c r="A135" s="3" t="s">
        <v>366</v>
      </c>
      <c r="B135" s="2">
        <v>46270</v>
      </c>
      <c r="C135" s="3">
        <v>22</v>
      </c>
      <c r="D135" s="3" t="s">
        <v>367</v>
      </c>
      <c r="E135" s="3" t="s">
        <v>117</v>
      </c>
      <c r="F135" s="3" t="s">
        <v>98</v>
      </c>
      <c r="G135" s="3" t="s">
        <v>122</v>
      </c>
      <c r="H135" s="3" t="s">
        <v>153</v>
      </c>
      <c r="I135" s="3">
        <v>6</v>
      </c>
      <c r="J135" s="11">
        <v>130</v>
      </c>
      <c r="K135" s="4">
        <v>0.05</v>
      </c>
      <c r="L135" s="3" t="s">
        <v>95</v>
      </c>
      <c r="M135" s="3">
        <v>26</v>
      </c>
      <c r="N135" s="3">
        <v>5</v>
      </c>
      <c r="O135" s="3">
        <v>5</v>
      </c>
    </row>
    <row r="136" spans="1:15" ht="20" customHeight="1">
      <c r="A136" s="3" t="s">
        <v>368</v>
      </c>
      <c r="B136" s="2">
        <v>46270</v>
      </c>
      <c r="C136" s="3">
        <v>9</v>
      </c>
      <c r="D136" s="3" t="s">
        <v>369</v>
      </c>
      <c r="E136" s="3" t="s">
        <v>91</v>
      </c>
      <c r="F136" s="3" t="s">
        <v>121</v>
      </c>
      <c r="G136" s="3" t="s">
        <v>135</v>
      </c>
      <c r="H136" s="3" t="s">
        <v>217</v>
      </c>
      <c r="I136" s="3">
        <v>4</v>
      </c>
      <c r="J136" s="11">
        <v>65</v>
      </c>
      <c r="K136" s="4">
        <v>0.05</v>
      </c>
      <c r="L136" s="3" t="s">
        <v>95</v>
      </c>
      <c r="M136" s="3">
        <v>21</v>
      </c>
      <c r="N136" s="3">
        <v>8</v>
      </c>
      <c r="O136" s="3">
        <v>4</v>
      </c>
    </row>
    <row r="137" spans="1:15" ht="20" customHeight="1">
      <c r="A137" s="3" t="s">
        <v>370</v>
      </c>
      <c r="B137" s="2">
        <v>46270</v>
      </c>
      <c r="C137" s="3">
        <v>12</v>
      </c>
      <c r="D137" s="3" t="s">
        <v>132</v>
      </c>
      <c r="E137" s="3" t="s">
        <v>91</v>
      </c>
      <c r="F137" s="3" t="s">
        <v>1313</v>
      </c>
      <c r="G137" s="3" t="s">
        <v>174</v>
      </c>
      <c r="H137" s="3" t="s">
        <v>184</v>
      </c>
      <c r="I137" s="3">
        <v>5</v>
      </c>
      <c r="J137" s="11">
        <v>62</v>
      </c>
      <c r="K137" s="4">
        <v>0</v>
      </c>
      <c r="L137" s="3" t="s">
        <v>95</v>
      </c>
      <c r="M137" s="3">
        <v>27</v>
      </c>
      <c r="N137" s="3">
        <v>6</v>
      </c>
      <c r="O137" s="3">
        <v>5</v>
      </c>
    </row>
    <row r="138" spans="1:15" ht="20" customHeight="1">
      <c r="A138" s="3" t="s">
        <v>371</v>
      </c>
      <c r="B138" s="2">
        <v>46270</v>
      </c>
      <c r="C138" s="3">
        <v>8</v>
      </c>
      <c r="D138" s="3" t="s">
        <v>372</v>
      </c>
      <c r="E138" s="3" t="s">
        <v>117</v>
      </c>
      <c r="F138" s="3" t="s">
        <v>98</v>
      </c>
      <c r="G138" s="3" t="s">
        <v>174</v>
      </c>
      <c r="H138" s="3" t="s">
        <v>274</v>
      </c>
      <c r="I138" s="3">
        <v>6</v>
      </c>
      <c r="J138" s="11">
        <v>90</v>
      </c>
      <c r="K138" s="4">
        <v>0</v>
      </c>
      <c r="L138" s="3" t="s">
        <v>95</v>
      </c>
      <c r="M138" s="3">
        <v>23</v>
      </c>
      <c r="N138" s="3">
        <v>15</v>
      </c>
      <c r="O138" s="3">
        <v>5</v>
      </c>
    </row>
    <row r="139" spans="1:15" ht="20" customHeight="1">
      <c r="A139" s="3" t="s">
        <v>373</v>
      </c>
      <c r="B139" s="2">
        <v>46270</v>
      </c>
      <c r="C139" s="3">
        <v>21</v>
      </c>
      <c r="D139" s="3" t="s">
        <v>374</v>
      </c>
      <c r="E139" s="3" t="s">
        <v>91</v>
      </c>
      <c r="F139" s="3" t="s">
        <v>121</v>
      </c>
      <c r="G139" s="3" t="s">
        <v>174</v>
      </c>
      <c r="H139" s="3" t="s">
        <v>184</v>
      </c>
      <c r="I139" s="3">
        <v>2</v>
      </c>
      <c r="J139" s="11">
        <v>62</v>
      </c>
      <c r="K139" s="4">
        <v>0.15</v>
      </c>
      <c r="L139" s="3" t="s">
        <v>95</v>
      </c>
      <c r="M139" s="3">
        <v>23</v>
      </c>
      <c r="N139" s="3">
        <v>7</v>
      </c>
      <c r="O139" s="3">
        <v>4</v>
      </c>
    </row>
    <row r="140" spans="1:15" ht="20" customHeight="1">
      <c r="A140" s="3" t="s">
        <v>375</v>
      </c>
      <c r="B140" s="2">
        <v>46270</v>
      </c>
      <c r="C140" s="3">
        <v>12</v>
      </c>
      <c r="D140" s="3" t="s">
        <v>376</v>
      </c>
      <c r="E140" s="3" t="s">
        <v>117</v>
      </c>
      <c r="F140" s="3" t="s">
        <v>98</v>
      </c>
      <c r="G140" s="3" t="s">
        <v>93</v>
      </c>
      <c r="H140" s="3" t="s">
        <v>118</v>
      </c>
      <c r="I140" s="3">
        <v>6</v>
      </c>
      <c r="J140" s="11">
        <v>45</v>
      </c>
      <c r="K140" s="4">
        <v>0.15</v>
      </c>
      <c r="L140" s="3" t="s">
        <v>95</v>
      </c>
      <c r="M140" s="3">
        <v>34</v>
      </c>
      <c r="N140" s="3">
        <v>8</v>
      </c>
      <c r="O140" s="3">
        <v>4</v>
      </c>
    </row>
    <row r="141" spans="1:15" ht="20" customHeight="1">
      <c r="A141" s="3" t="s">
        <v>377</v>
      </c>
      <c r="B141" s="2">
        <v>46270</v>
      </c>
      <c r="C141" s="3">
        <v>6</v>
      </c>
      <c r="D141" s="3" t="s">
        <v>378</v>
      </c>
      <c r="E141" s="3" t="s">
        <v>117</v>
      </c>
      <c r="F141" s="3" t="s">
        <v>139</v>
      </c>
      <c r="G141" s="3" t="s">
        <v>135</v>
      </c>
      <c r="H141" s="3" t="s">
        <v>162</v>
      </c>
      <c r="I141" s="3">
        <v>4</v>
      </c>
      <c r="J141" s="11">
        <v>180</v>
      </c>
      <c r="K141" s="4">
        <v>0.15</v>
      </c>
      <c r="L141" s="3" t="s">
        <v>95</v>
      </c>
      <c r="M141" s="3">
        <v>14</v>
      </c>
      <c r="N141" s="3">
        <v>4</v>
      </c>
      <c r="O141" s="3">
        <v>4</v>
      </c>
    </row>
    <row r="142" spans="1:15" ht="20" customHeight="1">
      <c r="A142" s="3" t="s">
        <v>379</v>
      </c>
      <c r="B142" s="2">
        <v>46270</v>
      </c>
      <c r="C142" s="3">
        <v>14</v>
      </c>
      <c r="D142" s="3" t="s">
        <v>262</v>
      </c>
      <c r="E142" s="3" t="s">
        <v>117</v>
      </c>
      <c r="F142" s="3" t="s">
        <v>109</v>
      </c>
      <c r="G142" s="3" t="s">
        <v>122</v>
      </c>
      <c r="H142" s="3" t="s">
        <v>123</v>
      </c>
      <c r="I142" s="3">
        <v>1</v>
      </c>
      <c r="J142" s="11">
        <v>45</v>
      </c>
      <c r="K142" s="4">
        <v>0</v>
      </c>
      <c r="L142" s="3" t="s">
        <v>95</v>
      </c>
      <c r="M142" s="3">
        <v>21</v>
      </c>
      <c r="N142" s="3">
        <v>12</v>
      </c>
      <c r="O142" s="3">
        <v>5</v>
      </c>
    </row>
    <row r="143" spans="1:15" ht="20" customHeight="1">
      <c r="A143" s="3" t="s">
        <v>380</v>
      </c>
      <c r="B143" s="2">
        <v>46270</v>
      </c>
      <c r="C143" s="3">
        <v>20</v>
      </c>
      <c r="D143" s="3" t="s">
        <v>381</v>
      </c>
      <c r="E143" s="3" t="s">
        <v>117</v>
      </c>
      <c r="F143" s="3" t="s">
        <v>98</v>
      </c>
      <c r="G143" s="3" t="s">
        <v>174</v>
      </c>
      <c r="H143" s="3" t="s">
        <v>184</v>
      </c>
      <c r="I143" s="3">
        <v>4</v>
      </c>
      <c r="J143" s="11">
        <v>62</v>
      </c>
      <c r="K143" s="4">
        <v>0.05</v>
      </c>
      <c r="L143" s="3" t="s">
        <v>95</v>
      </c>
      <c r="M143" s="3">
        <v>25</v>
      </c>
      <c r="N143" s="3">
        <v>10</v>
      </c>
      <c r="O143" s="3">
        <v>4</v>
      </c>
    </row>
    <row r="144" spans="1:15" ht="20" customHeight="1">
      <c r="A144" s="3" t="s">
        <v>382</v>
      </c>
      <c r="B144" s="2">
        <v>46270</v>
      </c>
      <c r="C144" s="3">
        <v>10</v>
      </c>
      <c r="D144" s="3" t="s">
        <v>383</v>
      </c>
      <c r="E144" s="3" t="s">
        <v>91</v>
      </c>
      <c r="F144" s="3" t="s">
        <v>92</v>
      </c>
      <c r="G144" s="3" t="s">
        <v>99</v>
      </c>
      <c r="H144" s="3" t="s">
        <v>104</v>
      </c>
      <c r="I144" s="3">
        <v>6</v>
      </c>
      <c r="J144" s="11">
        <v>240</v>
      </c>
      <c r="K144" s="4">
        <v>0.1</v>
      </c>
      <c r="L144" s="3" t="s">
        <v>101</v>
      </c>
      <c r="M144" s="3"/>
      <c r="N144" s="3"/>
      <c r="O144" s="3"/>
    </row>
    <row r="145" spans="1:15" ht="20" customHeight="1">
      <c r="A145" s="3" t="s">
        <v>384</v>
      </c>
      <c r="B145" s="2">
        <v>46270</v>
      </c>
      <c r="C145" s="3">
        <v>12</v>
      </c>
      <c r="D145" s="3" t="s">
        <v>265</v>
      </c>
      <c r="E145" s="3" t="s">
        <v>117</v>
      </c>
      <c r="F145" s="3" t="s">
        <v>92</v>
      </c>
      <c r="G145" s="3" t="s">
        <v>110</v>
      </c>
      <c r="H145" s="3" t="s">
        <v>206</v>
      </c>
      <c r="I145" s="3">
        <v>4</v>
      </c>
      <c r="J145" s="11">
        <v>220</v>
      </c>
      <c r="K145" s="4">
        <v>0.1</v>
      </c>
      <c r="L145" s="3" t="s">
        <v>95</v>
      </c>
      <c r="M145" s="3">
        <v>17</v>
      </c>
      <c r="N145" s="3">
        <v>12</v>
      </c>
      <c r="O145" s="3">
        <v>5</v>
      </c>
    </row>
    <row r="146" spans="1:15" ht="20" customHeight="1">
      <c r="A146" s="3" t="s">
        <v>385</v>
      </c>
      <c r="B146" s="2">
        <v>46270</v>
      </c>
      <c r="C146" s="3">
        <v>8</v>
      </c>
      <c r="D146" s="3" t="s">
        <v>386</v>
      </c>
      <c r="E146" s="3" t="s">
        <v>117</v>
      </c>
      <c r="F146" s="3" t="s">
        <v>109</v>
      </c>
      <c r="G146" s="3" t="s">
        <v>99</v>
      </c>
      <c r="H146" s="3" t="s">
        <v>100</v>
      </c>
      <c r="I146" s="3">
        <v>3</v>
      </c>
      <c r="J146" s="11">
        <v>120</v>
      </c>
      <c r="K146" s="4">
        <v>0</v>
      </c>
      <c r="L146" s="3" t="s">
        <v>95</v>
      </c>
      <c r="M146" s="3">
        <v>16</v>
      </c>
      <c r="N146" s="3">
        <v>9</v>
      </c>
      <c r="O146" s="3">
        <v>4</v>
      </c>
    </row>
    <row r="147" spans="1:15" ht="20" customHeight="1">
      <c r="A147" s="3" t="s">
        <v>387</v>
      </c>
      <c r="B147" s="2">
        <v>46270</v>
      </c>
      <c r="C147" s="3">
        <v>18</v>
      </c>
      <c r="D147" s="3" t="s">
        <v>388</v>
      </c>
      <c r="E147" s="3" t="s">
        <v>91</v>
      </c>
      <c r="F147" s="3" t="s">
        <v>139</v>
      </c>
      <c r="G147" s="3" t="s">
        <v>93</v>
      </c>
      <c r="H147" s="3" t="s">
        <v>146</v>
      </c>
      <c r="I147" s="3">
        <v>5</v>
      </c>
      <c r="J147" s="11">
        <v>110</v>
      </c>
      <c r="K147" s="4">
        <v>0.15</v>
      </c>
      <c r="L147" s="3" t="s">
        <v>95</v>
      </c>
      <c r="M147" s="3">
        <v>15</v>
      </c>
      <c r="N147" s="3">
        <v>5</v>
      </c>
      <c r="O147" s="3">
        <v>4</v>
      </c>
    </row>
    <row r="148" spans="1:15" ht="20" customHeight="1">
      <c r="A148" s="3" t="s">
        <v>389</v>
      </c>
      <c r="B148" s="2">
        <v>46270</v>
      </c>
      <c r="C148" s="3">
        <v>10</v>
      </c>
      <c r="D148" s="3" t="s">
        <v>216</v>
      </c>
      <c r="E148" s="3" t="s">
        <v>91</v>
      </c>
      <c r="F148" s="3" t="s">
        <v>121</v>
      </c>
      <c r="G148" s="3" t="s">
        <v>174</v>
      </c>
      <c r="H148" s="3" t="s">
        <v>184</v>
      </c>
      <c r="I148" s="3">
        <v>1</v>
      </c>
      <c r="J148" s="11">
        <v>62</v>
      </c>
      <c r="K148" s="4">
        <v>0.15</v>
      </c>
      <c r="L148" s="3" t="s">
        <v>95</v>
      </c>
      <c r="M148" s="3">
        <v>15</v>
      </c>
      <c r="N148" s="3">
        <v>9</v>
      </c>
      <c r="O148" s="3">
        <v>4</v>
      </c>
    </row>
    <row r="149" spans="1:15" ht="20" customHeight="1">
      <c r="A149" s="3" t="s">
        <v>390</v>
      </c>
      <c r="B149" s="2">
        <v>46270</v>
      </c>
      <c r="C149" s="3">
        <v>12</v>
      </c>
      <c r="D149" s="3" t="s">
        <v>271</v>
      </c>
      <c r="E149" s="3" t="s">
        <v>91</v>
      </c>
      <c r="F149" s="3" t="s">
        <v>92</v>
      </c>
      <c r="G149" s="3" t="s">
        <v>99</v>
      </c>
      <c r="H149" s="3" t="s">
        <v>104</v>
      </c>
      <c r="I149" s="3">
        <v>4</v>
      </c>
      <c r="J149" s="11">
        <v>240</v>
      </c>
      <c r="K149" s="4">
        <v>0</v>
      </c>
      <c r="L149" s="3" t="s">
        <v>95</v>
      </c>
      <c r="M149" s="3">
        <v>35</v>
      </c>
      <c r="N149" s="3">
        <v>13</v>
      </c>
      <c r="O149" s="3">
        <v>3</v>
      </c>
    </row>
    <row r="150" spans="1:15" ht="20" customHeight="1">
      <c r="A150" s="3" t="s">
        <v>391</v>
      </c>
      <c r="B150" s="2">
        <v>46270</v>
      </c>
      <c r="C150" s="3">
        <v>18</v>
      </c>
      <c r="D150" s="3" t="s">
        <v>392</v>
      </c>
      <c r="E150" s="3" t="s">
        <v>91</v>
      </c>
      <c r="F150" s="3" t="s">
        <v>109</v>
      </c>
      <c r="G150" s="3" t="s">
        <v>135</v>
      </c>
      <c r="H150" s="3" t="s">
        <v>136</v>
      </c>
      <c r="I150" s="3">
        <v>6</v>
      </c>
      <c r="J150" s="11">
        <v>40</v>
      </c>
      <c r="K150" s="4">
        <v>0</v>
      </c>
      <c r="L150" s="3" t="s">
        <v>95</v>
      </c>
      <c r="M150" s="3">
        <v>15</v>
      </c>
      <c r="N150" s="3">
        <v>8</v>
      </c>
      <c r="O150" s="3">
        <v>4</v>
      </c>
    </row>
    <row r="151" spans="1:15" ht="20" customHeight="1">
      <c r="A151" s="3" t="s">
        <v>393</v>
      </c>
      <c r="B151" s="2">
        <v>46270</v>
      </c>
      <c r="C151" s="3">
        <v>14</v>
      </c>
      <c r="D151" s="3" t="s">
        <v>394</v>
      </c>
      <c r="E151" s="3" t="s">
        <v>91</v>
      </c>
      <c r="F151" s="3" t="s">
        <v>139</v>
      </c>
      <c r="G151" s="3" t="s">
        <v>122</v>
      </c>
      <c r="H151" s="3" t="s">
        <v>123</v>
      </c>
      <c r="I151" s="3">
        <v>2</v>
      </c>
      <c r="J151" s="11">
        <v>45</v>
      </c>
      <c r="K151" s="4">
        <v>0</v>
      </c>
      <c r="L151" s="3" t="s">
        <v>95</v>
      </c>
      <c r="M151" s="3">
        <v>14</v>
      </c>
      <c r="N151" s="3">
        <v>4</v>
      </c>
      <c r="O151" s="3">
        <v>4</v>
      </c>
    </row>
    <row r="152" spans="1:15" ht="20" customHeight="1">
      <c r="A152" s="3" t="s">
        <v>395</v>
      </c>
      <c r="B152" s="2">
        <v>46271</v>
      </c>
      <c r="C152" s="3">
        <v>13</v>
      </c>
      <c r="D152" s="3" t="s">
        <v>396</v>
      </c>
      <c r="E152" s="3" t="s">
        <v>91</v>
      </c>
      <c r="F152" s="3" t="s">
        <v>121</v>
      </c>
      <c r="G152" s="3" t="s">
        <v>135</v>
      </c>
      <c r="H152" s="3" t="s">
        <v>162</v>
      </c>
      <c r="I152" s="3">
        <v>4</v>
      </c>
      <c r="J152" s="11">
        <v>180</v>
      </c>
      <c r="K152" s="4">
        <v>0</v>
      </c>
      <c r="L152" s="3" t="s">
        <v>95</v>
      </c>
      <c r="M152" s="3">
        <v>24</v>
      </c>
      <c r="N152" s="3">
        <v>4</v>
      </c>
      <c r="O152" s="3">
        <v>3</v>
      </c>
    </row>
    <row r="153" spans="1:15" ht="20" customHeight="1">
      <c r="A153" s="3" t="s">
        <v>397</v>
      </c>
      <c r="B153" s="2">
        <v>46271</v>
      </c>
      <c r="C153" s="3">
        <v>17</v>
      </c>
      <c r="D153" s="3" t="s">
        <v>332</v>
      </c>
      <c r="E153" s="3" t="s">
        <v>91</v>
      </c>
      <c r="F153" s="3" t="s">
        <v>121</v>
      </c>
      <c r="G153" s="3" t="s">
        <v>93</v>
      </c>
      <c r="H153" s="3" t="s">
        <v>94</v>
      </c>
      <c r="I153" s="3">
        <v>2</v>
      </c>
      <c r="J153" s="11">
        <v>95</v>
      </c>
      <c r="K153" s="4">
        <v>0.1</v>
      </c>
      <c r="L153" s="3" t="s">
        <v>95</v>
      </c>
      <c r="M153" s="3">
        <v>32</v>
      </c>
      <c r="N153" s="3">
        <v>10</v>
      </c>
      <c r="O153" s="3">
        <v>4</v>
      </c>
    </row>
    <row r="154" spans="1:15" ht="20" customHeight="1">
      <c r="A154" s="3" t="s">
        <v>398</v>
      </c>
      <c r="B154" s="2">
        <v>46271</v>
      </c>
      <c r="C154" s="3">
        <v>15</v>
      </c>
      <c r="D154" s="3" t="s">
        <v>399</v>
      </c>
      <c r="E154" s="3" t="s">
        <v>91</v>
      </c>
      <c r="F154" s="3" t="s">
        <v>109</v>
      </c>
      <c r="G154" s="3" t="s">
        <v>174</v>
      </c>
      <c r="H154" s="3" t="s">
        <v>184</v>
      </c>
      <c r="I154" s="3">
        <v>3</v>
      </c>
      <c r="J154" s="11">
        <v>62</v>
      </c>
      <c r="K154" s="4">
        <v>0.1</v>
      </c>
      <c r="L154" s="3" t="s">
        <v>95</v>
      </c>
      <c r="M154" s="3">
        <v>31</v>
      </c>
      <c r="N154" s="3">
        <v>6</v>
      </c>
      <c r="O154" s="3">
        <v>5</v>
      </c>
    </row>
    <row r="155" spans="1:15" ht="20" customHeight="1">
      <c r="A155" s="3" t="s">
        <v>400</v>
      </c>
      <c r="B155" s="2">
        <v>46271</v>
      </c>
      <c r="C155" s="3">
        <v>17</v>
      </c>
      <c r="D155" s="3" t="s">
        <v>401</v>
      </c>
      <c r="E155" s="3" t="s">
        <v>91</v>
      </c>
      <c r="F155" s="3" t="s">
        <v>109</v>
      </c>
      <c r="G155" s="3" t="s">
        <v>135</v>
      </c>
      <c r="H155" s="3" t="s">
        <v>136</v>
      </c>
      <c r="I155" s="3">
        <v>2</v>
      </c>
      <c r="J155" s="11">
        <v>40</v>
      </c>
      <c r="K155" s="4">
        <v>0.05</v>
      </c>
      <c r="L155" s="3" t="s">
        <v>95</v>
      </c>
      <c r="M155" s="3">
        <v>35</v>
      </c>
      <c r="N155" s="3">
        <v>7</v>
      </c>
      <c r="O155" s="3">
        <v>4</v>
      </c>
    </row>
    <row r="156" spans="1:15" ht="20" customHeight="1">
      <c r="A156" s="3" t="s">
        <v>402</v>
      </c>
      <c r="B156" s="2">
        <v>46271</v>
      </c>
      <c r="C156" s="3">
        <v>10</v>
      </c>
      <c r="D156" s="3" t="s">
        <v>197</v>
      </c>
      <c r="E156" s="3" t="s">
        <v>91</v>
      </c>
      <c r="F156" s="3" t="s">
        <v>98</v>
      </c>
      <c r="G156" s="3" t="s">
        <v>135</v>
      </c>
      <c r="H156" s="3" t="s">
        <v>162</v>
      </c>
      <c r="I156" s="3">
        <v>5</v>
      </c>
      <c r="J156" s="11">
        <v>180</v>
      </c>
      <c r="K156" s="4">
        <v>0.15</v>
      </c>
      <c r="L156" s="3" t="s">
        <v>95</v>
      </c>
      <c r="M156" s="3">
        <v>27</v>
      </c>
      <c r="N156" s="3">
        <v>12</v>
      </c>
      <c r="O156" s="3">
        <v>4</v>
      </c>
    </row>
    <row r="157" spans="1:15" ht="20" customHeight="1">
      <c r="A157" s="3" t="s">
        <v>403</v>
      </c>
      <c r="B157" s="2">
        <v>46271</v>
      </c>
      <c r="C157" s="3">
        <v>18</v>
      </c>
      <c r="D157" s="3" t="s">
        <v>295</v>
      </c>
      <c r="E157" s="3" t="s">
        <v>117</v>
      </c>
      <c r="F157" s="3" t="s">
        <v>98</v>
      </c>
      <c r="G157" s="3" t="s">
        <v>99</v>
      </c>
      <c r="H157" s="3" t="s">
        <v>100</v>
      </c>
      <c r="I157" s="3">
        <v>5</v>
      </c>
      <c r="J157" s="11">
        <v>120</v>
      </c>
      <c r="K157" s="4">
        <v>0</v>
      </c>
      <c r="L157" s="3" t="s">
        <v>95</v>
      </c>
      <c r="M157" s="3">
        <v>16</v>
      </c>
      <c r="N157" s="3">
        <v>8</v>
      </c>
      <c r="O157" s="3">
        <v>4</v>
      </c>
    </row>
    <row r="158" spans="1:15" ht="20" customHeight="1">
      <c r="A158" s="3" t="s">
        <v>404</v>
      </c>
      <c r="B158" s="2">
        <v>46271</v>
      </c>
      <c r="C158" s="3">
        <v>9</v>
      </c>
      <c r="D158" s="3" t="s">
        <v>208</v>
      </c>
      <c r="E158" s="3" t="s">
        <v>117</v>
      </c>
      <c r="F158" s="3" t="s">
        <v>92</v>
      </c>
      <c r="G158" s="3" t="s">
        <v>122</v>
      </c>
      <c r="H158" s="3" t="s">
        <v>123</v>
      </c>
      <c r="I158" s="3">
        <v>5</v>
      </c>
      <c r="J158" s="11">
        <v>45</v>
      </c>
      <c r="K158" s="4">
        <v>0</v>
      </c>
      <c r="L158" s="3" t="s">
        <v>95</v>
      </c>
      <c r="M158" s="3">
        <v>15</v>
      </c>
      <c r="N158" s="3">
        <v>8</v>
      </c>
      <c r="O158" s="3">
        <v>3</v>
      </c>
    </row>
    <row r="159" spans="1:15" ht="20" customHeight="1">
      <c r="A159" s="3" t="s">
        <v>405</v>
      </c>
      <c r="B159" s="2">
        <v>46271</v>
      </c>
      <c r="C159" s="3">
        <v>6</v>
      </c>
      <c r="D159" s="3" t="s">
        <v>406</v>
      </c>
      <c r="E159" s="3" t="s">
        <v>91</v>
      </c>
      <c r="F159" s="3" t="s">
        <v>109</v>
      </c>
      <c r="G159" s="3" t="s">
        <v>99</v>
      </c>
      <c r="H159" s="3" t="s">
        <v>130</v>
      </c>
      <c r="I159" s="3">
        <v>1</v>
      </c>
      <c r="J159" s="11">
        <v>85</v>
      </c>
      <c r="K159" s="4">
        <v>0</v>
      </c>
      <c r="L159" s="3" t="s">
        <v>95</v>
      </c>
      <c r="M159" s="3">
        <v>15</v>
      </c>
      <c r="N159" s="3">
        <v>12</v>
      </c>
      <c r="O159" s="3">
        <v>3</v>
      </c>
    </row>
    <row r="160" spans="1:15" ht="20" customHeight="1">
      <c r="A160" s="3" t="s">
        <v>407</v>
      </c>
      <c r="B160" s="2">
        <v>46271</v>
      </c>
      <c r="C160" s="3">
        <v>8</v>
      </c>
      <c r="D160" s="3" t="s">
        <v>408</v>
      </c>
      <c r="E160" s="3" t="s">
        <v>117</v>
      </c>
      <c r="F160" s="3" t="s">
        <v>98</v>
      </c>
      <c r="G160" s="3" t="s">
        <v>93</v>
      </c>
      <c r="H160" s="3" t="s">
        <v>118</v>
      </c>
      <c r="I160" s="3">
        <v>6</v>
      </c>
      <c r="J160" s="11">
        <v>45</v>
      </c>
      <c r="K160" s="4">
        <v>0.15</v>
      </c>
      <c r="L160" s="3" t="s">
        <v>95</v>
      </c>
      <c r="M160" s="3">
        <v>29</v>
      </c>
      <c r="N160" s="3">
        <v>14</v>
      </c>
      <c r="O160" s="3">
        <v>5</v>
      </c>
    </row>
    <row r="161" spans="1:15" ht="20" customHeight="1">
      <c r="A161" s="3" t="s">
        <v>409</v>
      </c>
      <c r="B161" s="2">
        <v>46271</v>
      </c>
      <c r="C161" s="3">
        <v>9</v>
      </c>
      <c r="D161" s="3" t="s">
        <v>383</v>
      </c>
      <c r="E161" s="3" t="s">
        <v>91</v>
      </c>
      <c r="F161" s="3" t="s">
        <v>121</v>
      </c>
      <c r="G161" s="3" t="s">
        <v>110</v>
      </c>
      <c r="H161" s="3" t="s">
        <v>114</v>
      </c>
      <c r="I161" s="3">
        <v>1</v>
      </c>
      <c r="J161" s="11">
        <v>145</v>
      </c>
      <c r="K161" s="4">
        <v>0.05</v>
      </c>
      <c r="L161" s="3" t="s">
        <v>95</v>
      </c>
      <c r="M161" s="3">
        <v>23</v>
      </c>
      <c r="N161" s="3">
        <v>14</v>
      </c>
      <c r="O161" s="3">
        <v>5</v>
      </c>
    </row>
    <row r="162" spans="1:15" ht="20" customHeight="1">
      <c r="A162" s="3" t="s">
        <v>410</v>
      </c>
      <c r="B162" s="2">
        <v>46271</v>
      </c>
      <c r="C162" s="3">
        <v>12</v>
      </c>
      <c r="D162" s="3" t="s">
        <v>411</v>
      </c>
      <c r="E162" s="3" t="s">
        <v>91</v>
      </c>
      <c r="F162" s="3" t="s">
        <v>139</v>
      </c>
      <c r="G162" s="3" t="s">
        <v>174</v>
      </c>
      <c r="H162" s="3" t="s">
        <v>274</v>
      </c>
      <c r="I162" s="3">
        <v>1</v>
      </c>
      <c r="J162" s="11">
        <v>90</v>
      </c>
      <c r="K162" s="4">
        <v>0.05</v>
      </c>
      <c r="L162" s="3" t="s">
        <v>95</v>
      </c>
      <c r="M162" s="3">
        <v>31</v>
      </c>
      <c r="N162" s="3">
        <v>6</v>
      </c>
      <c r="O162" s="3">
        <v>3</v>
      </c>
    </row>
    <row r="163" spans="1:15" ht="20" customHeight="1">
      <c r="A163" s="3" t="s">
        <v>412</v>
      </c>
      <c r="B163" s="2">
        <v>46271</v>
      </c>
      <c r="C163" s="3">
        <v>18</v>
      </c>
      <c r="D163" s="3" t="s">
        <v>222</v>
      </c>
      <c r="E163" s="3" t="s">
        <v>91</v>
      </c>
      <c r="F163" s="3" t="s">
        <v>98</v>
      </c>
      <c r="G163" s="3" t="s">
        <v>122</v>
      </c>
      <c r="H163" s="3" t="s">
        <v>123</v>
      </c>
      <c r="I163" s="3">
        <v>4</v>
      </c>
      <c r="J163" s="11">
        <v>45</v>
      </c>
      <c r="K163" s="4">
        <v>0</v>
      </c>
      <c r="L163" s="3" t="s">
        <v>101</v>
      </c>
      <c r="M163" s="3"/>
      <c r="N163" s="3"/>
      <c r="O163" s="3"/>
    </row>
    <row r="164" spans="1:15" ht="20" customHeight="1">
      <c r="A164" s="3" t="s">
        <v>413</v>
      </c>
      <c r="B164" s="2">
        <v>46271</v>
      </c>
      <c r="C164" s="3">
        <v>11</v>
      </c>
      <c r="D164" s="3" t="s">
        <v>414</v>
      </c>
      <c r="E164" s="3" t="s">
        <v>117</v>
      </c>
      <c r="F164" s="3" t="s">
        <v>98</v>
      </c>
      <c r="G164" s="3" t="s">
        <v>110</v>
      </c>
      <c r="H164" s="3" t="s">
        <v>111</v>
      </c>
      <c r="I164" s="3">
        <v>1</v>
      </c>
      <c r="J164" s="11">
        <v>115</v>
      </c>
      <c r="K164" s="4">
        <v>0</v>
      </c>
      <c r="L164" s="3" t="s">
        <v>95</v>
      </c>
      <c r="M164" s="3">
        <v>24</v>
      </c>
      <c r="N164" s="3">
        <v>6</v>
      </c>
      <c r="O164" s="3">
        <v>5</v>
      </c>
    </row>
    <row r="165" spans="1:15" ht="20" customHeight="1">
      <c r="A165" s="3" t="s">
        <v>415</v>
      </c>
      <c r="B165" s="2">
        <v>46271</v>
      </c>
      <c r="C165" s="3">
        <v>17</v>
      </c>
      <c r="D165" s="3" t="s">
        <v>322</v>
      </c>
      <c r="E165" s="3" t="s">
        <v>117</v>
      </c>
      <c r="F165" s="3" t="s">
        <v>109</v>
      </c>
      <c r="G165" s="3" t="s">
        <v>122</v>
      </c>
      <c r="H165" s="3" t="s">
        <v>153</v>
      </c>
      <c r="I165" s="3">
        <v>3</v>
      </c>
      <c r="J165" s="11">
        <v>130</v>
      </c>
      <c r="K165" s="4">
        <v>0.05</v>
      </c>
      <c r="L165" s="3" t="s">
        <v>95</v>
      </c>
      <c r="M165" s="3">
        <v>25</v>
      </c>
      <c r="N165" s="3">
        <v>8</v>
      </c>
      <c r="O165" s="3">
        <v>5</v>
      </c>
    </row>
    <row r="166" spans="1:15" ht="20" customHeight="1">
      <c r="A166" s="3" t="s">
        <v>416</v>
      </c>
      <c r="B166" s="2">
        <v>46271</v>
      </c>
      <c r="C166" s="3">
        <v>12</v>
      </c>
      <c r="D166" s="3" t="s">
        <v>417</v>
      </c>
      <c r="E166" s="3" t="s">
        <v>91</v>
      </c>
      <c r="F166" s="3" t="s">
        <v>109</v>
      </c>
      <c r="G166" s="3" t="s">
        <v>99</v>
      </c>
      <c r="H166" s="3" t="s">
        <v>130</v>
      </c>
      <c r="I166" s="3">
        <v>1</v>
      </c>
      <c r="J166" s="11">
        <v>85</v>
      </c>
      <c r="K166" s="4">
        <v>0.05</v>
      </c>
      <c r="L166" s="3" t="s">
        <v>95</v>
      </c>
      <c r="M166" s="3">
        <v>30</v>
      </c>
      <c r="N166" s="3">
        <v>15</v>
      </c>
      <c r="O166" s="3">
        <v>4</v>
      </c>
    </row>
    <row r="167" spans="1:15" ht="20" customHeight="1">
      <c r="A167" s="3" t="s">
        <v>418</v>
      </c>
      <c r="B167" s="2">
        <v>46271</v>
      </c>
      <c r="C167" s="3">
        <v>15</v>
      </c>
      <c r="D167" s="3" t="s">
        <v>419</v>
      </c>
      <c r="E167" s="3" t="s">
        <v>117</v>
      </c>
      <c r="F167" s="3" t="s">
        <v>109</v>
      </c>
      <c r="G167" s="3" t="s">
        <v>174</v>
      </c>
      <c r="H167" s="3" t="s">
        <v>274</v>
      </c>
      <c r="I167" s="3">
        <v>5</v>
      </c>
      <c r="J167" s="11">
        <v>90</v>
      </c>
      <c r="K167" s="4">
        <v>0</v>
      </c>
      <c r="L167" s="3" t="s">
        <v>95</v>
      </c>
      <c r="M167" s="3">
        <v>19</v>
      </c>
      <c r="N167" s="3">
        <v>6</v>
      </c>
      <c r="O167" s="3">
        <v>3</v>
      </c>
    </row>
    <row r="168" spans="1:15" ht="20" customHeight="1">
      <c r="A168" s="3" t="s">
        <v>420</v>
      </c>
      <c r="B168" s="2">
        <v>46271</v>
      </c>
      <c r="C168" s="3">
        <v>19</v>
      </c>
      <c r="D168" s="3" t="s">
        <v>421</v>
      </c>
      <c r="E168" s="3" t="s">
        <v>117</v>
      </c>
      <c r="F168" s="3" t="s">
        <v>98</v>
      </c>
      <c r="G168" s="3" t="s">
        <v>93</v>
      </c>
      <c r="H168" s="3" t="s">
        <v>118</v>
      </c>
      <c r="I168" s="3">
        <v>5</v>
      </c>
      <c r="J168" s="11">
        <v>45</v>
      </c>
      <c r="K168" s="4">
        <v>0.15</v>
      </c>
      <c r="L168" s="3" t="s">
        <v>95</v>
      </c>
      <c r="M168" s="3">
        <v>13</v>
      </c>
      <c r="N168" s="3">
        <v>15</v>
      </c>
      <c r="O168" s="3">
        <v>4</v>
      </c>
    </row>
    <row r="169" spans="1:15" ht="20" customHeight="1">
      <c r="A169" s="3" t="s">
        <v>422</v>
      </c>
      <c r="B169" s="2">
        <v>46271</v>
      </c>
      <c r="C169" s="3">
        <v>11</v>
      </c>
      <c r="D169" s="3" t="s">
        <v>423</v>
      </c>
      <c r="E169" s="3" t="s">
        <v>91</v>
      </c>
      <c r="F169" s="3" t="s">
        <v>109</v>
      </c>
      <c r="G169" s="3" t="s">
        <v>93</v>
      </c>
      <c r="H169" s="3" t="s">
        <v>146</v>
      </c>
      <c r="I169" s="3">
        <v>6</v>
      </c>
      <c r="J169" s="11">
        <v>110</v>
      </c>
      <c r="K169" s="4">
        <v>0.1</v>
      </c>
      <c r="L169" s="3" t="s">
        <v>95</v>
      </c>
      <c r="M169" s="3">
        <v>34</v>
      </c>
      <c r="N169" s="3">
        <v>7</v>
      </c>
      <c r="O169" s="3">
        <v>3</v>
      </c>
    </row>
    <row r="170" spans="1:15" ht="20" customHeight="1">
      <c r="A170" s="3" t="s">
        <v>424</v>
      </c>
      <c r="B170" s="2">
        <v>46271</v>
      </c>
      <c r="C170" s="3">
        <v>13</v>
      </c>
      <c r="D170" s="3" t="s">
        <v>425</v>
      </c>
      <c r="E170" s="3" t="s">
        <v>91</v>
      </c>
      <c r="F170" s="3" t="s">
        <v>121</v>
      </c>
      <c r="G170" s="3" t="s">
        <v>93</v>
      </c>
      <c r="H170" s="3" t="s">
        <v>146</v>
      </c>
      <c r="I170" s="3">
        <v>6</v>
      </c>
      <c r="J170" s="11">
        <v>110</v>
      </c>
      <c r="K170" s="4">
        <v>0</v>
      </c>
      <c r="L170" s="3" t="s">
        <v>95</v>
      </c>
      <c r="M170" s="3">
        <v>18</v>
      </c>
      <c r="N170" s="3">
        <v>5</v>
      </c>
      <c r="O170" s="3">
        <v>5</v>
      </c>
    </row>
    <row r="171" spans="1:15" ht="20" customHeight="1">
      <c r="A171" s="3" t="s">
        <v>426</v>
      </c>
      <c r="B171" s="2">
        <v>46271</v>
      </c>
      <c r="C171" s="3">
        <v>18</v>
      </c>
      <c r="D171" s="3" t="s">
        <v>427</v>
      </c>
      <c r="E171" s="3" t="s">
        <v>91</v>
      </c>
      <c r="F171" s="3" t="s">
        <v>109</v>
      </c>
      <c r="G171" s="3" t="s">
        <v>93</v>
      </c>
      <c r="H171" s="3" t="s">
        <v>118</v>
      </c>
      <c r="I171" s="3">
        <v>1</v>
      </c>
      <c r="J171" s="11">
        <v>45</v>
      </c>
      <c r="K171" s="4">
        <v>0</v>
      </c>
      <c r="L171" s="3" t="s">
        <v>95</v>
      </c>
      <c r="M171" s="3">
        <v>23</v>
      </c>
      <c r="N171" s="3">
        <v>11</v>
      </c>
      <c r="O171" s="3">
        <v>4</v>
      </c>
    </row>
    <row r="172" spans="1:15" ht="20" customHeight="1">
      <c r="A172" s="3" t="s">
        <v>428</v>
      </c>
      <c r="B172" s="2">
        <v>46271</v>
      </c>
      <c r="C172" s="3">
        <v>23</v>
      </c>
      <c r="D172" s="3" t="s">
        <v>429</v>
      </c>
      <c r="E172" s="3" t="s">
        <v>91</v>
      </c>
      <c r="F172" s="3" t="s">
        <v>121</v>
      </c>
      <c r="G172" s="3" t="s">
        <v>174</v>
      </c>
      <c r="H172" s="3" t="s">
        <v>184</v>
      </c>
      <c r="I172" s="3">
        <v>6</v>
      </c>
      <c r="J172" s="11">
        <v>62</v>
      </c>
      <c r="K172" s="4">
        <v>0.1</v>
      </c>
      <c r="L172" s="3" t="s">
        <v>95</v>
      </c>
      <c r="M172" s="3">
        <v>31</v>
      </c>
      <c r="N172" s="3">
        <v>4</v>
      </c>
      <c r="O172" s="3">
        <v>5</v>
      </c>
    </row>
    <row r="173" spans="1:15" ht="20" customHeight="1">
      <c r="A173" s="3" t="s">
        <v>430</v>
      </c>
      <c r="B173" s="2">
        <v>46271</v>
      </c>
      <c r="C173" s="3">
        <v>17</v>
      </c>
      <c r="D173" s="3" t="s">
        <v>179</v>
      </c>
      <c r="E173" s="3" t="s">
        <v>91</v>
      </c>
      <c r="F173" s="3" t="s">
        <v>121</v>
      </c>
      <c r="G173" s="3" t="s">
        <v>135</v>
      </c>
      <c r="H173" s="3" t="s">
        <v>162</v>
      </c>
      <c r="I173" s="3">
        <v>3</v>
      </c>
      <c r="J173" s="11">
        <v>180</v>
      </c>
      <c r="K173" s="4">
        <v>0.15</v>
      </c>
      <c r="L173" s="3" t="s">
        <v>95</v>
      </c>
      <c r="M173" s="3">
        <v>14</v>
      </c>
      <c r="N173" s="3">
        <v>5</v>
      </c>
      <c r="O173" s="3">
        <v>4</v>
      </c>
    </row>
    <row r="174" spans="1:15" ht="20" customHeight="1">
      <c r="A174" s="3" t="s">
        <v>431</v>
      </c>
      <c r="B174" s="2">
        <v>46271</v>
      </c>
      <c r="C174" s="3">
        <v>19</v>
      </c>
      <c r="D174" s="3" t="s">
        <v>432</v>
      </c>
      <c r="E174" s="3" t="s">
        <v>91</v>
      </c>
      <c r="F174" s="3" t="s">
        <v>139</v>
      </c>
      <c r="G174" s="3" t="s">
        <v>110</v>
      </c>
      <c r="H174" s="3" t="s">
        <v>114</v>
      </c>
      <c r="I174" s="3">
        <v>4</v>
      </c>
      <c r="J174" s="11">
        <v>145</v>
      </c>
      <c r="K174" s="4">
        <v>0.15</v>
      </c>
      <c r="L174" s="3" t="s">
        <v>95</v>
      </c>
      <c r="M174" s="3">
        <v>35</v>
      </c>
      <c r="N174" s="3">
        <v>5</v>
      </c>
      <c r="O174" s="3">
        <v>5</v>
      </c>
    </row>
    <row r="175" spans="1:15" ht="20" customHeight="1">
      <c r="A175" s="3" t="s">
        <v>433</v>
      </c>
      <c r="B175" s="2">
        <v>46271</v>
      </c>
      <c r="C175" s="3">
        <v>15</v>
      </c>
      <c r="D175" s="3" t="s">
        <v>434</v>
      </c>
      <c r="E175" s="3" t="s">
        <v>91</v>
      </c>
      <c r="F175" s="3" t="s">
        <v>121</v>
      </c>
      <c r="G175" s="3" t="s">
        <v>99</v>
      </c>
      <c r="H175" s="3" t="s">
        <v>130</v>
      </c>
      <c r="I175" s="3">
        <v>1</v>
      </c>
      <c r="J175" s="11">
        <v>85</v>
      </c>
      <c r="K175" s="4">
        <v>0.15</v>
      </c>
      <c r="L175" s="3" t="s">
        <v>95</v>
      </c>
      <c r="M175" s="3">
        <v>16</v>
      </c>
      <c r="N175" s="3">
        <v>5</v>
      </c>
      <c r="O175" s="3">
        <v>3</v>
      </c>
    </row>
    <row r="176" spans="1:15" ht="20" customHeight="1">
      <c r="A176" s="3" t="s">
        <v>435</v>
      </c>
      <c r="B176" s="2">
        <v>46271</v>
      </c>
      <c r="C176" s="3">
        <v>13</v>
      </c>
      <c r="D176" s="3" t="s">
        <v>436</v>
      </c>
      <c r="E176" s="3" t="s">
        <v>117</v>
      </c>
      <c r="F176" s="3" t="s">
        <v>109</v>
      </c>
      <c r="G176" s="3" t="s">
        <v>174</v>
      </c>
      <c r="H176" s="3" t="s">
        <v>274</v>
      </c>
      <c r="I176" s="3">
        <v>2</v>
      </c>
      <c r="J176" s="11">
        <v>90</v>
      </c>
      <c r="K176" s="4">
        <v>0.15</v>
      </c>
      <c r="L176" s="3" t="s">
        <v>95</v>
      </c>
      <c r="M176" s="3">
        <v>13</v>
      </c>
      <c r="N176" s="3">
        <v>7</v>
      </c>
      <c r="O176" s="3">
        <v>5</v>
      </c>
    </row>
    <row r="177" spans="1:15" ht="20" customHeight="1">
      <c r="A177" s="3" t="s">
        <v>437</v>
      </c>
      <c r="B177" s="2">
        <v>46271</v>
      </c>
      <c r="C177" s="3">
        <v>15</v>
      </c>
      <c r="D177" s="3" t="s">
        <v>438</v>
      </c>
      <c r="E177" s="3" t="s">
        <v>91</v>
      </c>
      <c r="F177" s="3" t="s">
        <v>98</v>
      </c>
      <c r="G177" s="3" t="s">
        <v>93</v>
      </c>
      <c r="H177" s="3" t="s">
        <v>146</v>
      </c>
      <c r="I177" s="3">
        <v>4</v>
      </c>
      <c r="J177" s="11">
        <v>110</v>
      </c>
      <c r="K177" s="4">
        <v>0</v>
      </c>
      <c r="L177" s="3" t="s">
        <v>95</v>
      </c>
      <c r="M177" s="3">
        <v>24</v>
      </c>
      <c r="N177" s="3">
        <v>7</v>
      </c>
      <c r="O177" s="3">
        <v>3</v>
      </c>
    </row>
    <row r="178" spans="1:15" ht="20" customHeight="1">
      <c r="A178" s="3" t="s">
        <v>439</v>
      </c>
      <c r="B178" s="2">
        <v>46271</v>
      </c>
      <c r="C178" s="3">
        <v>22</v>
      </c>
      <c r="D178" s="3" t="s">
        <v>440</v>
      </c>
      <c r="E178" s="3" t="s">
        <v>91</v>
      </c>
      <c r="F178" s="3" t="s">
        <v>121</v>
      </c>
      <c r="G178" s="3" t="s">
        <v>122</v>
      </c>
      <c r="H178" s="3" t="s">
        <v>153</v>
      </c>
      <c r="I178" s="3">
        <v>1</v>
      </c>
      <c r="J178" s="11">
        <v>130</v>
      </c>
      <c r="K178" s="4">
        <v>0</v>
      </c>
      <c r="L178" s="3" t="s">
        <v>95</v>
      </c>
      <c r="M178" s="3">
        <v>13</v>
      </c>
      <c r="N178" s="3">
        <v>14</v>
      </c>
      <c r="O178" s="3">
        <v>4</v>
      </c>
    </row>
    <row r="179" spans="1:15" ht="20" customHeight="1">
      <c r="A179" s="3" t="s">
        <v>441</v>
      </c>
      <c r="B179" s="2">
        <v>46271</v>
      </c>
      <c r="C179" s="3">
        <v>15</v>
      </c>
      <c r="D179" s="3" t="s">
        <v>171</v>
      </c>
      <c r="E179" s="3" t="s">
        <v>91</v>
      </c>
      <c r="F179" s="3" t="s">
        <v>121</v>
      </c>
      <c r="G179" s="3" t="s">
        <v>122</v>
      </c>
      <c r="H179" s="3" t="s">
        <v>214</v>
      </c>
      <c r="I179" s="3">
        <v>1</v>
      </c>
      <c r="J179" s="11">
        <v>55</v>
      </c>
      <c r="K179" s="4">
        <v>0.1</v>
      </c>
      <c r="L179" s="3" t="s">
        <v>95</v>
      </c>
      <c r="M179" s="3">
        <v>24</v>
      </c>
      <c r="N179" s="3">
        <v>15</v>
      </c>
      <c r="O179" s="3">
        <v>3</v>
      </c>
    </row>
    <row r="180" spans="1:15" ht="20" customHeight="1">
      <c r="A180" s="3" t="s">
        <v>442</v>
      </c>
      <c r="B180" s="2">
        <v>46271</v>
      </c>
      <c r="C180" s="3">
        <v>18</v>
      </c>
      <c r="D180" s="3" t="s">
        <v>208</v>
      </c>
      <c r="E180" s="3" t="s">
        <v>117</v>
      </c>
      <c r="F180" s="3" t="s">
        <v>98</v>
      </c>
      <c r="G180" s="3" t="s">
        <v>99</v>
      </c>
      <c r="H180" s="3" t="s">
        <v>104</v>
      </c>
      <c r="I180" s="3">
        <v>6</v>
      </c>
      <c r="J180" s="11">
        <v>240</v>
      </c>
      <c r="K180" s="4">
        <v>0</v>
      </c>
      <c r="L180" s="3" t="s">
        <v>95</v>
      </c>
      <c r="M180" s="3">
        <v>18</v>
      </c>
      <c r="N180" s="3">
        <v>13</v>
      </c>
      <c r="O180" s="3">
        <v>5</v>
      </c>
    </row>
    <row r="181" spans="1:15" ht="20" customHeight="1">
      <c r="A181" s="3" t="s">
        <v>443</v>
      </c>
      <c r="B181" s="2">
        <v>46271</v>
      </c>
      <c r="C181" s="3">
        <v>9</v>
      </c>
      <c r="D181" s="3" t="s">
        <v>444</v>
      </c>
      <c r="E181" s="3" t="s">
        <v>91</v>
      </c>
      <c r="F181" s="3" t="s">
        <v>98</v>
      </c>
      <c r="G181" s="3" t="s">
        <v>174</v>
      </c>
      <c r="H181" s="3" t="s">
        <v>175</v>
      </c>
      <c r="I181" s="3">
        <v>2</v>
      </c>
      <c r="J181" s="11">
        <v>155</v>
      </c>
      <c r="K181" s="4">
        <v>0</v>
      </c>
      <c r="L181" s="3" t="s">
        <v>101</v>
      </c>
      <c r="M181" s="3"/>
      <c r="N181" s="3"/>
      <c r="O181" s="3"/>
    </row>
    <row r="182" spans="1:15" ht="20" customHeight="1">
      <c r="A182" s="3" t="s">
        <v>445</v>
      </c>
      <c r="B182" s="2">
        <v>46272</v>
      </c>
      <c r="C182" s="3">
        <v>12</v>
      </c>
      <c r="D182" s="3" t="s">
        <v>446</v>
      </c>
      <c r="E182" s="3" t="s">
        <v>91</v>
      </c>
      <c r="F182" s="3" t="s">
        <v>1314</v>
      </c>
      <c r="G182" s="3" t="s">
        <v>99</v>
      </c>
      <c r="H182" s="3" t="s">
        <v>100</v>
      </c>
      <c r="I182" s="3">
        <v>2</v>
      </c>
      <c r="J182" s="11">
        <v>120</v>
      </c>
      <c r="K182" s="4">
        <v>0</v>
      </c>
      <c r="L182" s="3" t="s">
        <v>1311</v>
      </c>
      <c r="M182" s="3">
        <v>24</v>
      </c>
      <c r="N182" s="3">
        <v>9</v>
      </c>
      <c r="O182" s="3">
        <v>4</v>
      </c>
    </row>
    <row r="183" spans="1:15" ht="20" customHeight="1">
      <c r="A183" s="3" t="s">
        <v>447</v>
      </c>
      <c r="B183" s="2">
        <v>46272</v>
      </c>
      <c r="C183" s="3">
        <v>6</v>
      </c>
      <c r="D183" s="3" t="s">
        <v>448</v>
      </c>
      <c r="E183" s="3" t="s">
        <v>91</v>
      </c>
      <c r="F183" s="3" t="s">
        <v>121</v>
      </c>
      <c r="G183" s="3" t="s">
        <v>174</v>
      </c>
      <c r="H183" s="3" t="s">
        <v>175</v>
      </c>
      <c r="I183" s="3">
        <v>3</v>
      </c>
      <c r="J183" s="11">
        <v>155</v>
      </c>
      <c r="K183" s="4">
        <v>0</v>
      </c>
      <c r="L183" s="3" t="s">
        <v>95</v>
      </c>
      <c r="M183" s="3">
        <v>19</v>
      </c>
      <c r="N183" s="3">
        <v>9</v>
      </c>
      <c r="O183" s="3">
        <v>5</v>
      </c>
    </row>
    <row r="184" spans="1:15" ht="20" customHeight="1">
      <c r="A184" s="3" t="s">
        <v>449</v>
      </c>
      <c r="B184" s="2">
        <v>46272</v>
      </c>
      <c r="C184" s="3">
        <v>19</v>
      </c>
      <c r="D184" s="3" t="s">
        <v>234</v>
      </c>
      <c r="E184" s="3" t="s">
        <v>91</v>
      </c>
      <c r="F184" s="3" t="s">
        <v>109</v>
      </c>
      <c r="G184" s="3" t="s">
        <v>93</v>
      </c>
      <c r="H184" s="3" t="s">
        <v>118</v>
      </c>
      <c r="I184" s="3">
        <v>5</v>
      </c>
      <c r="J184" s="11">
        <v>45</v>
      </c>
      <c r="K184" s="4">
        <v>0</v>
      </c>
      <c r="L184" s="3" t="s">
        <v>95</v>
      </c>
      <c r="M184" s="3">
        <v>30</v>
      </c>
      <c r="N184" s="3">
        <v>9</v>
      </c>
      <c r="O184" s="3">
        <v>5</v>
      </c>
    </row>
    <row r="185" spans="1:15" ht="20" customHeight="1">
      <c r="A185" s="3" t="s">
        <v>450</v>
      </c>
      <c r="B185" s="2">
        <v>46272</v>
      </c>
      <c r="C185" s="3">
        <v>6</v>
      </c>
      <c r="D185" s="3" t="s">
        <v>440</v>
      </c>
      <c r="E185" s="3" t="s">
        <v>91</v>
      </c>
      <c r="F185" s="3" t="s">
        <v>109</v>
      </c>
      <c r="G185" s="3" t="s">
        <v>135</v>
      </c>
      <c r="H185" s="3" t="s">
        <v>217</v>
      </c>
      <c r="I185" s="3">
        <v>1</v>
      </c>
      <c r="J185" s="11">
        <v>65</v>
      </c>
      <c r="K185" s="4">
        <v>0</v>
      </c>
      <c r="L185" s="3" t="s">
        <v>95</v>
      </c>
      <c r="M185" s="3">
        <v>15</v>
      </c>
      <c r="N185" s="3">
        <v>12</v>
      </c>
      <c r="O185" s="3">
        <v>4</v>
      </c>
    </row>
    <row r="186" spans="1:15" ht="20" customHeight="1">
      <c r="A186" s="3" t="s">
        <v>451</v>
      </c>
      <c r="B186" s="2">
        <v>46272</v>
      </c>
      <c r="C186" s="3">
        <v>12</v>
      </c>
      <c r="D186" s="3" t="s">
        <v>452</v>
      </c>
      <c r="E186" s="3" t="s">
        <v>91</v>
      </c>
      <c r="F186" s="3" t="s">
        <v>121</v>
      </c>
      <c r="G186" s="3" t="s">
        <v>93</v>
      </c>
      <c r="H186" s="3" t="s">
        <v>118</v>
      </c>
      <c r="I186" s="3">
        <v>3</v>
      </c>
      <c r="J186" s="11">
        <v>45</v>
      </c>
      <c r="K186" s="4">
        <v>0</v>
      </c>
      <c r="L186" s="3" t="s">
        <v>95</v>
      </c>
      <c r="M186" s="3">
        <v>14</v>
      </c>
      <c r="N186" s="3">
        <v>10</v>
      </c>
      <c r="O186" s="3">
        <v>4</v>
      </c>
    </row>
    <row r="187" spans="1:15" ht="20" customHeight="1">
      <c r="A187" s="3" t="s">
        <v>453</v>
      </c>
      <c r="B187" s="2">
        <v>46272</v>
      </c>
      <c r="C187" s="3">
        <v>21</v>
      </c>
      <c r="D187" s="3" t="s">
        <v>454</v>
      </c>
      <c r="E187" s="3" t="s">
        <v>91</v>
      </c>
      <c r="F187" s="3" t="s">
        <v>139</v>
      </c>
      <c r="G187" s="3" t="s">
        <v>135</v>
      </c>
      <c r="H187" s="3" t="s">
        <v>217</v>
      </c>
      <c r="I187" s="3">
        <v>5</v>
      </c>
      <c r="J187" s="11">
        <v>65</v>
      </c>
      <c r="K187" s="4">
        <v>0.15</v>
      </c>
      <c r="L187" s="3" t="s">
        <v>95</v>
      </c>
      <c r="M187" s="3">
        <v>34</v>
      </c>
      <c r="N187" s="3">
        <v>9</v>
      </c>
      <c r="O187" s="3">
        <v>5</v>
      </c>
    </row>
    <row r="188" spans="1:15" ht="20" customHeight="1">
      <c r="A188" s="3" t="s">
        <v>455</v>
      </c>
      <c r="B188" s="2">
        <v>46272</v>
      </c>
      <c r="C188" s="3">
        <v>18</v>
      </c>
      <c r="D188" s="3" t="s">
        <v>456</v>
      </c>
      <c r="E188" s="3" t="s">
        <v>117</v>
      </c>
      <c r="F188" s="3" t="s">
        <v>98</v>
      </c>
      <c r="G188" s="3" t="s">
        <v>93</v>
      </c>
      <c r="H188" s="3" t="s">
        <v>146</v>
      </c>
      <c r="I188" s="3">
        <v>2</v>
      </c>
      <c r="J188" s="11">
        <v>110</v>
      </c>
      <c r="K188" s="4">
        <v>0</v>
      </c>
      <c r="L188" s="3" t="s">
        <v>101</v>
      </c>
      <c r="M188" s="3"/>
      <c r="N188" s="3"/>
      <c r="O188" s="3"/>
    </row>
    <row r="189" spans="1:15" ht="20" customHeight="1">
      <c r="A189" s="3" t="s">
        <v>457</v>
      </c>
      <c r="B189" s="2">
        <v>46272</v>
      </c>
      <c r="C189" s="3">
        <v>6</v>
      </c>
      <c r="D189" s="3" t="s">
        <v>242</v>
      </c>
      <c r="E189" s="3" t="s">
        <v>91</v>
      </c>
      <c r="F189" s="3" t="s">
        <v>121</v>
      </c>
      <c r="G189" s="3" t="s">
        <v>135</v>
      </c>
      <c r="H189" s="3" t="s">
        <v>162</v>
      </c>
      <c r="I189" s="3">
        <v>2</v>
      </c>
      <c r="J189" s="11">
        <v>180</v>
      </c>
      <c r="K189" s="4">
        <v>0</v>
      </c>
      <c r="L189" s="3" t="s">
        <v>95</v>
      </c>
      <c r="M189" s="3">
        <v>30</v>
      </c>
      <c r="N189" s="3">
        <v>9</v>
      </c>
      <c r="O189" s="3">
        <v>4</v>
      </c>
    </row>
    <row r="190" spans="1:15" ht="20" customHeight="1">
      <c r="A190" s="3" t="s">
        <v>458</v>
      </c>
      <c r="B190" s="2">
        <v>46272</v>
      </c>
      <c r="C190" s="3">
        <v>18</v>
      </c>
      <c r="D190" s="3" t="s">
        <v>199</v>
      </c>
      <c r="E190" s="3" t="s">
        <v>117</v>
      </c>
      <c r="F190" s="3" t="s">
        <v>98</v>
      </c>
      <c r="G190" s="3" t="s">
        <v>99</v>
      </c>
      <c r="H190" s="3" t="s">
        <v>130</v>
      </c>
      <c r="I190" s="3">
        <v>6</v>
      </c>
      <c r="J190" s="11">
        <v>85</v>
      </c>
      <c r="K190" s="4">
        <v>0.1</v>
      </c>
      <c r="L190" s="3" t="s">
        <v>95</v>
      </c>
      <c r="M190" s="3">
        <v>26</v>
      </c>
      <c r="N190" s="3">
        <v>15</v>
      </c>
      <c r="O190" s="3">
        <v>5</v>
      </c>
    </row>
    <row r="191" spans="1:15" ht="20" customHeight="1">
      <c r="A191" s="3" t="s">
        <v>459</v>
      </c>
      <c r="B191" s="2">
        <v>46272</v>
      </c>
      <c r="C191" s="3">
        <v>17</v>
      </c>
      <c r="D191" s="3" t="s">
        <v>460</v>
      </c>
      <c r="E191" s="3" t="s">
        <v>117</v>
      </c>
      <c r="F191" s="3" t="s">
        <v>92</v>
      </c>
      <c r="G191" s="3" t="s">
        <v>99</v>
      </c>
      <c r="H191" s="3" t="s">
        <v>100</v>
      </c>
      <c r="I191" s="3">
        <v>4</v>
      </c>
      <c r="J191" s="11">
        <v>120</v>
      </c>
      <c r="K191" s="4">
        <v>0</v>
      </c>
      <c r="L191" s="3" t="s">
        <v>95</v>
      </c>
      <c r="M191" s="3">
        <v>23</v>
      </c>
      <c r="N191" s="3">
        <v>10</v>
      </c>
      <c r="O191" s="3">
        <v>4</v>
      </c>
    </row>
    <row r="192" spans="1:15" ht="20" customHeight="1">
      <c r="A192" s="3" t="s">
        <v>461</v>
      </c>
      <c r="B192" s="2">
        <v>46272</v>
      </c>
      <c r="C192" s="3">
        <v>18</v>
      </c>
      <c r="D192" s="3" t="s">
        <v>462</v>
      </c>
      <c r="E192" s="3" t="s">
        <v>91</v>
      </c>
      <c r="F192" s="3" t="s">
        <v>109</v>
      </c>
      <c r="G192" s="3" t="s">
        <v>110</v>
      </c>
      <c r="H192" s="3" t="s">
        <v>111</v>
      </c>
      <c r="I192" s="3">
        <v>4</v>
      </c>
      <c r="J192" s="11">
        <v>115</v>
      </c>
      <c r="K192" s="4">
        <v>0.05</v>
      </c>
      <c r="L192" s="3" t="s">
        <v>101</v>
      </c>
      <c r="M192" s="3"/>
      <c r="N192" s="3"/>
      <c r="O192" s="3"/>
    </row>
    <row r="193" spans="1:15" ht="20" customHeight="1">
      <c r="A193" s="3" t="s">
        <v>463</v>
      </c>
      <c r="B193" s="2">
        <v>46272</v>
      </c>
      <c r="C193" s="3">
        <v>12</v>
      </c>
      <c r="D193" s="3" t="s">
        <v>464</v>
      </c>
      <c r="E193" s="3" t="s">
        <v>91</v>
      </c>
      <c r="F193" s="3" t="s">
        <v>92</v>
      </c>
      <c r="G193" s="3" t="s">
        <v>135</v>
      </c>
      <c r="H193" s="3" t="s">
        <v>136</v>
      </c>
      <c r="I193" s="3">
        <v>4</v>
      </c>
      <c r="J193" s="11">
        <v>40</v>
      </c>
      <c r="K193" s="4">
        <v>0</v>
      </c>
      <c r="L193" s="3" t="s">
        <v>95</v>
      </c>
      <c r="M193" s="3">
        <v>35</v>
      </c>
      <c r="N193" s="3">
        <v>14</v>
      </c>
      <c r="O193" s="3">
        <v>5</v>
      </c>
    </row>
    <row r="194" spans="1:15" ht="20" customHeight="1">
      <c r="A194" s="3" t="s">
        <v>465</v>
      </c>
      <c r="B194" s="2">
        <v>46272</v>
      </c>
      <c r="C194" s="3">
        <v>18</v>
      </c>
      <c r="D194" s="3" t="s">
        <v>265</v>
      </c>
      <c r="E194" s="3" t="s">
        <v>117</v>
      </c>
      <c r="F194" s="3" t="s">
        <v>92</v>
      </c>
      <c r="G194" s="3" t="s">
        <v>135</v>
      </c>
      <c r="H194" s="3" t="s">
        <v>162</v>
      </c>
      <c r="I194" s="3">
        <v>6</v>
      </c>
      <c r="J194" s="11">
        <v>180</v>
      </c>
      <c r="K194" s="4">
        <v>0.05</v>
      </c>
      <c r="L194" s="3" t="s">
        <v>95</v>
      </c>
      <c r="M194" s="3">
        <v>18</v>
      </c>
      <c r="N194" s="3">
        <v>5</v>
      </c>
      <c r="O194" s="3">
        <v>5</v>
      </c>
    </row>
    <row r="195" spans="1:15" ht="20" customHeight="1">
      <c r="A195" s="3" t="s">
        <v>466</v>
      </c>
      <c r="B195" s="2">
        <v>46272</v>
      </c>
      <c r="C195" s="3">
        <v>19</v>
      </c>
      <c r="D195" s="3" t="s">
        <v>191</v>
      </c>
      <c r="E195" s="3" t="s">
        <v>91</v>
      </c>
      <c r="F195" s="3" t="s">
        <v>109</v>
      </c>
      <c r="G195" s="3" t="s">
        <v>93</v>
      </c>
      <c r="H195" s="3" t="s">
        <v>146</v>
      </c>
      <c r="I195" s="3">
        <v>2</v>
      </c>
      <c r="J195" s="11">
        <v>110</v>
      </c>
      <c r="K195" s="4">
        <v>0</v>
      </c>
      <c r="L195" s="3" t="s">
        <v>95</v>
      </c>
      <c r="M195" s="3">
        <v>17</v>
      </c>
      <c r="N195" s="3">
        <v>14</v>
      </c>
      <c r="O195" s="3">
        <v>5</v>
      </c>
    </row>
    <row r="196" spans="1:15" ht="20" customHeight="1">
      <c r="A196" s="3" t="s">
        <v>467</v>
      </c>
      <c r="B196" s="2">
        <v>46272</v>
      </c>
      <c r="C196" s="3">
        <v>9</v>
      </c>
      <c r="D196" s="3" t="s">
        <v>468</v>
      </c>
      <c r="E196" s="3" t="s">
        <v>117</v>
      </c>
      <c r="F196" s="3" t="s">
        <v>98</v>
      </c>
      <c r="G196" s="3" t="s">
        <v>93</v>
      </c>
      <c r="H196" s="3" t="s">
        <v>146</v>
      </c>
      <c r="I196" s="3">
        <v>3</v>
      </c>
      <c r="J196" s="11">
        <v>110</v>
      </c>
      <c r="K196" s="4">
        <v>0</v>
      </c>
      <c r="L196" s="3" t="s">
        <v>95</v>
      </c>
      <c r="M196" s="3">
        <v>35</v>
      </c>
      <c r="N196" s="3">
        <v>7</v>
      </c>
      <c r="O196" s="3">
        <v>4</v>
      </c>
    </row>
    <row r="197" spans="1:15" ht="20" customHeight="1">
      <c r="A197" s="3" t="s">
        <v>469</v>
      </c>
      <c r="B197" s="2">
        <v>46272</v>
      </c>
      <c r="C197" s="3">
        <v>7</v>
      </c>
      <c r="D197" s="3" t="s">
        <v>152</v>
      </c>
      <c r="E197" s="3" t="s">
        <v>117</v>
      </c>
      <c r="F197" s="3" t="s">
        <v>121</v>
      </c>
      <c r="G197" s="3" t="s">
        <v>93</v>
      </c>
      <c r="H197" s="3" t="s">
        <v>118</v>
      </c>
      <c r="I197" s="3">
        <v>5</v>
      </c>
      <c r="J197" s="11">
        <v>45</v>
      </c>
      <c r="K197" s="4">
        <v>0.1</v>
      </c>
      <c r="L197" s="3" t="s">
        <v>95</v>
      </c>
      <c r="M197" s="3">
        <v>28</v>
      </c>
      <c r="N197" s="3">
        <v>7</v>
      </c>
      <c r="O197" s="3">
        <v>4</v>
      </c>
    </row>
    <row r="198" spans="1:15" ht="20" customHeight="1">
      <c r="A198" s="3" t="s">
        <v>470</v>
      </c>
      <c r="B198" s="2">
        <v>46272</v>
      </c>
      <c r="C198" s="3">
        <v>18</v>
      </c>
      <c r="D198" s="3" t="s">
        <v>332</v>
      </c>
      <c r="E198" s="3" t="s">
        <v>91</v>
      </c>
      <c r="F198" s="3" t="s">
        <v>98</v>
      </c>
      <c r="G198" s="3" t="s">
        <v>110</v>
      </c>
      <c r="H198" s="3" t="s">
        <v>111</v>
      </c>
      <c r="I198" s="3">
        <v>4</v>
      </c>
      <c r="J198" s="11">
        <v>115</v>
      </c>
      <c r="K198" s="4">
        <v>0</v>
      </c>
      <c r="L198" s="3" t="s">
        <v>95</v>
      </c>
      <c r="M198" s="3">
        <v>29</v>
      </c>
      <c r="N198" s="3">
        <v>5</v>
      </c>
      <c r="O198" s="3">
        <v>4</v>
      </c>
    </row>
    <row r="199" spans="1:15" ht="20" customHeight="1">
      <c r="A199" s="3" t="s">
        <v>471</v>
      </c>
      <c r="B199" s="2">
        <v>46272</v>
      </c>
      <c r="C199" s="3">
        <v>19</v>
      </c>
      <c r="D199" s="3" t="s">
        <v>392</v>
      </c>
      <c r="E199" s="3" t="s">
        <v>91</v>
      </c>
      <c r="F199" s="3" t="s">
        <v>139</v>
      </c>
      <c r="G199" s="3" t="s">
        <v>93</v>
      </c>
      <c r="H199" s="3" t="s">
        <v>118</v>
      </c>
      <c r="I199" s="3">
        <v>2</v>
      </c>
      <c r="J199" s="11">
        <v>45</v>
      </c>
      <c r="K199" s="4">
        <v>0</v>
      </c>
      <c r="L199" s="3" t="s">
        <v>95</v>
      </c>
      <c r="M199" s="3">
        <v>20</v>
      </c>
      <c r="N199" s="3">
        <v>8</v>
      </c>
      <c r="O199" s="3">
        <v>4</v>
      </c>
    </row>
    <row r="200" spans="1:15" ht="20" customHeight="1">
      <c r="A200" s="3" t="s">
        <v>472</v>
      </c>
      <c r="B200" s="2">
        <v>46272</v>
      </c>
      <c r="C200" s="3">
        <v>6</v>
      </c>
      <c r="D200" s="3" t="s">
        <v>337</v>
      </c>
      <c r="E200" s="3" t="s">
        <v>117</v>
      </c>
      <c r="F200" s="3" t="s">
        <v>109</v>
      </c>
      <c r="G200" s="3" t="s">
        <v>135</v>
      </c>
      <c r="H200" s="3" t="s">
        <v>217</v>
      </c>
      <c r="I200" s="3">
        <v>4</v>
      </c>
      <c r="J200" s="11">
        <v>65</v>
      </c>
      <c r="K200" s="4">
        <v>0.15</v>
      </c>
      <c r="L200" s="3" t="s">
        <v>95</v>
      </c>
      <c r="M200" s="3">
        <v>17</v>
      </c>
      <c r="N200" s="3">
        <v>11</v>
      </c>
      <c r="O200" s="3">
        <v>4</v>
      </c>
    </row>
    <row r="201" spans="1:15" ht="20" customHeight="1">
      <c r="A201" s="3" t="s">
        <v>473</v>
      </c>
      <c r="B201" s="2">
        <v>46272</v>
      </c>
      <c r="C201" s="3">
        <v>19</v>
      </c>
      <c r="D201" s="3" t="s">
        <v>474</v>
      </c>
      <c r="E201" s="3" t="s">
        <v>91</v>
      </c>
      <c r="F201" s="3" t="s">
        <v>109</v>
      </c>
      <c r="G201" s="3" t="s">
        <v>110</v>
      </c>
      <c r="H201" s="3" t="s">
        <v>114</v>
      </c>
      <c r="I201" s="3">
        <v>3</v>
      </c>
      <c r="J201" s="11">
        <v>145</v>
      </c>
      <c r="K201" s="4">
        <v>0</v>
      </c>
      <c r="L201" s="3" t="s">
        <v>95</v>
      </c>
      <c r="M201" s="3">
        <v>30</v>
      </c>
      <c r="N201" s="3">
        <v>7</v>
      </c>
      <c r="O201" s="3">
        <v>4</v>
      </c>
    </row>
    <row r="202" spans="1:15" ht="20" customHeight="1">
      <c r="A202" s="3" t="s">
        <v>475</v>
      </c>
      <c r="B202" s="2">
        <v>46272</v>
      </c>
      <c r="C202" s="3">
        <v>16</v>
      </c>
      <c r="D202" s="3" t="s">
        <v>287</v>
      </c>
      <c r="E202" s="3" t="s">
        <v>91</v>
      </c>
      <c r="F202" s="3" t="s">
        <v>92</v>
      </c>
      <c r="G202" s="3" t="s">
        <v>122</v>
      </c>
      <c r="H202" s="3" t="s">
        <v>153</v>
      </c>
      <c r="I202" s="3">
        <v>3</v>
      </c>
      <c r="J202" s="11">
        <v>130</v>
      </c>
      <c r="K202" s="4">
        <v>0</v>
      </c>
      <c r="L202" s="3" t="s">
        <v>95</v>
      </c>
      <c r="M202" s="3">
        <v>31</v>
      </c>
      <c r="N202" s="3">
        <v>10</v>
      </c>
      <c r="O202" s="3">
        <v>5</v>
      </c>
    </row>
    <row r="203" spans="1:15" ht="20" customHeight="1">
      <c r="A203" s="3" t="s">
        <v>476</v>
      </c>
      <c r="B203" s="2">
        <v>46272</v>
      </c>
      <c r="C203" s="3">
        <v>10</v>
      </c>
      <c r="D203" s="3" t="s">
        <v>477</v>
      </c>
      <c r="E203" s="3" t="s">
        <v>91</v>
      </c>
      <c r="F203" s="3" t="s">
        <v>98</v>
      </c>
      <c r="G203" s="3" t="s">
        <v>122</v>
      </c>
      <c r="H203" s="3" t="s">
        <v>123</v>
      </c>
      <c r="I203" s="3">
        <v>5</v>
      </c>
      <c r="J203" s="11">
        <v>45</v>
      </c>
      <c r="K203" s="4">
        <v>0</v>
      </c>
      <c r="L203" s="3" t="s">
        <v>101</v>
      </c>
      <c r="M203" s="3"/>
      <c r="N203" s="3"/>
      <c r="O203" s="3"/>
    </row>
    <row r="204" spans="1:15" ht="20" customHeight="1">
      <c r="A204" s="3" t="s">
        <v>478</v>
      </c>
      <c r="B204" s="2">
        <v>46272</v>
      </c>
      <c r="C204" s="3">
        <v>14</v>
      </c>
      <c r="D204" s="3" t="s">
        <v>479</v>
      </c>
      <c r="E204" s="3" t="s">
        <v>117</v>
      </c>
      <c r="F204" s="3" t="s">
        <v>92</v>
      </c>
      <c r="G204" s="3" t="s">
        <v>93</v>
      </c>
      <c r="H204" s="3" t="s">
        <v>118</v>
      </c>
      <c r="I204" s="3">
        <v>4</v>
      </c>
      <c r="J204" s="11">
        <v>45</v>
      </c>
      <c r="K204" s="4">
        <v>0.05</v>
      </c>
      <c r="L204" s="3" t="s">
        <v>95</v>
      </c>
      <c r="M204" s="3">
        <v>31</v>
      </c>
      <c r="N204" s="3">
        <v>8</v>
      </c>
      <c r="O204" s="3">
        <v>5</v>
      </c>
    </row>
    <row r="205" spans="1:15" ht="20" customHeight="1">
      <c r="A205" s="3" t="s">
        <v>480</v>
      </c>
      <c r="B205" s="2">
        <v>46272</v>
      </c>
      <c r="C205" s="3">
        <v>12</v>
      </c>
      <c r="D205" s="3" t="s">
        <v>446</v>
      </c>
      <c r="E205" s="3" t="s">
        <v>91</v>
      </c>
      <c r="F205" s="3" t="s">
        <v>139</v>
      </c>
      <c r="G205" s="3" t="s">
        <v>110</v>
      </c>
      <c r="H205" s="3" t="s">
        <v>111</v>
      </c>
      <c r="I205" s="3">
        <v>5</v>
      </c>
      <c r="J205" s="11">
        <v>115</v>
      </c>
      <c r="K205" s="4">
        <v>0</v>
      </c>
      <c r="L205" s="3" t="s">
        <v>95</v>
      </c>
      <c r="M205" s="3">
        <v>12</v>
      </c>
      <c r="N205" s="3">
        <v>10</v>
      </c>
      <c r="O205" s="3">
        <v>4</v>
      </c>
    </row>
    <row r="206" spans="1:15" ht="20" customHeight="1">
      <c r="A206" s="3" t="s">
        <v>481</v>
      </c>
      <c r="B206" s="2">
        <v>46272</v>
      </c>
      <c r="C206" s="3">
        <v>11</v>
      </c>
      <c r="D206" s="3" t="s">
        <v>265</v>
      </c>
      <c r="E206" s="3" t="s">
        <v>117</v>
      </c>
      <c r="F206" s="3" t="s">
        <v>92</v>
      </c>
      <c r="G206" s="3" t="s">
        <v>135</v>
      </c>
      <c r="H206" s="3" t="s">
        <v>136</v>
      </c>
      <c r="I206" s="3">
        <v>1</v>
      </c>
      <c r="J206" s="11">
        <v>40</v>
      </c>
      <c r="K206" s="4">
        <v>0</v>
      </c>
      <c r="L206" s="3" t="s">
        <v>95</v>
      </c>
      <c r="M206" s="3">
        <v>33</v>
      </c>
      <c r="N206" s="3">
        <v>7</v>
      </c>
      <c r="O206" s="3">
        <v>5</v>
      </c>
    </row>
    <row r="207" spans="1:15" ht="20" customHeight="1">
      <c r="A207" s="3" t="s">
        <v>482</v>
      </c>
      <c r="B207" s="2">
        <v>46272</v>
      </c>
      <c r="C207" s="3">
        <v>10</v>
      </c>
      <c r="D207" s="3" t="s">
        <v>159</v>
      </c>
      <c r="E207" s="3" t="s">
        <v>117</v>
      </c>
      <c r="F207" s="3" t="s">
        <v>121</v>
      </c>
      <c r="G207" s="3" t="s">
        <v>93</v>
      </c>
      <c r="H207" s="3" t="s">
        <v>94</v>
      </c>
      <c r="I207" s="3">
        <v>3</v>
      </c>
      <c r="J207" s="11">
        <v>95</v>
      </c>
      <c r="K207" s="4">
        <v>0</v>
      </c>
      <c r="L207" s="3" t="s">
        <v>95</v>
      </c>
      <c r="M207" s="3">
        <v>22</v>
      </c>
      <c r="N207" s="3">
        <v>9</v>
      </c>
      <c r="O207" s="3">
        <v>4</v>
      </c>
    </row>
    <row r="208" spans="1:15" ht="20" customHeight="1">
      <c r="A208" s="3" t="s">
        <v>483</v>
      </c>
      <c r="B208" s="2">
        <v>46272</v>
      </c>
      <c r="C208" s="3">
        <v>7</v>
      </c>
      <c r="D208" s="3" t="s">
        <v>108</v>
      </c>
      <c r="E208" s="3" t="s">
        <v>91</v>
      </c>
      <c r="F208" s="3" t="s">
        <v>109</v>
      </c>
      <c r="G208" s="3" t="s">
        <v>99</v>
      </c>
      <c r="H208" s="3" t="s">
        <v>104</v>
      </c>
      <c r="I208" s="3">
        <v>1</v>
      </c>
      <c r="J208" s="11">
        <v>240</v>
      </c>
      <c r="K208" s="4">
        <v>0</v>
      </c>
      <c r="L208" s="3" t="s">
        <v>95</v>
      </c>
      <c r="M208" s="3">
        <v>30</v>
      </c>
      <c r="N208" s="3">
        <v>12</v>
      </c>
      <c r="O208" s="3">
        <v>5</v>
      </c>
    </row>
    <row r="209" spans="1:15" ht="20" customHeight="1">
      <c r="A209" s="3" t="s">
        <v>484</v>
      </c>
      <c r="B209" s="2">
        <v>46272</v>
      </c>
      <c r="C209" s="3">
        <v>19</v>
      </c>
      <c r="D209" s="3" t="s">
        <v>485</v>
      </c>
      <c r="E209" s="3" t="s">
        <v>91</v>
      </c>
      <c r="F209" s="3" t="s">
        <v>109</v>
      </c>
      <c r="G209" s="3" t="s">
        <v>174</v>
      </c>
      <c r="H209" s="3" t="s">
        <v>274</v>
      </c>
      <c r="I209" s="3">
        <v>5</v>
      </c>
      <c r="J209" s="11">
        <v>90</v>
      </c>
      <c r="K209" s="4">
        <v>0.05</v>
      </c>
      <c r="L209" s="3" t="s">
        <v>95</v>
      </c>
      <c r="M209" s="3">
        <v>29</v>
      </c>
      <c r="N209" s="3">
        <v>5</v>
      </c>
      <c r="O209" s="3">
        <v>4</v>
      </c>
    </row>
    <row r="210" spans="1:15" ht="20" customHeight="1">
      <c r="A210" s="3" t="s">
        <v>486</v>
      </c>
      <c r="B210" s="2">
        <v>46272</v>
      </c>
      <c r="C210" s="3">
        <v>20</v>
      </c>
      <c r="D210" s="3" t="s">
        <v>487</v>
      </c>
      <c r="E210" s="3" t="s">
        <v>91</v>
      </c>
      <c r="F210" s="3" t="s">
        <v>109</v>
      </c>
      <c r="G210" s="3" t="s">
        <v>122</v>
      </c>
      <c r="H210" s="3" t="s">
        <v>123</v>
      </c>
      <c r="I210" s="3">
        <v>4</v>
      </c>
      <c r="J210" s="11">
        <v>45</v>
      </c>
      <c r="K210" s="4">
        <v>0</v>
      </c>
      <c r="L210" s="3" t="s">
        <v>95</v>
      </c>
      <c r="M210" s="3">
        <v>19</v>
      </c>
      <c r="N210" s="3">
        <v>14</v>
      </c>
      <c r="O210" s="3">
        <v>5</v>
      </c>
    </row>
    <row r="211" spans="1:15" ht="20" customHeight="1">
      <c r="A211" s="3" t="s">
        <v>488</v>
      </c>
      <c r="B211" s="2">
        <v>46272</v>
      </c>
      <c r="C211" s="3">
        <v>18</v>
      </c>
      <c r="D211" s="3" t="s">
        <v>489</v>
      </c>
      <c r="E211" s="3" t="s">
        <v>117</v>
      </c>
      <c r="F211" s="3" t="s">
        <v>121</v>
      </c>
      <c r="G211" s="3" t="s">
        <v>110</v>
      </c>
      <c r="H211" s="3" t="s">
        <v>111</v>
      </c>
      <c r="I211" s="3">
        <v>1</v>
      </c>
      <c r="J211" s="11">
        <v>115</v>
      </c>
      <c r="K211" s="4">
        <v>0.05</v>
      </c>
      <c r="L211" s="3" t="s">
        <v>95</v>
      </c>
      <c r="M211" s="3">
        <v>27</v>
      </c>
      <c r="N211" s="3">
        <v>14</v>
      </c>
      <c r="O211" s="3">
        <v>3</v>
      </c>
    </row>
    <row r="212" spans="1:15" ht="20" customHeight="1">
      <c r="A212" s="3" t="s">
        <v>490</v>
      </c>
      <c r="B212" s="2">
        <v>46273</v>
      </c>
      <c r="C212" s="3">
        <v>12</v>
      </c>
      <c r="D212" s="3" t="s">
        <v>361</v>
      </c>
      <c r="E212" s="3" t="s">
        <v>91</v>
      </c>
      <c r="F212" s="3" t="s">
        <v>98</v>
      </c>
      <c r="G212" s="3" t="s">
        <v>93</v>
      </c>
      <c r="H212" s="3" t="s">
        <v>118</v>
      </c>
      <c r="I212" s="3">
        <v>2</v>
      </c>
      <c r="J212" s="11">
        <v>45</v>
      </c>
      <c r="K212" s="4">
        <v>0</v>
      </c>
      <c r="L212" s="3" t="s">
        <v>95</v>
      </c>
      <c r="M212" s="3">
        <v>36</v>
      </c>
      <c r="N212" s="3">
        <v>14</v>
      </c>
      <c r="O212" s="3">
        <v>3</v>
      </c>
    </row>
    <row r="213" spans="1:15" ht="20" customHeight="1">
      <c r="A213" s="3" t="s">
        <v>491</v>
      </c>
      <c r="B213" s="2">
        <v>46273</v>
      </c>
      <c r="C213" s="3">
        <v>10</v>
      </c>
      <c r="D213" s="3" t="s">
        <v>492</v>
      </c>
      <c r="E213" s="3" t="s">
        <v>91</v>
      </c>
      <c r="F213" s="3" t="s">
        <v>92</v>
      </c>
      <c r="G213" s="3" t="s">
        <v>122</v>
      </c>
      <c r="H213" s="3" t="s">
        <v>153</v>
      </c>
      <c r="I213" s="3">
        <v>5</v>
      </c>
      <c r="J213" s="11">
        <v>130</v>
      </c>
      <c r="K213" s="4">
        <v>0</v>
      </c>
      <c r="L213" s="3" t="s">
        <v>95</v>
      </c>
      <c r="M213" s="3">
        <v>16</v>
      </c>
      <c r="N213" s="3">
        <v>15</v>
      </c>
      <c r="O213" s="3">
        <v>4</v>
      </c>
    </row>
    <row r="214" spans="1:15" ht="20" customHeight="1">
      <c r="A214" s="3" t="s">
        <v>493</v>
      </c>
      <c r="B214" s="2">
        <v>46273</v>
      </c>
      <c r="C214" s="3">
        <v>6</v>
      </c>
      <c r="D214" s="3" t="s">
        <v>494</v>
      </c>
      <c r="E214" s="3" t="s">
        <v>91</v>
      </c>
      <c r="F214" s="3" t="s">
        <v>121</v>
      </c>
      <c r="G214" s="3" t="s">
        <v>110</v>
      </c>
      <c r="H214" s="3" t="s">
        <v>114</v>
      </c>
      <c r="I214" s="3">
        <v>5</v>
      </c>
      <c r="J214" s="11">
        <v>145</v>
      </c>
      <c r="K214" s="4">
        <v>0.1</v>
      </c>
      <c r="L214" s="3" t="s">
        <v>95</v>
      </c>
      <c r="M214" s="3">
        <v>16</v>
      </c>
      <c r="N214" s="3">
        <v>10</v>
      </c>
      <c r="O214" s="3">
        <v>5</v>
      </c>
    </row>
    <row r="215" spans="1:15" ht="20" customHeight="1">
      <c r="A215" s="3" t="s">
        <v>495</v>
      </c>
      <c r="B215" s="2">
        <v>46273</v>
      </c>
      <c r="C215" s="3">
        <v>20</v>
      </c>
      <c r="D215" s="3" t="s">
        <v>222</v>
      </c>
      <c r="E215" s="3" t="s">
        <v>91</v>
      </c>
      <c r="F215" s="3" t="s">
        <v>121</v>
      </c>
      <c r="G215" s="3" t="s">
        <v>99</v>
      </c>
      <c r="H215" s="3" t="s">
        <v>104</v>
      </c>
      <c r="I215" s="3">
        <v>3</v>
      </c>
      <c r="J215" s="11">
        <v>240</v>
      </c>
      <c r="K215" s="4">
        <v>0.05</v>
      </c>
      <c r="L215" s="3" t="s">
        <v>95</v>
      </c>
      <c r="M215" s="3">
        <v>35</v>
      </c>
      <c r="N215" s="3">
        <v>12</v>
      </c>
      <c r="O215" s="3">
        <v>4</v>
      </c>
    </row>
    <row r="216" spans="1:15" ht="20" customHeight="1">
      <c r="A216" s="3" t="s">
        <v>496</v>
      </c>
      <c r="B216" s="2">
        <v>46273</v>
      </c>
      <c r="C216" s="3">
        <v>18</v>
      </c>
      <c r="D216" s="3" t="s">
        <v>497</v>
      </c>
      <c r="E216" s="3" t="s">
        <v>91</v>
      </c>
      <c r="F216" s="3" t="s">
        <v>121</v>
      </c>
      <c r="G216" s="3" t="s">
        <v>93</v>
      </c>
      <c r="H216" s="3" t="s">
        <v>146</v>
      </c>
      <c r="I216" s="3">
        <v>2</v>
      </c>
      <c r="J216" s="11">
        <v>110</v>
      </c>
      <c r="K216" s="4">
        <v>0.15</v>
      </c>
      <c r="L216" s="3" t="s">
        <v>95</v>
      </c>
      <c r="M216" s="3">
        <v>17</v>
      </c>
      <c r="N216" s="3">
        <v>15</v>
      </c>
      <c r="O216" s="3">
        <v>5</v>
      </c>
    </row>
    <row r="217" spans="1:15" ht="20" customHeight="1">
      <c r="A217" s="3" t="s">
        <v>498</v>
      </c>
      <c r="B217" s="2">
        <v>46273</v>
      </c>
      <c r="C217" s="3">
        <v>20</v>
      </c>
      <c r="D217" s="3" t="s">
        <v>499</v>
      </c>
      <c r="E217" s="3" t="s">
        <v>91</v>
      </c>
      <c r="F217" s="3" t="s">
        <v>139</v>
      </c>
      <c r="G217" s="3" t="s">
        <v>93</v>
      </c>
      <c r="H217" s="3" t="s">
        <v>94</v>
      </c>
      <c r="I217" s="3">
        <v>3</v>
      </c>
      <c r="J217" s="11">
        <v>95</v>
      </c>
      <c r="K217" s="4">
        <v>0</v>
      </c>
      <c r="L217" s="3" t="s">
        <v>95</v>
      </c>
      <c r="M217" s="3">
        <v>29</v>
      </c>
      <c r="N217" s="3">
        <v>11</v>
      </c>
      <c r="O217" s="3">
        <v>5</v>
      </c>
    </row>
    <row r="218" spans="1:15" ht="20" customHeight="1">
      <c r="A218" s="3" t="s">
        <v>500</v>
      </c>
      <c r="B218" s="2">
        <v>46273</v>
      </c>
      <c r="C218" s="3">
        <v>17</v>
      </c>
      <c r="D218" s="3" t="s">
        <v>425</v>
      </c>
      <c r="E218" s="3" t="s">
        <v>91</v>
      </c>
      <c r="F218" s="3" t="s">
        <v>121</v>
      </c>
      <c r="G218" s="3" t="s">
        <v>110</v>
      </c>
      <c r="H218" s="3" t="s">
        <v>114</v>
      </c>
      <c r="I218" s="3">
        <v>4</v>
      </c>
      <c r="J218" s="11">
        <v>145</v>
      </c>
      <c r="K218" s="4">
        <v>0.1</v>
      </c>
      <c r="L218" s="3" t="s">
        <v>95</v>
      </c>
      <c r="M218" s="3">
        <v>35</v>
      </c>
      <c r="N218" s="3">
        <v>9</v>
      </c>
      <c r="O218" s="3">
        <v>3</v>
      </c>
    </row>
    <row r="219" spans="1:15" ht="20" customHeight="1">
      <c r="A219" s="3" t="s">
        <v>501</v>
      </c>
      <c r="B219" s="2">
        <v>46273</v>
      </c>
      <c r="C219" s="3">
        <v>21</v>
      </c>
      <c r="D219" s="3" t="s">
        <v>138</v>
      </c>
      <c r="E219" s="3" t="s">
        <v>91</v>
      </c>
      <c r="F219" s="3" t="s">
        <v>139</v>
      </c>
      <c r="G219" s="3" t="s">
        <v>122</v>
      </c>
      <c r="H219" s="3" t="s">
        <v>153</v>
      </c>
      <c r="I219" s="3">
        <v>5</v>
      </c>
      <c r="J219" s="11">
        <v>130</v>
      </c>
      <c r="K219" s="4">
        <v>0</v>
      </c>
      <c r="L219" s="3" t="s">
        <v>95</v>
      </c>
      <c r="M219" s="3">
        <v>32</v>
      </c>
      <c r="N219" s="3">
        <v>12</v>
      </c>
      <c r="O219" s="3">
        <v>3</v>
      </c>
    </row>
    <row r="220" spans="1:15" ht="20" customHeight="1">
      <c r="A220" s="3" t="s">
        <v>502</v>
      </c>
      <c r="B220" s="2">
        <v>46273</v>
      </c>
      <c r="C220" s="3">
        <v>9</v>
      </c>
      <c r="D220" s="3" t="s">
        <v>503</v>
      </c>
      <c r="E220" s="3" t="s">
        <v>91</v>
      </c>
      <c r="F220" s="3" t="s">
        <v>109</v>
      </c>
      <c r="G220" s="3" t="s">
        <v>93</v>
      </c>
      <c r="H220" s="3" t="s">
        <v>94</v>
      </c>
      <c r="I220" s="3">
        <v>2</v>
      </c>
      <c r="J220" s="11">
        <v>95</v>
      </c>
      <c r="K220" s="4">
        <v>0</v>
      </c>
      <c r="L220" s="3" t="s">
        <v>95</v>
      </c>
      <c r="M220" s="3">
        <v>13</v>
      </c>
      <c r="N220" s="3">
        <v>11</v>
      </c>
      <c r="O220" s="3">
        <v>5</v>
      </c>
    </row>
    <row r="221" spans="1:15" ht="20" customHeight="1">
      <c r="A221" s="3" t="s">
        <v>504</v>
      </c>
      <c r="B221" s="2">
        <v>46273</v>
      </c>
      <c r="C221" s="3">
        <v>23</v>
      </c>
      <c r="D221" s="3" t="s">
        <v>406</v>
      </c>
      <c r="E221" s="3" t="s">
        <v>91</v>
      </c>
      <c r="F221" s="3" t="s">
        <v>121</v>
      </c>
      <c r="G221" s="3" t="s">
        <v>174</v>
      </c>
      <c r="H221" s="3" t="s">
        <v>184</v>
      </c>
      <c r="I221" s="3">
        <v>5</v>
      </c>
      <c r="J221" s="11">
        <v>62</v>
      </c>
      <c r="K221" s="4">
        <v>0.1</v>
      </c>
      <c r="L221" s="3" t="s">
        <v>95</v>
      </c>
      <c r="M221" s="3">
        <v>16</v>
      </c>
      <c r="N221" s="3">
        <v>13</v>
      </c>
      <c r="O221" s="3">
        <v>4</v>
      </c>
    </row>
    <row r="222" spans="1:15" ht="20" customHeight="1">
      <c r="A222" s="3" t="s">
        <v>505</v>
      </c>
      <c r="B222" s="2">
        <v>46273</v>
      </c>
      <c r="C222" s="3">
        <v>6</v>
      </c>
      <c r="D222" s="3" t="s">
        <v>132</v>
      </c>
      <c r="E222" s="3" t="s">
        <v>91</v>
      </c>
      <c r="F222" s="3" t="s">
        <v>92</v>
      </c>
      <c r="G222" s="3" t="s">
        <v>99</v>
      </c>
      <c r="H222" s="3" t="s">
        <v>104</v>
      </c>
      <c r="I222" s="3">
        <v>6</v>
      </c>
      <c r="J222" s="11">
        <v>240</v>
      </c>
      <c r="K222" s="4">
        <v>0.05</v>
      </c>
      <c r="L222" s="3" t="s">
        <v>95</v>
      </c>
      <c r="M222" s="3">
        <v>12</v>
      </c>
      <c r="N222" s="3">
        <v>8</v>
      </c>
      <c r="O222" s="3">
        <v>5</v>
      </c>
    </row>
    <row r="223" spans="1:15" ht="20" customHeight="1">
      <c r="A223" s="3" t="s">
        <v>506</v>
      </c>
      <c r="B223" s="2">
        <v>46273</v>
      </c>
      <c r="C223" s="3">
        <v>8</v>
      </c>
      <c r="D223" s="3" t="s">
        <v>155</v>
      </c>
      <c r="E223" s="3" t="s">
        <v>91</v>
      </c>
      <c r="F223" s="3" t="s">
        <v>109</v>
      </c>
      <c r="G223" s="3" t="s">
        <v>93</v>
      </c>
      <c r="H223" s="3" t="s">
        <v>146</v>
      </c>
      <c r="I223" s="3">
        <v>5</v>
      </c>
      <c r="J223" s="11">
        <v>110</v>
      </c>
      <c r="K223" s="4">
        <v>0</v>
      </c>
      <c r="L223" s="3" t="s">
        <v>95</v>
      </c>
      <c r="M223" s="3">
        <v>36</v>
      </c>
      <c r="N223" s="3">
        <v>13</v>
      </c>
      <c r="O223" s="3">
        <v>4</v>
      </c>
    </row>
    <row r="224" spans="1:15" ht="20" customHeight="1">
      <c r="A224" s="3" t="s">
        <v>507</v>
      </c>
      <c r="B224" s="2">
        <v>46273</v>
      </c>
      <c r="C224" s="3">
        <v>14</v>
      </c>
      <c r="D224" s="3" t="s">
        <v>508</v>
      </c>
      <c r="E224" s="3" t="s">
        <v>117</v>
      </c>
      <c r="F224" s="3" t="s">
        <v>92</v>
      </c>
      <c r="G224" s="3" t="s">
        <v>110</v>
      </c>
      <c r="H224" s="3" t="s">
        <v>206</v>
      </c>
      <c r="I224" s="3">
        <v>4</v>
      </c>
      <c r="J224" s="11">
        <v>220</v>
      </c>
      <c r="K224" s="4">
        <v>0</v>
      </c>
      <c r="L224" s="3" t="s">
        <v>95</v>
      </c>
      <c r="M224" s="3">
        <v>17</v>
      </c>
      <c r="N224" s="3">
        <v>12</v>
      </c>
      <c r="O224" s="3">
        <v>4</v>
      </c>
    </row>
    <row r="225" spans="1:15" ht="20" customHeight="1">
      <c r="A225" s="3" t="s">
        <v>509</v>
      </c>
      <c r="B225" s="2">
        <v>46273</v>
      </c>
      <c r="C225" s="3">
        <v>11</v>
      </c>
      <c r="D225" s="3" t="s">
        <v>234</v>
      </c>
      <c r="E225" s="3" t="s">
        <v>91</v>
      </c>
      <c r="F225" s="3" t="s">
        <v>139</v>
      </c>
      <c r="G225" s="3" t="s">
        <v>122</v>
      </c>
      <c r="H225" s="3" t="s">
        <v>214</v>
      </c>
      <c r="I225" s="3">
        <v>1</v>
      </c>
      <c r="J225" s="11">
        <v>55</v>
      </c>
      <c r="K225" s="4">
        <v>0</v>
      </c>
      <c r="L225" s="3" t="s">
        <v>95</v>
      </c>
      <c r="M225" s="3">
        <v>15</v>
      </c>
      <c r="N225" s="3">
        <v>13</v>
      </c>
      <c r="O225" s="3">
        <v>4</v>
      </c>
    </row>
    <row r="226" spans="1:15" ht="20" customHeight="1">
      <c r="A226" s="3" t="s">
        <v>510</v>
      </c>
      <c r="B226" s="2">
        <v>46273</v>
      </c>
      <c r="C226" s="3">
        <v>7</v>
      </c>
      <c r="D226" s="3" t="s">
        <v>511</v>
      </c>
      <c r="E226" s="3" t="s">
        <v>91</v>
      </c>
      <c r="F226" s="3" t="s">
        <v>139</v>
      </c>
      <c r="G226" s="3" t="s">
        <v>174</v>
      </c>
      <c r="H226" s="3" t="s">
        <v>184</v>
      </c>
      <c r="I226" s="3">
        <v>3</v>
      </c>
      <c r="J226" s="11">
        <v>62</v>
      </c>
      <c r="K226" s="4">
        <v>0</v>
      </c>
      <c r="L226" s="3" t="s">
        <v>95</v>
      </c>
      <c r="M226" s="3">
        <v>29</v>
      </c>
      <c r="N226" s="3">
        <v>14</v>
      </c>
      <c r="O226" s="3">
        <v>3</v>
      </c>
    </row>
    <row r="227" spans="1:15" ht="20" customHeight="1">
      <c r="A227" s="3" t="s">
        <v>512</v>
      </c>
      <c r="B227" s="2">
        <v>46273</v>
      </c>
      <c r="C227" s="3">
        <v>13</v>
      </c>
      <c r="D227" s="3" t="s">
        <v>513</v>
      </c>
      <c r="E227" s="3" t="s">
        <v>117</v>
      </c>
      <c r="F227" s="3" t="s">
        <v>1315</v>
      </c>
      <c r="G227" s="3" t="s">
        <v>135</v>
      </c>
      <c r="H227" s="3" t="s">
        <v>217</v>
      </c>
      <c r="I227" s="3">
        <v>1</v>
      </c>
      <c r="J227" s="11">
        <v>65</v>
      </c>
      <c r="K227" s="4">
        <v>0</v>
      </c>
      <c r="L227" s="3" t="s">
        <v>95</v>
      </c>
      <c r="M227" s="3">
        <v>27</v>
      </c>
      <c r="N227" s="3">
        <v>4</v>
      </c>
      <c r="O227" s="3">
        <v>5</v>
      </c>
    </row>
    <row r="228" spans="1:15" ht="20" customHeight="1">
      <c r="A228" s="3" t="s">
        <v>514</v>
      </c>
      <c r="B228" s="2">
        <v>46273</v>
      </c>
      <c r="C228" s="3">
        <v>17</v>
      </c>
      <c r="D228" s="3" t="s">
        <v>316</v>
      </c>
      <c r="E228" s="3" t="s">
        <v>117</v>
      </c>
      <c r="F228" s="3" t="s">
        <v>92</v>
      </c>
      <c r="G228" s="3" t="s">
        <v>174</v>
      </c>
      <c r="H228" s="3" t="s">
        <v>175</v>
      </c>
      <c r="I228" s="3">
        <v>3</v>
      </c>
      <c r="J228" s="11">
        <v>155</v>
      </c>
      <c r="K228" s="4">
        <v>0.15</v>
      </c>
      <c r="L228" s="3" t="s">
        <v>95</v>
      </c>
      <c r="M228" s="3">
        <v>22</v>
      </c>
      <c r="N228" s="3">
        <v>9</v>
      </c>
      <c r="O228" s="3">
        <v>5</v>
      </c>
    </row>
    <row r="229" spans="1:15" ht="20" customHeight="1">
      <c r="A229" s="3" t="s">
        <v>515</v>
      </c>
      <c r="B229" s="2">
        <v>46273</v>
      </c>
      <c r="C229" s="3">
        <v>8</v>
      </c>
      <c r="D229" s="3" t="s">
        <v>516</v>
      </c>
      <c r="E229" s="3" t="s">
        <v>117</v>
      </c>
      <c r="F229" s="3" t="s">
        <v>109</v>
      </c>
      <c r="G229" s="3" t="s">
        <v>135</v>
      </c>
      <c r="H229" s="3" t="s">
        <v>162</v>
      </c>
      <c r="I229" s="3">
        <v>4</v>
      </c>
      <c r="J229" s="11">
        <v>180</v>
      </c>
      <c r="K229" s="4">
        <v>0</v>
      </c>
      <c r="L229" s="3" t="s">
        <v>101</v>
      </c>
      <c r="M229" s="3"/>
      <c r="N229" s="3"/>
      <c r="O229" s="3"/>
    </row>
    <row r="230" spans="1:15" ht="20" customHeight="1">
      <c r="A230" s="3" t="s">
        <v>517</v>
      </c>
      <c r="B230" s="2">
        <v>46273</v>
      </c>
      <c r="C230" s="3">
        <v>12</v>
      </c>
      <c r="D230" s="3" t="s">
        <v>337</v>
      </c>
      <c r="E230" s="3" t="s">
        <v>117</v>
      </c>
      <c r="F230" s="3" t="s">
        <v>139</v>
      </c>
      <c r="G230" s="3" t="s">
        <v>110</v>
      </c>
      <c r="H230" s="3" t="s">
        <v>111</v>
      </c>
      <c r="I230" s="3">
        <v>4</v>
      </c>
      <c r="J230" s="11">
        <v>115</v>
      </c>
      <c r="K230" s="4">
        <v>0.05</v>
      </c>
      <c r="L230" s="3" t="s">
        <v>95</v>
      </c>
      <c r="M230" s="3">
        <v>21</v>
      </c>
      <c r="N230" s="3">
        <v>13</v>
      </c>
      <c r="O230" s="3">
        <v>4</v>
      </c>
    </row>
    <row r="231" spans="1:15" ht="20" customHeight="1">
      <c r="A231" s="3" t="s">
        <v>518</v>
      </c>
      <c r="B231" s="2">
        <v>46273</v>
      </c>
      <c r="C231" s="3">
        <v>10</v>
      </c>
      <c r="D231" s="3" t="s">
        <v>448</v>
      </c>
      <c r="E231" s="3" t="s">
        <v>91</v>
      </c>
      <c r="F231" s="3" t="s">
        <v>92</v>
      </c>
      <c r="G231" s="3" t="s">
        <v>122</v>
      </c>
      <c r="H231" s="3" t="s">
        <v>153</v>
      </c>
      <c r="I231" s="3">
        <v>3</v>
      </c>
      <c r="J231" s="11">
        <v>130</v>
      </c>
      <c r="K231" s="4">
        <v>0.1</v>
      </c>
      <c r="L231" s="3" t="s">
        <v>95</v>
      </c>
      <c r="M231" s="3">
        <v>33</v>
      </c>
      <c r="N231" s="3">
        <v>13</v>
      </c>
      <c r="O231" s="3">
        <v>4</v>
      </c>
    </row>
    <row r="232" spans="1:15" ht="20" customHeight="1">
      <c r="A232" s="3" t="s">
        <v>519</v>
      </c>
      <c r="B232" s="2">
        <v>46273</v>
      </c>
      <c r="C232" s="3">
        <v>18</v>
      </c>
      <c r="D232" s="3" t="s">
        <v>520</v>
      </c>
      <c r="E232" s="3" t="s">
        <v>91</v>
      </c>
      <c r="F232" s="3" t="s">
        <v>98</v>
      </c>
      <c r="G232" s="3" t="s">
        <v>93</v>
      </c>
      <c r="H232" s="3" t="s">
        <v>146</v>
      </c>
      <c r="I232" s="3">
        <v>5</v>
      </c>
      <c r="J232" s="11">
        <v>110</v>
      </c>
      <c r="K232" s="4">
        <v>0</v>
      </c>
      <c r="L232" s="3" t="s">
        <v>95</v>
      </c>
      <c r="M232" s="3">
        <v>21</v>
      </c>
      <c r="N232" s="3">
        <v>8</v>
      </c>
      <c r="O232" s="3">
        <v>3</v>
      </c>
    </row>
    <row r="233" spans="1:15" ht="20" customHeight="1">
      <c r="A233" s="3" t="s">
        <v>521</v>
      </c>
      <c r="B233" s="2">
        <v>46273</v>
      </c>
      <c r="C233" s="3">
        <v>17</v>
      </c>
      <c r="D233" s="3" t="s">
        <v>456</v>
      </c>
      <c r="E233" s="3" t="s">
        <v>117</v>
      </c>
      <c r="F233" s="3" t="s">
        <v>139</v>
      </c>
      <c r="G233" s="3" t="s">
        <v>174</v>
      </c>
      <c r="H233" s="3" t="s">
        <v>175</v>
      </c>
      <c r="I233" s="3">
        <v>3</v>
      </c>
      <c r="J233" s="11">
        <v>155</v>
      </c>
      <c r="K233" s="4">
        <v>0.15</v>
      </c>
      <c r="L233" s="3" t="s">
        <v>95</v>
      </c>
      <c r="M233" s="3">
        <v>15</v>
      </c>
      <c r="N233" s="3">
        <v>12</v>
      </c>
      <c r="O233" s="3">
        <v>4</v>
      </c>
    </row>
    <row r="234" spans="1:15" ht="20" customHeight="1">
      <c r="A234" s="3" t="s">
        <v>522</v>
      </c>
      <c r="B234" s="2">
        <v>46273</v>
      </c>
      <c r="C234" s="3">
        <v>19</v>
      </c>
      <c r="D234" s="3" t="s">
        <v>386</v>
      </c>
      <c r="E234" s="3" t="s">
        <v>117</v>
      </c>
      <c r="F234" s="3" t="s">
        <v>109</v>
      </c>
      <c r="G234" s="3" t="s">
        <v>174</v>
      </c>
      <c r="H234" s="3" t="s">
        <v>274</v>
      </c>
      <c r="I234" s="3">
        <v>5</v>
      </c>
      <c r="J234" s="11">
        <v>90</v>
      </c>
      <c r="K234" s="4">
        <v>0.1</v>
      </c>
      <c r="L234" s="3" t="s">
        <v>95</v>
      </c>
      <c r="M234" s="3">
        <v>21</v>
      </c>
      <c r="N234" s="3">
        <v>14</v>
      </c>
      <c r="O234" s="3">
        <v>4</v>
      </c>
    </row>
    <row r="235" spans="1:15" ht="20" customHeight="1">
      <c r="A235" s="3" t="s">
        <v>523</v>
      </c>
      <c r="B235" s="2">
        <v>46273</v>
      </c>
      <c r="C235" s="3">
        <v>18</v>
      </c>
      <c r="D235" s="3" t="s">
        <v>334</v>
      </c>
      <c r="E235" s="3" t="s">
        <v>91</v>
      </c>
      <c r="F235" s="3" t="s">
        <v>92</v>
      </c>
      <c r="G235" s="3" t="s">
        <v>110</v>
      </c>
      <c r="H235" s="3" t="s">
        <v>206</v>
      </c>
      <c r="I235" s="3">
        <v>6</v>
      </c>
      <c r="J235" s="11">
        <v>220</v>
      </c>
      <c r="K235" s="4">
        <v>0</v>
      </c>
      <c r="L235" s="3" t="s">
        <v>95</v>
      </c>
      <c r="M235" s="3">
        <v>18</v>
      </c>
      <c r="N235" s="3">
        <v>4</v>
      </c>
      <c r="O235" s="3">
        <v>4</v>
      </c>
    </row>
    <row r="236" spans="1:15" ht="20" customHeight="1">
      <c r="A236" s="3" t="s">
        <v>524</v>
      </c>
      <c r="B236" s="2">
        <v>46273</v>
      </c>
      <c r="C236" s="3">
        <v>8</v>
      </c>
      <c r="D236" s="3" t="s">
        <v>525</v>
      </c>
      <c r="E236" s="3" t="s">
        <v>91</v>
      </c>
      <c r="F236" s="3" t="s">
        <v>139</v>
      </c>
      <c r="G236" s="3" t="s">
        <v>135</v>
      </c>
      <c r="H236" s="3" t="s">
        <v>217</v>
      </c>
      <c r="I236" s="3">
        <v>1</v>
      </c>
      <c r="J236" s="11">
        <v>65</v>
      </c>
      <c r="K236" s="4">
        <v>0.05</v>
      </c>
      <c r="L236" s="3" t="s">
        <v>95</v>
      </c>
      <c r="M236" s="3">
        <v>14</v>
      </c>
      <c r="N236" s="3">
        <v>7</v>
      </c>
      <c r="O236" s="3">
        <v>3</v>
      </c>
    </row>
    <row r="237" spans="1:15" ht="20" customHeight="1">
      <c r="A237" s="3" t="s">
        <v>526</v>
      </c>
      <c r="B237" s="2">
        <v>46273</v>
      </c>
      <c r="C237" s="3">
        <v>11</v>
      </c>
      <c r="D237" s="3" t="s">
        <v>527</v>
      </c>
      <c r="E237" s="3" t="s">
        <v>91</v>
      </c>
      <c r="F237" s="3" t="s">
        <v>139</v>
      </c>
      <c r="G237" s="3" t="s">
        <v>99</v>
      </c>
      <c r="H237" s="3" t="s">
        <v>130</v>
      </c>
      <c r="I237" s="3">
        <v>6</v>
      </c>
      <c r="J237" s="11">
        <v>85</v>
      </c>
      <c r="K237" s="4">
        <v>0.1</v>
      </c>
      <c r="L237" s="3" t="s">
        <v>95</v>
      </c>
      <c r="M237" s="3">
        <v>27</v>
      </c>
      <c r="N237" s="3">
        <v>13</v>
      </c>
      <c r="O237" s="3">
        <v>4</v>
      </c>
    </row>
    <row r="238" spans="1:15" ht="20" customHeight="1">
      <c r="A238" s="3" t="s">
        <v>528</v>
      </c>
      <c r="B238" s="2">
        <v>46273</v>
      </c>
      <c r="C238" s="3">
        <v>10</v>
      </c>
      <c r="D238" s="3" t="s">
        <v>289</v>
      </c>
      <c r="E238" s="3" t="s">
        <v>117</v>
      </c>
      <c r="F238" s="3" t="s">
        <v>98</v>
      </c>
      <c r="G238" s="3" t="s">
        <v>110</v>
      </c>
      <c r="H238" s="3" t="s">
        <v>206</v>
      </c>
      <c r="I238" s="3">
        <v>3</v>
      </c>
      <c r="J238" s="11">
        <v>220</v>
      </c>
      <c r="K238" s="4">
        <v>0</v>
      </c>
      <c r="L238" s="3" t="s">
        <v>101</v>
      </c>
      <c r="M238" s="3"/>
      <c r="N238" s="3"/>
      <c r="O238" s="3"/>
    </row>
    <row r="239" spans="1:15" ht="20" customHeight="1">
      <c r="A239" s="3" t="s">
        <v>529</v>
      </c>
      <c r="B239" s="2">
        <v>46273</v>
      </c>
      <c r="C239" s="3">
        <v>8</v>
      </c>
      <c r="D239" s="3" t="s">
        <v>530</v>
      </c>
      <c r="E239" s="3" t="s">
        <v>91</v>
      </c>
      <c r="F239" s="3" t="s">
        <v>109</v>
      </c>
      <c r="G239" s="3" t="s">
        <v>135</v>
      </c>
      <c r="H239" s="3" t="s">
        <v>162</v>
      </c>
      <c r="I239" s="3">
        <v>2</v>
      </c>
      <c r="J239" s="11">
        <v>180</v>
      </c>
      <c r="K239" s="4">
        <v>0</v>
      </c>
      <c r="L239" s="3" t="s">
        <v>95</v>
      </c>
      <c r="M239" s="3">
        <v>36</v>
      </c>
      <c r="N239" s="3">
        <v>7</v>
      </c>
      <c r="O239" s="3">
        <v>4</v>
      </c>
    </row>
    <row r="240" spans="1:15" ht="20" customHeight="1">
      <c r="A240" s="3" t="s">
        <v>531</v>
      </c>
      <c r="B240" s="2">
        <v>46273</v>
      </c>
      <c r="C240" s="3">
        <v>10</v>
      </c>
      <c r="D240" s="3" t="s">
        <v>532</v>
      </c>
      <c r="E240" s="3" t="s">
        <v>91</v>
      </c>
      <c r="F240" s="3" t="s">
        <v>109</v>
      </c>
      <c r="G240" s="3" t="s">
        <v>99</v>
      </c>
      <c r="H240" s="3" t="s">
        <v>130</v>
      </c>
      <c r="I240" s="3">
        <v>1</v>
      </c>
      <c r="J240" s="11">
        <v>85</v>
      </c>
      <c r="K240" s="4">
        <v>0.1</v>
      </c>
      <c r="L240" s="3" t="s">
        <v>95</v>
      </c>
      <c r="M240" s="3">
        <v>13</v>
      </c>
      <c r="N240" s="3">
        <v>11</v>
      </c>
      <c r="O240" s="3">
        <v>4</v>
      </c>
    </row>
    <row r="241" spans="1:15" ht="20" customHeight="1">
      <c r="A241" s="3" t="s">
        <v>533</v>
      </c>
      <c r="B241" s="2">
        <v>46273</v>
      </c>
      <c r="C241" s="3">
        <v>10</v>
      </c>
      <c r="D241" s="3" t="s">
        <v>534</v>
      </c>
      <c r="E241" s="3" t="s">
        <v>91</v>
      </c>
      <c r="F241" s="3" t="s">
        <v>121</v>
      </c>
      <c r="G241" s="3" t="s">
        <v>122</v>
      </c>
      <c r="H241" s="3" t="s">
        <v>214</v>
      </c>
      <c r="I241" s="3">
        <v>3</v>
      </c>
      <c r="J241" s="11">
        <v>55</v>
      </c>
      <c r="K241" s="4">
        <v>0</v>
      </c>
      <c r="L241" s="3" t="s">
        <v>95</v>
      </c>
      <c r="M241" s="3">
        <v>18</v>
      </c>
      <c r="N241" s="3">
        <v>10</v>
      </c>
      <c r="O241" s="3">
        <v>5</v>
      </c>
    </row>
    <row r="242" spans="1:15" ht="20" customHeight="1">
      <c r="A242" s="3" t="s">
        <v>535</v>
      </c>
      <c r="B242" s="2">
        <v>46274</v>
      </c>
      <c r="C242" s="3">
        <v>23</v>
      </c>
      <c r="D242" s="3" t="s">
        <v>308</v>
      </c>
      <c r="E242" s="3" t="s">
        <v>91</v>
      </c>
      <c r="F242" s="3" t="s">
        <v>98</v>
      </c>
      <c r="G242" s="3" t="s">
        <v>122</v>
      </c>
      <c r="H242" s="3" t="s">
        <v>153</v>
      </c>
      <c r="I242" s="3">
        <v>4</v>
      </c>
      <c r="J242" s="11">
        <v>130</v>
      </c>
      <c r="K242" s="4">
        <v>0.05</v>
      </c>
      <c r="L242" s="3" t="s">
        <v>1311</v>
      </c>
      <c r="M242" s="3">
        <v>31</v>
      </c>
      <c r="N242" s="3">
        <v>9</v>
      </c>
      <c r="O242" s="3">
        <v>5</v>
      </c>
    </row>
    <row r="243" spans="1:15" ht="20" customHeight="1">
      <c r="A243" s="3" t="s">
        <v>536</v>
      </c>
      <c r="B243" s="2">
        <v>46274</v>
      </c>
      <c r="C243" s="3">
        <v>11</v>
      </c>
      <c r="D243" s="3" t="s">
        <v>537</v>
      </c>
      <c r="E243" s="3" t="s">
        <v>91</v>
      </c>
      <c r="F243" s="3" t="s">
        <v>109</v>
      </c>
      <c r="G243" s="3" t="s">
        <v>122</v>
      </c>
      <c r="H243" s="3" t="s">
        <v>153</v>
      </c>
      <c r="I243" s="3">
        <v>1</v>
      </c>
      <c r="J243" s="11">
        <v>130</v>
      </c>
      <c r="K243" s="4">
        <v>0</v>
      </c>
      <c r="L243" s="3" t="s">
        <v>95</v>
      </c>
      <c r="M243" s="3">
        <v>16</v>
      </c>
      <c r="N243" s="3">
        <v>6</v>
      </c>
      <c r="O243" s="3">
        <v>4</v>
      </c>
    </row>
    <row r="244" spans="1:15" ht="20" customHeight="1">
      <c r="A244" s="3" t="s">
        <v>538</v>
      </c>
      <c r="B244" s="2">
        <v>46274</v>
      </c>
      <c r="C244" s="3">
        <v>18</v>
      </c>
      <c r="D244" s="3" t="s">
        <v>283</v>
      </c>
      <c r="E244" s="3" t="s">
        <v>91</v>
      </c>
      <c r="F244" s="3" t="s">
        <v>139</v>
      </c>
      <c r="G244" s="3" t="s">
        <v>174</v>
      </c>
      <c r="H244" s="3" t="s">
        <v>184</v>
      </c>
      <c r="I244" s="3">
        <v>5</v>
      </c>
      <c r="J244" s="11">
        <v>62</v>
      </c>
      <c r="K244" s="4">
        <v>0</v>
      </c>
      <c r="L244" s="3" t="s">
        <v>95</v>
      </c>
      <c r="M244" s="3">
        <v>28</v>
      </c>
      <c r="N244" s="3">
        <v>8</v>
      </c>
      <c r="O244" s="3">
        <v>5</v>
      </c>
    </row>
    <row r="245" spans="1:15" ht="20" customHeight="1">
      <c r="A245" s="3" t="s">
        <v>539</v>
      </c>
      <c r="B245" s="2">
        <v>46274</v>
      </c>
      <c r="C245" s="3">
        <v>8</v>
      </c>
      <c r="D245" s="3" t="s">
        <v>414</v>
      </c>
      <c r="E245" s="3" t="s">
        <v>117</v>
      </c>
      <c r="F245" s="3" t="s">
        <v>121</v>
      </c>
      <c r="G245" s="3" t="s">
        <v>135</v>
      </c>
      <c r="H245" s="3" t="s">
        <v>162</v>
      </c>
      <c r="I245" s="3">
        <v>1</v>
      </c>
      <c r="J245" s="11">
        <v>180</v>
      </c>
      <c r="K245" s="4">
        <v>0</v>
      </c>
      <c r="L245" s="3" t="s">
        <v>95</v>
      </c>
      <c r="M245" s="3">
        <v>25</v>
      </c>
      <c r="N245" s="3">
        <v>12</v>
      </c>
      <c r="O245" s="3">
        <v>4</v>
      </c>
    </row>
    <row r="246" spans="1:15" ht="20" customHeight="1">
      <c r="A246" s="3" t="s">
        <v>540</v>
      </c>
      <c r="B246" s="2">
        <v>46274</v>
      </c>
      <c r="C246" s="3">
        <v>12</v>
      </c>
      <c r="D246" s="3" t="s">
        <v>347</v>
      </c>
      <c r="E246" s="3" t="s">
        <v>91</v>
      </c>
      <c r="F246" s="3" t="s">
        <v>98</v>
      </c>
      <c r="G246" s="3" t="s">
        <v>135</v>
      </c>
      <c r="H246" s="3" t="s">
        <v>136</v>
      </c>
      <c r="I246" s="3">
        <v>5</v>
      </c>
      <c r="J246" s="11">
        <v>40</v>
      </c>
      <c r="K246" s="4">
        <v>0.05</v>
      </c>
      <c r="L246" s="3" t="s">
        <v>95</v>
      </c>
      <c r="M246" s="3">
        <v>24</v>
      </c>
      <c r="N246" s="3">
        <v>8</v>
      </c>
      <c r="O246" s="3">
        <v>4</v>
      </c>
    </row>
    <row r="247" spans="1:15" ht="20" customHeight="1">
      <c r="A247" s="3" t="s">
        <v>541</v>
      </c>
      <c r="B247" s="2">
        <v>46274</v>
      </c>
      <c r="C247" s="3">
        <v>12</v>
      </c>
      <c r="D247" s="3" t="s">
        <v>281</v>
      </c>
      <c r="E247" s="3" t="s">
        <v>91</v>
      </c>
      <c r="F247" s="3" t="s">
        <v>98</v>
      </c>
      <c r="G247" s="3" t="s">
        <v>93</v>
      </c>
      <c r="H247" s="3" t="s">
        <v>118</v>
      </c>
      <c r="I247" s="3">
        <v>3</v>
      </c>
      <c r="J247" s="11">
        <v>45</v>
      </c>
      <c r="K247" s="4">
        <v>0</v>
      </c>
      <c r="L247" s="3" t="s">
        <v>95</v>
      </c>
      <c r="M247" s="3">
        <v>26</v>
      </c>
      <c r="N247" s="3">
        <v>9</v>
      </c>
      <c r="O247" s="3">
        <v>4</v>
      </c>
    </row>
    <row r="248" spans="1:15" ht="20" customHeight="1">
      <c r="A248" s="3" t="s">
        <v>542</v>
      </c>
      <c r="B248" s="2">
        <v>46274</v>
      </c>
      <c r="C248" s="3">
        <v>12</v>
      </c>
      <c r="D248" s="3" t="s">
        <v>464</v>
      </c>
      <c r="E248" s="3" t="s">
        <v>91</v>
      </c>
      <c r="F248" s="3" t="s">
        <v>92</v>
      </c>
      <c r="G248" s="3" t="s">
        <v>110</v>
      </c>
      <c r="H248" s="3" t="s">
        <v>114</v>
      </c>
      <c r="I248" s="3">
        <v>6</v>
      </c>
      <c r="J248" s="11">
        <v>145</v>
      </c>
      <c r="K248" s="4">
        <v>0.05</v>
      </c>
      <c r="L248" s="3" t="s">
        <v>95</v>
      </c>
      <c r="M248" s="3">
        <v>32</v>
      </c>
      <c r="N248" s="3">
        <v>7</v>
      </c>
      <c r="O248" s="3">
        <v>4</v>
      </c>
    </row>
    <row r="249" spans="1:15" ht="20" customHeight="1">
      <c r="A249" s="3" t="s">
        <v>543</v>
      </c>
      <c r="B249" s="2">
        <v>46274</v>
      </c>
      <c r="C249" s="3">
        <v>19</v>
      </c>
      <c r="D249" s="3" t="s">
        <v>513</v>
      </c>
      <c r="E249" s="3" t="s">
        <v>117</v>
      </c>
      <c r="F249" s="3" t="s">
        <v>109</v>
      </c>
      <c r="G249" s="3" t="s">
        <v>174</v>
      </c>
      <c r="H249" s="3" t="s">
        <v>184</v>
      </c>
      <c r="I249" s="3">
        <v>4</v>
      </c>
      <c r="J249" s="11">
        <v>62</v>
      </c>
      <c r="K249" s="4">
        <v>0.1</v>
      </c>
      <c r="L249" s="3" t="s">
        <v>95</v>
      </c>
      <c r="M249" s="3">
        <v>13</v>
      </c>
      <c r="N249" s="3">
        <v>5</v>
      </c>
      <c r="O249" s="3">
        <v>3</v>
      </c>
    </row>
    <row r="250" spans="1:15" ht="20" customHeight="1">
      <c r="A250" s="3" t="s">
        <v>544</v>
      </c>
      <c r="B250" s="2">
        <v>46274</v>
      </c>
      <c r="C250" s="3">
        <v>19</v>
      </c>
      <c r="D250" s="3" t="s">
        <v>545</v>
      </c>
      <c r="E250" s="3" t="s">
        <v>117</v>
      </c>
      <c r="F250" s="3" t="s">
        <v>139</v>
      </c>
      <c r="G250" s="3" t="s">
        <v>122</v>
      </c>
      <c r="H250" s="3" t="s">
        <v>153</v>
      </c>
      <c r="I250" s="3">
        <v>5</v>
      </c>
      <c r="J250" s="11">
        <v>130</v>
      </c>
      <c r="K250" s="4">
        <v>0.15</v>
      </c>
      <c r="L250" s="3" t="s">
        <v>95</v>
      </c>
      <c r="M250" s="3">
        <v>31</v>
      </c>
      <c r="N250" s="3">
        <v>7</v>
      </c>
      <c r="O250" s="3">
        <v>4</v>
      </c>
    </row>
    <row r="251" spans="1:15" ht="20" customHeight="1">
      <c r="A251" s="3" t="s">
        <v>546</v>
      </c>
      <c r="B251" s="2">
        <v>46274</v>
      </c>
      <c r="C251" s="3">
        <v>7</v>
      </c>
      <c r="D251" s="3" t="s">
        <v>414</v>
      </c>
      <c r="E251" s="3" t="s">
        <v>117</v>
      </c>
      <c r="F251" s="3" t="s">
        <v>92</v>
      </c>
      <c r="G251" s="3" t="s">
        <v>93</v>
      </c>
      <c r="H251" s="3" t="s">
        <v>146</v>
      </c>
      <c r="I251" s="3">
        <v>2</v>
      </c>
      <c r="J251" s="11">
        <v>110</v>
      </c>
      <c r="K251" s="4">
        <v>0.05</v>
      </c>
      <c r="L251" s="3" t="s">
        <v>95</v>
      </c>
      <c r="M251" s="3">
        <v>16</v>
      </c>
      <c r="N251" s="3">
        <v>5</v>
      </c>
      <c r="O251" s="3">
        <v>3</v>
      </c>
    </row>
    <row r="252" spans="1:15" ht="20" customHeight="1">
      <c r="A252" s="3" t="s">
        <v>547</v>
      </c>
      <c r="B252" s="2">
        <v>46274</v>
      </c>
      <c r="C252" s="3">
        <v>7</v>
      </c>
      <c r="D252" s="3" t="s">
        <v>548</v>
      </c>
      <c r="E252" s="3" t="s">
        <v>91</v>
      </c>
      <c r="F252" s="3" t="s">
        <v>98</v>
      </c>
      <c r="G252" s="3" t="s">
        <v>122</v>
      </c>
      <c r="H252" s="3" t="s">
        <v>214</v>
      </c>
      <c r="I252" s="3">
        <v>1</v>
      </c>
      <c r="J252" s="11">
        <v>55</v>
      </c>
      <c r="K252" s="4">
        <v>0</v>
      </c>
      <c r="L252" s="3" t="s">
        <v>95</v>
      </c>
      <c r="M252" s="3">
        <v>15</v>
      </c>
      <c r="N252" s="3">
        <v>11</v>
      </c>
      <c r="O252" s="3">
        <v>5</v>
      </c>
    </row>
    <row r="253" spans="1:15" ht="20" customHeight="1">
      <c r="A253" s="3" t="s">
        <v>549</v>
      </c>
      <c r="B253" s="2">
        <v>46274</v>
      </c>
      <c r="C253" s="3">
        <v>12</v>
      </c>
      <c r="D253" s="3" t="s">
        <v>212</v>
      </c>
      <c r="E253" s="3" t="s">
        <v>91</v>
      </c>
      <c r="F253" s="3" t="s">
        <v>121</v>
      </c>
      <c r="G253" s="3" t="s">
        <v>99</v>
      </c>
      <c r="H253" s="3" t="s">
        <v>130</v>
      </c>
      <c r="I253" s="3">
        <v>5</v>
      </c>
      <c r="J253" s="11">
        <v>85</v>
      </c>
      <c r="K253" s="4">
        <v>0.15</v>
      </c>
      <c r="L253" s="3" t="s">
        <v>95</v>
      </c>
      <c r="M253" s="3">
        <v>27</v>
      </c>
      <c r="N253" s="3">
        <v>7</v>
      </c>
      <c r="O253" s="3">
        <v>5</v>
      </c>
    </row>
    <row r="254" spans="1:15" ht="20" customHeight="1">
      <c r="A254" s="3" t="s">
        <v>550</v>
      </c>
      <c r="B254" s="2">
        <v>46274</v>
      </c>
      <c r="C254" s="3">
        <v>9</v>
      </c>
      <c r="D254" s="3" t="s">
        <v>551</v>
      </c>
      <c r="E254" s="3" t="s">
        <v>117</v>
      </c>
      <c r="F254" s="3" t="s">
        <v>121</v>
      </c>
      <c r="G254" s="3" t="s">
        <v>122</v>
      </c>
      <c r="H254" s="3" t="s">
        <v>214</v>
      </c>
      <c r="I254" s="3">
        <v>2</v>
      </c>
      <c r="J254" s="11">
        <v>55</v>
      </c>
      <c r="K254" s="4">
        <v>0</v>
      </c>
      <c r="L254" s="3" t="s">
        <v>95</v>
      </c>
      <c r="M254" s="3">
        <v>21</v>
      </c>
      <c r="N254" s="3">
        <v>6</v>
      </c>
      <c r="O254" s="3">
        <v>5</v>
      </c>
    </row>
    <row r="255" spans="1:15" ht="20" customHeight="1">
      <c r="A255" s="3" t="s">
        <v>552</v>
      </c>
      <c r="B255" s="2">
        <v>46274</v>
      </c>
      <c r="C255" s="3">
        <v>11</v>
      </c>
      <c r="D255" s="3" t="s">
        <v>479</v>
      </c>
      <c r="E255" s="3" t="s">
        <v>117</v>
      </c>
      <c r="F255" s="3" t="s">
        <v>109</v>
      </c>
      <c r="G255" s="3" t="s">
        <v>110</v>
      </c>
      <c r="H255" s="3" t="s">
        <v>206</v>
      </c>
      <c r="I255" s="3">
        <v>2</v>
      </c>
      <c r="J255" s="11">
        <v>220</v>
      </c>
      <c r="K255" s="4">
        <v>0</v>
      </c>
      <c r="L255" s="3" t="s">
        <v>95</v>
      </c>
      <c r="M255" s="3">
        <v>14</v>
      </c>
      <c r="N255" s="3">
        <v>9</v>
      </c>
      <c r="O255" s="3">
        <v>5</v>
      </c>
    </row>
    <row r="256" spans="1:15" ht="20" customHeight="1">
      <c r="A256" s="3" t="s">
        <v>553</v>
      </c>
      <c r="B256" s="2">
        <v>46274</v>
      </c>
      <c r="C256" s="3">
        <v>18</v>
      </c>
      <c r="D256" s="3" t="s">
        <v>381</v>
      </c>
      <c r="E256" s="3" t="s">
        <v>117</v>
      </c>
      <c r="F256" s="3" t="s">
        <v>121</v>
      </c>
      <c r="G256" s="3" t="s">
        <v>174</v>
      </c>
      <c r="H256" s="3" t="s">
        <v>184</v>
      </c>
      <c r="I256" s="3">
        <v>2</v>
      </c>
      <c r="J256" s="11">
        <v>62</v>
      </c>
      <c r="K256" s="4">
        <v>0.05</v>
      </c>
      <c r="L256" s="3" t="s">
        <v>95</v>
      </c>
      <c r="M256" s="3">
        <v>20</v>
      </c>
      <c r="N256" s="3">
        <v>15</v>
      </c>
      <c r="O256" s="3">
        <v>3</v>
      </c>
    </row>
    <row r="257" spans="1:15" ht="20" customHeight="1">
      <c r="A257" s="3" t="s">
        <v>554</v>
      </c>
      <c r="B257" s="2">
        <v>46274</v>
      </c>
      <c r="C257" s="3">
        <v>12</v>
      </c>
      <c r="D257" s="3" t="s">
        <v>555</v>
      </c>
      <c r="E257" s="3" t="s">
        <v>117</v>
      </c>
      <c r="F257" s="3" t="s">
        <v>92</v>
      </c>
      <c r="G257" s="3" t="s">
        <v>122</v>
      </c>
      <c r="H257" s="3" t="s">
        <v>214</v>
      </c>
      <c r="I257" s="3">
        <v>5</v>
      </c>
      <c r="J257" s="11">
        <v>55</v>
      </c>
      <c r="K257" s="4">
        <v>0</v>
      </c>
      <c r="L257" s="3" t="s">
        <v>95</v>
      </c>
      <c r="M257" s="3">
        <v>19</v>
      </c>
      <c r="N257" s="3">
        <v>13</v>
      </c>
      <c r="O257" s="3">
        <v>5</v>
      </c>
    </row>
    <row r="258" spans="1:15" ht="20" customHeight="1">
      <c r="A258" s="3" t="s">
        <v>556</v>
      </c>
      <c r="B258" s="2">
        <v>46274</v>
      </c>
      <c r="C258" s="3">
        <v>18</v>
      </c>
      <c r="D258" s="3" t="s">
        <v>161</v>
      </c>
      <c r="E258" s="3" t="s">
        <v>91</v>
      </c>
      <c r="F258" s="3" t="s">
        <v>109</v>
      </c>
      <c r="G258" s="3" t="s">
        <v>99</v>
      </c>
      <c r="H258" s="3" t="s">
        <v>104</v>
      </c>
      <c r="I258" s="3">
        <v>3</v>
      </c>
      <c r="J258" s="11">
        <v>240</v>
      </c>
      <c r="K258" s="4">
        <v>0.05</v>
      </c>
      <c r="L258" s="3" t="s">
        <v>95</v>
      </c>
      <c r="M258" s="3">
        <v>22</v>
      </c>
      <c r="N258" s="3">
        <v>7</v>
      </c>
      <c r="O258" s="3">
        <v>5</v>
      </c>
    </row>
    <row r="259" spans="1:15" ht="20" customHeight="1">
      <c r="A259" s="3" t="s">
        <v>557</v>
      </c>
      <c r="B259" s="2">
        <v>46274</v>
      </c>
      <c r="C259" s="3">
        <v>11</v>
      </c>
      <c r="D259" s="3" t="s">
        <v>558</v>
      </c>
      <c r="E259" s="3" t="s">
        <v>91</v>
      </c>
      <c r="F259" s="3" t="s">
        <v>121</v>
      </c>
      <c r="G259" s="3" t="s">
        <v>135</v>
      </c>
      <c r="H259" s="3" t="s">
        <v>162</v>
      </c>
      <c r="I259" s="3">
        <v>4</v>
      </c>
      <c r="J259" s="11">
        <v>180</v>
      </c>
      <c r="K259" s="4">
        <v>0</v>
      </c>
      <c r="L259" s="3" t="s">
        <v>95</v>
      </c>
      <c r="M259" s="3">
        <v>20</v>
      </c>
      <c r="N259" s="3">
        <v>12</v>
      </c>
      <c r="O259" s="3">
        <v>5</v>
      </c>
    </row>
    <row r="260" spans="1:15" ht="20" customHeight="1">
      <c r="A260" s="3" t="s">
        <v>559</v>
      </c>
      <c r="B260" s="2">
        <v>46274</v>
      </c>
      <c r="C260" s="3">
        <v>12</v>
      </c>
      <c r="D260" s="3" t="s">
        <v>208</v>
      </c>
      <c r="E260" s="3" t="s">
        <v>117</v>
      </c>
      <c r="F260" s="3" t="s">
        <v>92</v>
      </c>
      <c r="G260" s="3" t="s">
        <v>174</v>
      </c>
      <c r="H260" s="3" t="s">
        <v>175</v>
      </c>
      <c r="I260" s="3">
        <v>4</v>
      </c>
      <c r="J260" s="11">
        <v>155</v>
      </c>
      <c r="K260" s="4">
        <v>0.15</v>
      </c>
      <c r="L260" s="3" t="s">
        <v>95</v>
      </c>
      <c r="M260" s="3">
        <v>12</v>
      </c>
      <c r="N260" s="3">
        <v>12</v>
      </c>
      <c r="O260" s="3">
        <v>4</v>
      </c>
    </row>
    <row r="261" spans="1:15" ht="20" customHeight="1">
      <c r="A261" s="3" t="s">
        <v>560</v>
      </c>
      <c r="B261" s="2">
        <v>46274</v>
      </c>
      <c r="C261" s="3">
        <v>16</v>
      </c>
      <c r="D261" s="3" t="s">
        <v>561</v>
      </c>
      <c r="E261" s="3" t="s">
        <v>117</v>
      </c>
      <c r="F261" s="3" t="s">
        <v>121</v>
      </c>
      <c r="G261" s="3" t="s">
        <v>110</v>
      </c>
      <c r="H261" s="3" t="s">
        <v>111</v>
      </c>
      <c r="I261" s="3">
        <v>4</v>
      </c>
      <c r="J261" s="11">
        <v>115</v>
      </c>
      <c r="K261" s="4">
        <v>0.05</v>
      </c>
      <c r="L261" s="3" t="s">
        <v>95</v>
      </c>
      <c r="M261" s="3">
        <v>29</v>
      </c>
      <c r="N261" s="3">
        <v>9</v>
      </c>
      <c r="O261" s="3">
        <v>4</v>
      </c>
    </row>
    <row r="262" spans="1:15" ht="20" customHeight="1">
      <c r="A262" s="3" t="s">
        <v>562</v>
      </c>
      <c r="B262" s="2">
        <v>46274</v>
      </c>
      <c r="C262" s="3">
        <v>12</v>
      </c>
      <c r="D262" s="3" t="s">
        <v>386</v>
      </c>
      <c r="E262" s="3" t="s">
        <v>117</v>
      </c>
      <c r="F262" s="3" t="s">
        <v>109</v>
      </c>
      <c r="G262" s="3" t="s">
        <v>122</v>
      </c>
      <c r="H262" s="3" t="s">
        <v>123</v>
      </c>
      <c r="I262" s="3">
        <v>3</v>
      </c>
      <c r="J262" s="11">
        <v>45</v>
      </c>
      <c r="K262" s="4">
        <v>0.15</v>
      </c>
      <c r="L262" s="3" t="s">
        <v>95</v>
      </c>
      <c r="M262" s="3">
        <v>30</v>
      </c>
      <c r="N262" s="3">
        <v>4</v>
      </c>
      <c r="O262" s="3">
        <v>4</v>
      </c>
    </row>
    <row r="263" spans="1:15" ht="20" customHeight="1">
      <c r="A263" s="3" t="s">
        <v>563</v>
      </c>
      <c r="B263" s="2">
        <v>46274</v>
      </c>
      <c r="C263" s="3">
        <v>18</v>
      </c>
      <c r="D263" s="3" t="s">
        <v>427</v>
      </c>
      <c r="E263" s="3" t="s">
        <v>91</v>
      </c>
      <c r="F263" s="3" t="s">
        <v>92</v>
      </c>
      <c r="G263" s="3" t="s">
        <v>110</v>
      </c>
      <c r="H263" s="3" t="s">
        <v>114</v>
      </c>
      <c r="I263" s="3">
        <v>2</v>
      </c>
      <c r="J263" s="11">
        <v>145</v>
      </c>
      <c r="K263" s="4">
        <v>0</v>
      </c>
      <c r="L263" s="3" t="s">
        <v>95</v>
      </c>
      <c r="M263" s="3">
        <v>22</v>
      </c>
      <c r="N263" s="3">
        <v>13</v>
      </c>
      <c r="O263" s="3">
        <v>5</v>
      </c>
    </row>
    <row r="264" spans="1:15" ht="20" customHeight="1">
      <c r="A264" s="3" t="s">
        <v>564</v>
      </c>
      <c r="B264" s="2">
        <v>46274</v>
      </c>
      <c r="C264" s="3">
        <v>22</v>
      </c>
      <c r="D264" s="3" t="s">
        <v>361</v>
      </c>
      <c r="E264" s="3" t="s">
        <v>91</v>
      </c>
      <c r="F264" s="3" t="s">
        <v>92</v>
      </c>
      <c r="G264" s="3" t="s">
        <v>93</v>
      </c>
      <c r="H264" s="3" t="s">
        <v>118</v>
      </c>
      <c r="I264" s="3">
        <v>1</v>
      </c>
      <c r="J264" s="11">
        <v>45</v>
      </c>
      <c r="K264" s="4">
        <v>0.15</v>
      </c>
      <c r="L264" s="3" t="s">
        <v>95</v>
      </c>
      <c r="M264" s="3">
        <v>16</v>
      </c>
      <c r="N264" s="3">
        <v>9</v>
      </c>
      <c r="O264" s="3">
        <v>5</v>
      </c>
    </row>
    <row r="265" spans="1:15" ht="20" customHeight="1">
      <c r="A265" s="3" t="s">
        <v>565</v>
      </c>
      <c r="B265" s="2">
        <v>46274</v>
      </c>
      <c r="C265" s="3">
        <v>9</v>
      </c>
      <c r="D265" s="3" t="s">
        <v>378</v>
      </c>
      <c r="E265" s="3" t="s">
        <v>117</v>
      </c>
      <c r="F265" s="3" t="s">
        <v>139</v>
      </c>
      <c r="G265" s="3" t="s">
        <v>122</v>
      </c>
      <c r="H265" s="3" t="s">
        <v>214</v>
      </c>
      <c r="I265" s="3">
        <v>1</v>
      </c>
      <c r="J265" s="11">
        <v>55</v>
      </c>
      <c r="K265" s="4">
        <v>0.1</v>
      </c>
      <c r="L265" s="3" t="s">
        <v>95</v>
      </c>
      <c r="M265" s="3">
        <v>14</v>
      </c>
      <c r="N265" s="3">
        <v>4</v>
      </c>
      <c r="O265" s="3">
        <v>5</v>
      </c>
    </row>
    <row r="266" spans="1:15" ht="20" customHeight="1">
      <c r="A266" s="3" t="s">
        <v>566</v>
      </c>
      <c r="B266" s="2">
        <v>46274</v>
      </c>
      <c r="C266" s="3">
        <v>17</v>
      </c>
      <c r="D266" s="3" t="s">
        <v>342</v>
      </c>
      <c r="E266" s="3" t="s">
        <v>91</v>
      </c>
      <c r="F266" s="3" t="s">
        <v>98</v>
      </c>
      <c r="G266" s="3" t="s">
        <v>110</v>
      </c>
      <c r="H266" s="3" t="s">
        <v>111</v>
      </c>
      <c r="I266" s="3">
        <v>3</v>
      </c>
      <c r="J266" s="11">
        <v>115</v>
      </c>
      <c r="K266" s="4">
        <v>0.05</v>
      </c>
      <c r="L266" s="3" t="s">
        <v>95</v>
      </c>
      <c r="M266" s="3">
        <v>18</v>
      </c>
      <c r="N266" s="3">
        <v>6</v>
      </c>
      <c r="O266" s="3">
        <v>5</v>
      </c>
    </row>
    <row r="267" spans="1:15" ht="20" customHeight="1">
      <c r="A267" s="3" t="s">
        <v>567</v>
      </c>
      <c r="B267" s="2">
        <v>46274</v>
      </c>
      <c r="C267" s="3">
        <v>12</v>
      </c>
      <c r="D267" s="3" t="s">
        <v>383</v>
      </c>
      <c r="E267" s="3" t="s">
        <v>91</v>
      </c>
      <c r="F267" s="3" t="s">
        <v>139</v>
      </c>
      <c r="G267" s="3" t="s">
        <v>135</v>
      </c>
      <c r="H267" s="3" t="s">
        <v>136</v>
      </c>
      <c r="I267" s="3">
        <v>4</v>
      </c>
      <c r="J267" s="11">
        <v>40</v>
      </c>
      <c r="K267" s="4">
        <v>0</v>
      </c>
      <c r="L267" s="3" t="s">
        <v>95</v>
      </c>
      <c r="M267" s="3">
        <v>37</v>
      </c>
      <c r="N267" s="3">
        <v>6</v>
      </c>
      <c r="O267" s="3">
        <v>5</v>
      </c>
    </row>
    <row r="268" spans="1:15" ht="20" customHeight="1">
      <c r="A268" s="3" t="s">
        <v>568</v>
      </c>
      <c r="B268" s="2">
        <v>46274</v>
      </c>
      <c r="C268" s="3">
        <v>19</v>
      </c>
      <c r="D268" s="3" t="s">
        <v>452</v>
      </c>
      <c r="E268" s="3" t="s">
        <v>91</v>
      </c>
      <c r="F268" s="3" t="s">
        <v>139</v>
      </c>
      <c r="G268" s="3" t="s">
        <v>174</v>
      </c>
      <c r="H268" s="3" t="s">
        <v>175</v>
      </c>
      <c r="I268" s="3">
        <v>5</v>
      </c>
      <c r="J268" s="11">
        <v>155</v>
      </c>
      <c r="K268" s="4">
        <v>0.05</v>
      </c>
      <c r="L268" s="3" t="s">
        <v>95</v>
      </c>
      <c r="M268" s="3">
        <v>23</v>
      </c>
      <c r="N268" s="3">
        <v>7</v>
      </c>
      <c r="O268" s="3">
        <v>5</v>
      </c>
    </row>
    <row r="269" spans="1:15" ht="20" customHeight="1">
      <c r="A269" s="3" t="s">
        <v>569</v>
      </c>
      <c r="B269" s="2">
        <v>46274</v>
      </c>
      <c r="C269" s="3">
        <v>18</v>
      </c>
      <c r="D269" s="3" t="s">
        <v>244</v>
      </c>
      <c r="E269" s="3" t="s">
        <v>117</v>
      </c>
      <c r="F269" s="3" t="s">
        <v>109</v>
      </c>
      <c r="G269" s="3" t="s">
        <v>93</v>
      </c>
      <c r="H269" s="3" t="s">
        <v>146</v>
      </c>
      <c r="I269" s="3">
        <v>5</v>
      </c>
      <c r="J269" s="11">
        <v>110</v>
      </c>
      <c r="K269" s="4">
        <v>0</v>
      </c>
      <c r="L269" s="3" t="s">
        <v>95</v>
      </c>
      <c r="M269" s="3">
        <v>19</v>
      </c>
      <c r="N269" s="3">
        <v>10</v>
      </c>
      <c r="O269" s="3">
        <v>4</v>
      </c>
    </row>
    <row r="270" spans="1:15" ht="20" customHeight="1">
      <c r="A270" s="3" t="s">
        <v>570</v>
      </c>
      <c r="B270" s="2">
        <v>46274</v>
      </c>
      <c r="C270" s="3">
        <v>10</v>
      </c>
      <c r="D270" s="3" t="s">
        <v>571</v>
      </c>
      <c r="E270" s="3" t="s">
        <v>91</v>
      </c>
      <c r="F270" s="3" t="s">
        <v>92</v>
      </c>
      <c r="G270" s="3" t="s">
        <v>122</v>
      </c>
      <c r="H270" s="3" t="s">
        <v>214</v>
      </c>
      <c r="I270" s="3">
        <v>4</v>
      </c>
      <c r="J270" s="11">
        <v>55</v>
      </c>
      <c r="K270" s="4">
        <v>0</v>
      </c>
      <c r="L270" s="3" t="s">
        <v>95</v>
      </c>
      <c r="M270" s="3">
        <v>30</v>
      </c>
      <c r="N270" s="3">
        <v>10</v>
      </c>
      <c r="O270" s="3">
        <v>5</v>
      </c>
    </row>
    <row r="271" spans="1:15" ht="20" customHeight="1">
      <c r="A271" s="3" t="s">
        <v>572</v>
      </c>
      <c r="B271" s="2">
        <v>46274</v>
      </c>
      <c r="C271" s="3">
        <v>8</v>
      </c>
      <c r="D271" s="3" t="s">
        <v>573</v>
      </c>
      <c r="E271" s="3" t="s">
        <v>91</v>
      </c>
      <c r="F271" s="3" t="s">
        <v>139</v>
      </c>
      <c r="G271" s="3" t="s">
        <v>99</v>
      </c>
      <c r="H271" s="3" t="s">
        <v>100</v>
      </c>
      <c r="I271" s="3">
        <v>2</v>
      </c>
      <c r="J271" s="11">
        <v>120</v>
      </c>
      <c r="K271" s="4">
        <v>0</v>
      </c>
      <c r="L271" s="3" t="s">
        <v>95</v>
      </c>
      <c r="M271" s="3">
        <v>36</v>
      </c>
      <c r="N271" s="3">
        <v>14</v>
      </c>
      <c r="O271" s="3">
        <v>4</v>
      </c>
    </row>
    <row r="272" spans="1:15" ht="20" customHeight="1">
      <c r="A272" s="3" t="s">
        <v>574</v>
      </c>
      <c r="B272" s="2">
        <v>46275</v>
      </c>
      <c r="C272" s="3">
        <v>14</v>
      </c>
      <c r="D272" s="3" t="s">
        <v>120</v>
      </c>
      <c r="E272" s="3" t="s">
        <v>91</v>
      </c>
      <c r="F272" s="3" t="s">
        <v>1313</v>
      </c>
      <c r="G272" s="3" t="s">
        <v>93</v>
      </c>
      <c r="H272" s="3" t="s">
        <v>146</v>
      </c>
      <c r="I272" s="3">
        <v>2</v>
      </c>
      <c r="J272" s="11">
        <v>110</v>
      </c>
      <c r="K272" s="4">
        <v>0</v>
      </c>
      <c r="L272" s="3" t="s">
        <v>95</v>
      </c>
      <c r="M272" s="3">
        <v>24</v>
      </c>
      <c r="N272" s="3">
        <v>9</v>
      </c>
      <c r="O272" s="3">
        <v>5</v>
      </c>
    </row>
    <row r="273" spans="1:15" ht="20" customHeight="1">
      <c r="A273" s="3" t="s">
        <v>575</v>
      </c>
      <c r="B273" s="2">
        <v>46275</v>
      </c>
      <c r="C273" s="3">
        <v>10</v>
      </c>
      <c r="D273" s="3" t="s">
        <v>576</v>
      </c>
      <c r="E273" s="3" t="s">
        <v>91</v>
      </c>
      <c r="F273" s="3" t="s">
        <v>92</v>
      </c>
      <c r="G273" s="3" t="s">
        <v>122</v>
      </c>
      <c r="H273" s="3" t="s">
        <v>123</v>
      </c>
      <c r="I273" s="3">
        <v>6</v>
      </c>
      <c r="J273" s="11">
        <v>45</v>
      </c>
      <c r="K273" s="4">
        <v>0</v>
      </c>
      <c r="L273" s="3" t="s">
        <v>95</v>
      </c>
      <c r="M273" s="3">
        <v>19</v>
      </c>
      <c r="N273" s="3">
        <v>12</v>
      </c>
      <c r="O273" s="3">
        <v>4</v>
      </c>
    </row>
    <row r="274" spans="1:15" ht="20" customHeight="1">
      <c r="A274" s="3" t="s">
        <v>577</v>
      </c>
      <c r="B274" s="2">
        <v>46275</v>
      </c>
      <c r="C274" s="3">
        <v>10</v>
      </c>
      <c r="D274" s="3" t="s">
        <v>276</v>
      </c>
      <c r="E274" s="3" t="s">
        <v>117</v>
      </c>
      <c r="F274" s="3" t="s">
        <v>109</v>
      </c>
      <c r="G274" s="3" t="s">
        <v>99</v>
      </c>
      <c r="H274" s="3" t="s">
        <v>100</v>
      </c>
      <c r="I274" s="3">
        <v>4</v>
      </c>
      <c r="J274" s="11">
        <v>120</v>
      </c>
      <c r="K274" s="4">
        <v>0</v>
      </c>
      <c r="L274" s="3" t="s">
        <v>95</v>
      </c>
      <c r="M274" s="3">
        <v>33</v>
      </c>
      <c r="N274" s="3">
        <v>7</v>
      </c>
      <c r="O274" s="3">
        <v>5</v>
      </c>
    </row>
    <row r="275" spans="1:15" ht="20" customHeight="1">
      <c r="A275" s="3" t="s">
        <v>578</v>
      </c>
      <c r="B275" s="2">
        <v>46275</v>
      </c>
      <c r="C275" s="3">
        <v>11</v>
      </c>
      <c r="D275" s="3" t="s">
        <v>579</v>
      </c>
      <c r="E275" s="3" t="s">
        <v>117</v>
      </c>
      <c r="F275" s="3" t="s">
        <v>92</v>
      </c>
      <c r="G275" s="3" t="s">
        <v>174</v>
      </c>
      <c r="H275" s="3" t="s">
        <v>274</v>
      </c>
      <c r="I275" s="3">
        <v>5</v>
      </c>
      <c r="J275" s="11">
        <v>90</v>
      </c>
      <c r="K275" s="4">
        <v>0</v>
      </c>
      <c r="L275" s="3" t="s">
        <v>95</v>
      </c>
      <c r="M275" s="3">
        <v>30</v>
      </c>
      <c r="N275" s="3">
        <v>8</v>
      </c>
      <c r="O275" s="3">
        <v>4</v>
      </c>
    </row>
    <row r="276" spans="1:15" ht="20" customHeight="1">
      <c r="A276" s="3" t="s">
        <v>580</v>
      </c>
      <c r="B276" s="2">
        <v>46275</v>
      </c>
      <c r="C276" s="3">
        <v>21</v>
      </c>
      <c r="D276" s="3" t="s">
        <v>581</v>
      </c>
      <c r="E276" s="3" t="s">
        <v>117</v>
      </c>
      <c r="F276" s="3" t="s">
        <v>98</v>
      </c>
      <c r="G276" s="3" t="s">
        <v>93</v>
      </c>
      <c r="H276" s="3" t="s">
        <v>94</v>
      </c>
      <c r="I276" s="3">
        <v>5</v>
      </c>
      <c r="J276" s="11">
        <v>95</v>
      </c>
      <c r="K276" s="4">
        <v>0</v>
      </c>
      <c r="L276" s="3" t="s">
        <v>95</v>
      </c>
      <c r="M276" s="3">
        <v>33</v>
      </c>
      <c r="N276" s="3">
        <v>14</v>
      </c>
      <c r="O276" s="3">
        <v>5</v>
      </c>
    </row>
    <row r="277" spans="1:15" ht="20" customHeight="1">
      <c r="A277" s="3" t="s">
        <v>582</v>
      </c>
      <c r="B277" s="2">
        <v>46275</v>
      </c>
      <c r="C277" s="3">
        <v>18</v>
      </c>
      <c r="D277" s="3" t="s">
        <v>417</v>
      </c>
      <c r="E277" s="3" t="s">
        <v>91</v>
      </c>
      <c r="F277" s="3" t="s">
        <v>121</v>
      </c>
      <c r="G277" s="3" t="s">
        <v>93</v>
      </c>
      <c r="H277" s="3" t="s">
        <v>94</v>
      </c>
      <c r="I277" s="3">
        <v>4</v>
      </c>
      <c r="J277" s="11">
        <v>95</v>
      </c>
      <c r="K277" s="4">
        <v>0.15</v>
      </c>
      <c r="L277" s="3" t="s">
        <v>95</v>
      </c>
      <c r="M277" s="3">
        <v>31</v>
      </c>
      <c r="N277" s="3">
        <v>12</v>
      </c>
      <c r="O277" s="3">
        <v>5</v>
      </c>
    </row>
    <row r="278" spans="1:15" ht="20" customHeight="1">
      <c r="A278" s="3" t="s">
        <v>583</v>
      </c>
      <c r="B278" s="2">
        <v>46275</v>
      </c>
      <c r="C278" s="3">
        <v>8</v>
      </c>
      <c r="D278" s="3" t="s">
        <v>106</v>
      </c>
      <c r="E278" s="3" t="s">
        <v>91</v>
      </c>
      <c r="F278" s="3" t="s">
        <v>98</v>
      </c>
      <c r="G278" s="3" t="s">
        <v>93</v>
      </c>
      <c r="H278" s="3" t="s">
        <v>146</v>
      </c>
      <c r="I278" s="3">
        <v>5</v>
      </c>
      <c r="J278" s="11">
        <v>110</v>
      </c>
      <c r="K278" s="4">
        <v>0.15</v>
      </c>
      <c r="L278" s="3" t="s">
        <v>95</v>
      </c>
      <c r="M278" s="3">
        <v>30</v>
      </c>
      <c r="N278" s="3">
        <v>12</v>
      </c>
      <c r="O278" s="3">
        <v>5</v>
      </c>
    </row>
    <row r="279" spans="1:15" ht="20" customHeight="1">
      <c r="A279" s="3" t="s">
        <v>584</v>
      </c>
      <c r="B279" s="2">
        <v>46275</v>
      </c>
      <c r="C279" s="3">
        <v>15</v>
      </c>
      <c r="D279" s="3" t="s">
        <v>351</v>
      </c>
      <c r="E279" s="3" t="s">
        <v>91</v>
      </c>
      <c r="F279" s="3" t="s">
        <v>92</v>
      </c>
      <c r="G279" s="3" t="s">
        <v>122</v>
      </c>
      <c r="H279" s="3" t="s">
        <v>123</v>
      </c>
      <c r="I279" s="3">
        <v>6</v>
      </c>
      <c r="J279" s="11">
        <v>45</v>
      </c>
      <c r="K279" s="4">
        <v>0.05</v>
      </c>
      <c r="L279" s="3" t="s">
        <v>95</v>
      </c>
      <c r="M279" s="3">
        <v>33</v>
      </c>
      <c r="N279" s="3">
        <v>11</v>
      </c>
      <c r="O279" s="3">
        <v>3</v>
      </c>
    </row>
    <row r="280" spans="1:15" ht="20" customHeight="1">
      <c r="A280" s="3" t="s">
        <v>585</v>
      </c>
      <c r="B280" s="2">
        <v>46275</v>
      </c>
      <c r="C280" s="3">
        <v>11</v>
      </c>
      <c r="D280" s="3" t="s">
        <v>236</v>
      </c>
      <c r="E280" s="3" t="s">
        <v>91</v>
      </c>
      <c r="F280" s="3" t="s">
        <v>98</v>
      </c>
      <c r="G280" s="3" t="s">
        <v>110</v>
      </c>
      <c r="H280" s="3" t="s">
        <v>114</v>
      </c>
      <c r="I280" s="3">
        <v>4</v>
      </c>
      <c r="J280" s="11">
        <v>145</v>
      </c>
      <c r="K280" s="4">
        <v>0.15</v>
      </c>
      <c r="L280" s="3" t="s">
        <v>101</v>
      </c>
      <c r="M280" s="3"/>
      <c r="N280" s="3"/>
      <c r="O280" s="3"/>
    </row>
    <row r="281" spans="1:15" ht="20" customHeight="1">
      <c r="A281" s="3" t="s">
        <v>586</v>
      </c>
      <c r="B281" s="2">
        <v>46275</v>
      </c>
      <c r="C281" s="3">
        <v>11</v>
      </c>
      <c r="D281" s="3" t="s">
        <v>587</v>
      </c>
      <c r="E281" s="3" t="s">
        <v>91</v>
      </c>
      <c r="F281" s="3" t="s">
        <v>139</v>
      </c>
      <c r="G281" s="3" t="s">
        <v>110</v>
      </c>
      <c r="H281" s="3" t="s">
        <v>114</v>
      </c>
      <c r="I281" s="3">
        <v>2</v>
      </c>
      <c r="J281" s="11">
        <v>145</v>
      </c>
      <c r="K281" s="4">
        <v>0.1</v>
      </c>
      <c r="L281" s="3" t="s">
        <v>101</v>
      </c>
      <c r="M281" s="3"/>
      <c r="N281" s="3"/>
      <c r="O281" s="3"/>
    </row>
    <row r="282" spans="1:15" ht="20" customHeight="1">
      <c r="A282" s="3" t="s">
        <v>588</v>
      </c>
      <c r="B282" s="2">
        <v>46275</v>
      </c>
      <c r="C282" s="3">
        <v>13</v>
      </c>
      <c r="D282" s="3" t="s">
        <v>589</v>
      </c>
      <c r="E282" s="3" t="s">
        <v>91</v>
      </c>
      <c r="F282" s="3" t="s">
        <v>121</v>
      </c>
      <c r="G282" s="3" t="s">
        <v>99</v>
      </c>
      <c r="H282" s="3" t="s">
        <v>100</v>
      </c>
      <c r="I282" s="3">
        <v>3</v>
      </c>
      <c r="J282" s="11">
        <v>120</v>
      </c>
      <c r="K282" s="4">
        <v>0.1</v>
      </c>
      <c r="L282" s="3" t="s">
        <v>95</v>
      </c>
      <c r="M282" s="3">
        <v>27</v>
      </c>
      <c r="N282" s="3">
        <v>11</v>
      </c>
      <c r="O282" s="3">
        <v>5</v>
      </c>
    </row>
    <row r="283" spans="1:15" ht="20" customHeight="1">
      <c r="A283" s="3" t="s">
        <v>590</v>
      </c>
      <c r="B283" s="2">
        <v>46275</v>
      </c>
      <c r="C283" s="3">
        <v>13</v>
      </c>
      <c r="D283" s="3" t="s">
        <v>401</v>
      </c>
      <c r="E283" s="3" t="s">
        <v>91</v>
      </c>
      <c r="F283" s="3" t="s">
        <v>139</v>
      </c>
      <c r="G283" s="3" t="s">
        <v>122</v>
      </c>
      <c r="H283" s="3" t="s">
        <v>214</v>
      </c>
      <c r="I283" s="3">
        <v>6</v>
      </c>
      <c r="J283" s="11">
        <v>55</v>
      </c>
      <c r="K283" s="4">
        <v>0.05</v>
      </c>
      <c r="L283" s="3" t="s">
        <v>95</v>
      </c>
      <c r="M283" s="3">
        <v>22</v>
      </c>
      <c r="N283" s="3">
        <v>8</v>
      </c>
      <c r="O283" s="3">
        <v>5</v>
      </c>
    </row>
    <row r="284" spans="1:15" ht="20" customHeight="1">
      <c r="A284" s="3" t="s">
        <v>591</v>
      </c>
      <c r="B284" s="2">
        <v>46275</v>
      </c>
      <c r="C284" s="3">
        <v>8</v>
      </c>
      <c r="D284" s="3" t="s">
        <v>592</v>
      </c>
      <c r="E284" s="3" t="s">
        <v>91</v>
      </c>
      <c r="F284" s="3" t="s">
        <v>139</v>
      </c>
      <c r="G284" s="3" t="s">
        <v>122</v>
      </c>
      <c r="H284" s="3" t="s">
        <v>123</v>
      </c>
      <c r="I284" s="3">
        <v>2</v>
      </c>
      <c r="J284" s="11">
        <v>45</v>
      </c>
      <c r="K284" s="4">
        <v>0</v>
      </c>
      <c r="L284" s="3" t="s">
        <v>95</v>
      </c>
      <c r="M284" s="3">
        <v>32</v>
      </c>
      <c r="N284" s="3">
        <v>11</v>
      </c>
      <c r="O284" s="3">
        <v>4</v>
      </c>
    </row>
    <row r="285" spans="1:15" ht="20" customHeight="1">
      <c r="A285" s="3" t="s">
        <v>593</v>
      </c>
      <c r="B285" s="2">
        <v>46275</v>
      </c>
      <c r="C285" s="3">
        <v>22</v>
      </c>
      <c r="D285" s="3" t="s">
        <v>145</v>
      </c>
      <c r="E285" s="3" t="s">
        <v>117</v>
      </c>
      <c r="F285" s="3" t="s">
        <v>139</v>
      </c>
      <c r="G285" s="3" t="s">
        <v>122</v>
      </c>
      <c r="H285" s="3" t="s">
        <v>214</v>
      </c>
      <c r="I285" s="3">
        <v>4</v>
      </c>
      <c r="J285" s="11">
        <v>55</v>
      </c>
      <c r="K285" s="4">
        <v>0</v>
      </c>
      <c r="L285" s="3" t="s">
        <v>101</v>
      </c>
      <c r="M285" s="3"/>
      <c r="N285" s="3"/>
      <c r="O285" s="3"/>
    </row>
    <row r="286" spans="1:15" ht="20" customHeight="1">
      <c r="A286" s="3" t="s">
        <v>594</v>
      </c>
      <c r="B286" s="2">
        <v>46275</v>
      </c>
      <c r="C286" s="3">
        <v>21</v>
      </c>
      <c r="D286" s="3" t="s">
        <v>492</v>
      </c>
      <c r="E286" s="3" t="s">
        <v>91</v>
      </c>
      <c r="F286" s="3" t="s">
        <v>109</v>
      </c>
      <c r="G286" s="3" t="s">
        <v>135</v>
      </c>
      <c r="H286" s="3" t="s">
        <v>162</v>
      </c>
      <c r="I286" s="3">
        <v>5</v>
      </c>
      <c r="J286" s="11">
        <v>180</v>
      </c>
      <c r="K286" s="4">
        <v>0</v>
      </c>
      <c r="L286" s="3" t="s">
        <v>95</v>
      </c>
      <c r="M286" s="3">
        <v>16</v>
      </c>
      <c r="N286" s="3">
        <v>14</v>
      </c>
      <c r="O286" s="3">
        <v>5</v>
      </c>
    </row>
    <row r="287" spans="1:15" ht="20" customHeight="1">
      <c r="A287" s="3" t="s">
        <v>595</v>
      </c>
      <c r="B287" s="2">
        <v>46275</v>
      </c>
      <c r="C287" s="3">
        <v>13</v>
      </c>
      <c r="D287" s="3" t="s">
        <v>295</v>
      </c>
      <c r="E287" s="3" t="s">
        <v>117</v>
      </c>
      <c r="F287" s="3" t="s">
        <v>109</v>
      </c>
      <c r="G287" s="3" t="s">
        <v>93</v>
      </c>
      <c r="H287" s="3" t="s">
        <v>146</v>
      </c>
      <c r="I287" s="3">
        <v>1</v>
      </c>
      <c r="J287" s="11">
        <v>110</v>
      </c>
      <c r="K287" s="4">
        <v>0</v>
      </c>
      <c r="L287" s="3" t="s">
        <v>95</v>
      </c>
      <c r="M287" s="3">
        <v>24</v>
      </c>
      <c r="N287" s="3">
        <v>9</v>
      </c>
      <c r="O287" s="3">
        <v>3</v>
      </c>
    </row>
    <row r="288" spans="1:15" ht="20" customHeight="1">
      <c r="A288" s="3" t="s">
        <v>596</v>
      </c>
      <c r="B288" s="2">
        <v>46275</v>
      </c>
      <c r="C288" s="3">
        <v>10</v>
      </c>
      <c r="D288" s="3" t="s">
        <v>597</v>
      </c>
      <c r="E288" s="3" t="s">
        <v>117</v>
      </c>
      <c r="F288" s="3" t="s">
        <v>139</v>
      </c>
      <c r="G288" s="3" t="s">
        <v>174</v>
      </c>
      <c r="H288" s="3" t="s">
        <v>175</v>
      </c>
      <c r="I288" s="3">
        <v>1</v>
      </c>
      <c r="J288" s="11">
        <v>155</v>
      </c>
      <c r="K288" s="4">
        <v>0.1</v>
      </c>
      <c r="L288" s="3" t="s">
        <v>95</v>
      </c>
      <c r="M288" s="3">
        <v>20</v>
      </c>
      <c r="N288" s="3">
        <v>7</v>
      </c>
      <c r="O288" s="3">
        <v>4</v>
      </c>
    </row>
    <row r="289" spans="1:15" ht="20" customHeight="1">
      <c r="A289" s="3" t="s">
        <v>598</v>
      </c>
      <c r="B289" s="2">
        <v>46275</v>
      </c>
      <c r="C289" s="3">
        <v>14</v>
      </c>
      <c r="D289" s="3" t="s">
        <v>334</v>
      </c>
      <c r="E289" s="3" t="s">
        <v>91</v>
      </c>
      <c r="F289" s="3" t="s">
        <v>98</v>
      </c>
      <c r="G289" s="3" t="s">
        <v>110</v>
      </c>
      <c r="H289" s="3" t="s">
        <v>111</v>
      </c>
      <c r="I289" s="3">
        <v>2</v>
      </c>
      <c r="J289" s="11">
        <v>115</v>
      </c>
      <c r="K289" s="4">
        <v>0.05</v>
      </c>
      <c r="L289" s="3" t="s">
        <v>95</v>
      </c>
      <c r="M289" s="3">
        <v>36</v>
      </c>
      <c r="N289" s="3">
        <v>10</v>
      </c>
      <c r="O289" s="3">
        <v>4</v>
      </c>
    </row>
    <row r="290" spans="1:15" ht="20" customHeight="1">
      <c r="A290" s="3" t="s">
        <v>599</v>
      </c>
      <c r="B290" s="2">
        <v>46275</v>
      </c>
      <c r="C290" s="3">
        <v>9</v>
      </c>
      <c r="D290" s="3" t="s">
        <v>232</v>
      </c>
      <c r="E290" s="3" t="s">
        <v>91</v>
      </c>
      <c r="F290" s="3" t="s">
        <v>92</v>
      </c>
      <c r="G290" s="3" t="s">
        <v>93</v>
      </c>
      <c r="H290" s="3" t="s">
        <v>118</v>
      </c>
      <c r="I290" s="3">
        <v>1</v>
      </c>
      <c r="J290" s="11">
        <v>45</v>
      </c>
      <c r="K290" s="4">
        <v>0.15</v>
      </c>
      <c r="L290" s="3" t="s">
        <v>95</v>
      </c>
      <c r="M290" s="3">
        <v>22</v>
      </c>
      <c r="N290" s="3">
        <v>8</v>
      </c>
      <c r="O290" s="3">
        <v>5</v>
      </c>
    </row>
    <row r="291" spans="1:15" ht="20" customHeight="1">
      <c r="A291" s="3" t="s">
        <v>600</v>
      </c>
      <c r="B291" s="2">
        <v>46275</v>
      </c>
      <c r="C291" s="3">
        <v>10</v>
      </c>
      <c r="D291" s="3" t="s">
        <v>169</v>
      </c>
      <c r="E291" s="3" t="s">
        <v>91</v>
      </c>
      <c r="F291" s="3" t="s">
        <v>92</v>
      </c>
      <c r="G291" s="3" t="s">
        <v>174</v>
      </c>
      <c r="H291" s="3" t="s">
        <v>184</v>
      </c>
      <c r="I291" s="3">
        <v>3</v>
      </c>
      <c r="J291" s="11">
        <v>62</v>
      </c>
      <c r="K291" s="4">
        <v>0</v>
      </c>
      <c r="L291" s="3" t="s">
        <v>101</v>
      </c>
      <c r="M291" s="3"/>
      <c r="N291" s="3"/>
      <c r="O291" s="3"/>
    </row>
    <row r="292" spans="1:15" ht="20" customHeight="1">
      <c r="A292" s="3" t="s">
        <v>601</v>
      </c>
      <c r="B292" s="2">
        <v>46275</v>
      </c>
      <c r="C292" s="3">
        <v>7</v>
      </c>
      <c r="D292" s="3" t="s">
        <v>602</v>
      </c>
      <c r="E292" s="3" t="s">
        <v>117</v>
      </c>
      <c r="F292" s="3" t="s">
        <v>98</v>
      </c>
      <c r="G292" s="3" t="s">
        <v>99</v>
      </c>
      <c r="H292" s="3" t="s">
        <v>130</v>
      </c>
      <c r="I292" s="3">
        <v>6</v>
      </c>
      <c r="J292" s="11">
        <v>85</v>
      </c>
      <c r="K292" s="4">
        <v>0</v>
      </c>
      <c r="L292" s="3" t="s">
        <v>95</v>
      </c>
      <c r="M292" s="3">
        <v>20</v>
      </c>
      <c r="N292" s="3">
        <v>13</v>
      </c>
      <c r="O292" s="3">
        <v>3</v>
      </c>
    </row>
    <row r="293" spans="1:15" ht="20" customHeight="1">
      <c r="A293" s="3" t="s">
        <v>603</v>
      </c>
      <c r="B293" s="2">
        <v>46275</v>
      </c>
      <c r="C293" s="3">
        <v>12</v>
      </c>
      <c r="D293" s="3" t="s">
        <v>183</v>
      </c>
      <c r="E293" s="3" t="s">
        <v>91</v>
      </c>
      <c r="F293" s="3" t="s">
        <v>92</v>
      </c>
      <c r="G293" s="3" t="s">
        <v>99</v>
      </c>
      <c r="H293" s="3" t="s">
        <v>130</v>
      </c>
      <c r="I293" s="3">
        <v>4</v>
      </c>
      <c r="J293" s="11">
        <v>85</v>
      </c>
      <c r="K293" s="4">
        <v>0.1</v>
      </c>
      <c r="L293" s="3" t="s">
        <v>95</v>
      </c>
      <c r="M293" s="3">
        <v>12</v>
      </c>
      <c r="N293" s="3">
        <v>5</v>
      </c>
      <c r="O293" s="3">
        <v>5</v>
      </c>
    </row>
    <row r="294" spans="1:15" ht="20" customHeight="1">
      <c r="A294" s="3" t="s">
        <v>604</v>
      </c>
      <c r="B294" s="2">
        <v>46275</v>
      </c>
      <c r="C294" s="3">
        <v>9</v>
      </c>
      <c r="D294" s="3" t="s">
        <v>605</v>
      </c>
      <c r="E294" s="3" t="s">
        <v>91</v>
      </c>
      <c r="F294" s="3" t="s">
        <v>92</v>
      </c>
      <c r="G294" s="3" t="s">
        <v>110</v>
      </c>
      <c r="H294" s="3" t="s">
        <v>114</v>
      </c>
      <c r="I294" s="3">
        <v>5</v>
      </c>
      <c r="J294" s="11">
        <v>145</v>
      </c>
      <c r="K294" s="4">
        <v>0</v>
      </c>
      <c r="L294" s="3" t="s">
        <v>95</v>
      </c>
      <c r="M294" s="3">
        <v>25</v>
      </c>
      <c r="N294" s="3">
        <v>6</v>
      </c>
      <c r="O294" s="3">
        <v>4</v>
      </c>
    </row>
    <row r="295" spans="1:15" ht="20" customHeight="1">
      <c r="A295" s="3" t="s">
        <v>606</v>
      </c>
      <c r="B295" s="2">
        <v>46275</v>
      </c>
      <c r="C295" s="3">
        <v>18</v>
      </c>
      <c r="D295" s="3" t="s">
        <v>448</v>
      </c>
      <c r="E295" s="3" t="s">
        <v>91</v>
      </c>
      <c r="F295" s="3" t="s">
        <v>109</v>
      </c>
      <c r="G295" s="3" t="s">
        <v>93</v>
      </c>
      <c r="H295" s="3" t="s">
        <v>118</v>
      </c>
      <c r="I295" s="3">
        <v>2</v>
      </c>
      <c r="J295" s="11">
        <v>45</v>
      </c>
      <c r="K295" s="4">
        <v>0.15</v>
      </c>
      <c r="L295" s="3" t="s">
        <v>95</v>
      </c>
      <c r="M295" s="3">
        <v>31</v>
      </c>
      <c r="N295" s="3">
        <v>7</v>
      </c>
      <c r="O295" s="3">
        <v>4</v>
      </c>
    </row>
    <row r="296" spans="1:15" ht="20" customHeight="1">
      <c r="A296" s="3" t="s">
        <v>607</v>
      </c>
      <c r="B296" s="2">
        <v>46275</v>
      </c>
      <c r="C296" s="3">
        <v>15</v>
      </c>
      <c r="D296" s="3" t="s">
        <v>608</v>
      </c>
      <c r="E296" s="3" t="s">
        <v>91</v>
      </c>
      <c r="F296" s="3" t="s">
        <v>121</v>
      </c>
      <c r="G296" s="3" t="s">
        <v>110</v>
      </c>
      <c r="H296" s="3" t="s">
        <v>114</v>
      </c>
      <c r="I296" s="3">
        <v>5</v>
      </c>
      <c r="J296" s="11">
        <v>145</v>
      </c>
      <c r="K296" s="4">
        <v>0</v>
      </c>
      <c r="L296" s="3" t="s">
        <v>95</v>
      </c>
      <c r="M296" s="3">
        <v>21</v>
      </c>
      <c r="N296" s="3">
        <v>12</v>
      </c>
      <c r="O296" s="3">
        <v>4</v>
      </c>
    </row>
    <row r="297" spans="1:15" ht="20" customHeight="1">
      <c r="A297" s="3" t="s">
        <v>609</v>
      </c>
      <c r="B297" s="2">
        <v>46275</v>
      </c>
      <c r="C297" s="3">
        <v>17</v>
      </c>
      <c r="D297" s="3" t="s">
        <v>610</v>
      </c>
      <c r="E297" s="3" t="s">
        <v>91</v>
      </c>
      <c r="F297" s="3" t="s">
        <v>121</v>
      </c>
      <c r="G297" s="3" t="s">
        <v>93</v>
      </c>
      <c r="H297" s="3" t="s">
        <v>146</v>
      </c>
      <c r="I297" s="3">
        <v>3</v>
      </c>
      <c r="J297" s="11">
        <v>110</v>
      </c>
      <c r="K297" s="4">
        <v>0</v>
      </c>
      <c r="L297" s="3" t="s">
        <v>95</v>
      </c>
      <c r="M297" s="3">
        <v>21</v>
      </c>
      <c r="N297" s="3">
        <v>6</v>
      </c>
      <c r="O297" s="3">
        <v>4</v>
      </c>
    </row>
    <row r="298" spans="1:15" ht="20" customHeight="1">
      <c r="A298" s="3" t="s">
        <v>611</v>
      </c>
      <c r="B298" s="2">
        <v>46275</v>
      </c>
      <c r="C298" s="3">
        <v>13</v>
      </c>
      <c r="D298" s="3" t="s">
        <v>548</v>
      </c>
      <c r="E298" s="3" t="s">
        <v>91</v>
      </c>
      <c r="F298" s="3" t="s">
        <v>121</v>
      </c>
      <c r="G298" s="3" t="s">
        <v>122</v>
      </c>
      <c r="H298" s="3" t="s">
        <v>123</v>
      </c>
      <c r="I298" s="3">
        <v>6</v>
      </c>
      <c r="J298" s="11">
        <v>45</v>
      </c>
      <c r="K298" s="4">
        <v>0</v>
      </c>
      <c r="L298" s="3" t="s">
        <v>95</v>
      </c>
      <c r="M298" s="3">
        <v>13</v>
      </c>
      <c r="N298" s="3">
        <v>12</v>
      </c>
      <c r="O298" s="3">
        <v>3</v>
      </c>
    </row>
    <row r="299" spans="1:15" ht="20" customHeight="1">
      <c r="A299" s="3" t="s">
        <v>612</v>
      </c>
      <c r="B299" s="2">
        <v>46275</v>
      </c>
      <c r="C299" s="3">
        <v>23</v>
      </c>
      <c r="D299" s="3" t="s">
        <v>613</v>
      </c>
      <c r="E299" s="3" t="s">
        <v>91</v>
      </c>
      <c r="F299" s="3" t="s">
        <v>109</v>
      </c>
      <c r="G299" s="3" t="s">
        <v>110</v>
      </c>
      <c r="H299" s="3" t="s">
        <v>206</v>
      </c>
      <c r="I299" s="3">
        <v>1</v>
      </c>
      <c r="J299" s="11">
        <v>220</v>
      </c>
      <c r="K299" s="4">
        <v>0.05</v>
      </c>
      <c r="L299" s="3" t="s">
        <v>95</v>
      </c>
      <c r="M299" s="3">
        <v>24</v>
      </c>
      <c r="N299" s="3">
        <v>13</v>
      </c>
      <c r="O299" s="3">
        <v>5</v>
      </c>
    </row>
    <row r="300" spans="1:15" ht="20" customHeight="1">
      <c r="A300" s="3" t="s">
        <v>614</v>
      </c>
      <c r="B300" s="2">
        <v>46275</v>
      </c>
      <c r="C300" s="3">
        <v>8</v>
      </c>
      <c r="D300" s="3" t="s">
        <v>615</v>
      </c>
      <c r="E300" s="3" t="s">
        <v>91</v>
      </c>
      <c r="F300" s="3" t="s">
        <v>139</v>
      </c>
      <c r="G300" s="3" t="s">
        <v>135</v>
      </c>
      <c r="H300" s="3" t="s">
        <v>162</v>
      </c>
      <c r="I300" s="3">
        <v>6</v>
      </c>
      <c r="J300" s="11">
        <v>180</v>
      </c>
      <c r="K300" s="4">
        <v>0</v>
      </c>
      <c r="L300" s="3" t="s">
        <v>95</v>
      </c>
      <c r="M300" s="3">
        <v>27</v>
      </c>
      <c r="N300" s="3">
        <v>10</v>
      </c>
      <c r="O300" s="3">
        <v>5</v>
      </c>
    </row>
    <row r="301" spans="1:15" ht="20" customHeight="1">
      <c r="A301" s="3" t="s">
        <v>616</v>
      </c>
      <c r="B301" s="2">
        <v>46275</v>
      </c>
      <c r="C301" s="3">
        <v>23</v>
      </c>
      <c r="D301" s="3" t="s">
        <v>613</v>
      </c>
      <c r="E301" s="3" t="s">
        <v>91</v>
      </c>
      <c r="F301" s="3" t="s">
        <v>121</v>
      </c>
      <c r="G301" s="3" t="s">
        <v>135</v>
      </c>
      <c r="H301" s="3" t="s">
        <v>162</v>
      </c>
      <c r="I301" s="3">
        <v>5</v>
      </c>
      <c r="J301" s="11">
        <v>180</v>
      </c>
      <c r="K301" s="4">
        <v>0.1</v>
      </c>
      <c r="L301" s="3" t="s">
        <v>95</v>
      </c>
      <c r="M301" s="3">
        <v>24</v>
      </c>
      <c r="N301" s="3">
        <v>7</v>
      </c>
      <c r="O301" s="3">
        <v>4</v>
      </c>
    </row>
    <row r="302" spans="1:15" ht="20" customHeight="1">
      <c r="A302" s="3" t="s">
        <v>617</v>
      </c>
      <c r="B302" s="2">
        <v>46276</v>
      </c>
      <c r="C302" s="3">
        <v>17</v>
      </c>
      <c r="D302" s="3" t="s">
        <v>116</v>
      </c>
      <c r="E302" s="3" t="s">
        <v>117</v>
      </c>
      <c r="F302" s="3" t="s">
        <v>98</v>
      </c>
      <c r="G302" s="3" t="s">
        <v>135</v>
      </c>
      <c r="H302" s="3" t="s">
        <v>136</v>
      </c>
      <c r="I302" s="3">
        <v>5</v>
      </c>
      <c r="J302" s="11">
        <v>40</v>
      </c>
      <c r="K302" s="4">
        <v>0.15</v>
      </c>
      <c r="L302" s="3" t="s">
        <v>1311</v>
      </c>
      <c r="M302" s="3">
        <v>36</v>
      </c>
      <c r="N302" s="3">
        <v>11</v>
      </c>
      <c r="O302" s="3">
        <v>5</v>
      </c>
    </row>
    <row r="303" spans="1:15" ht="20" customHeight="1">
      <c r="A303" s="3" t="s">
        <v>618</v>
      </c>
      <c r="B303" s="2">
        <v>46276</v>
      </c>
      <c r="C303" s="3">
        <v>20</v>
      </c>
      <c r="D303" s="3" t="s">
        <v>619</v>
      </c>
      <c r="E303" s="3" t="s">
        <v>117</v>
      </c>
      <c r="F303" s="3" t="s">
        <v>109</v>
      </c>
      <c r="G303" s="3" t="s">
        <v>135</v>
      </c>
      <c r="H303" s="3" t="s">
        <v>136</v>
      </c>
      <c r="I303" s="3">
        <v>1</v>
      </c>
      <c r="J303" s="11">
        <v>40</v>
      </c>
      <c r="K303" s="4">
        <v>0.05</v>
      </c>
      <c r="L303" s="3" t="s">
        <v>95</v>
      </c>
      <c r="M303" s="3">
        <v>19</v>
      </c>
      <c r="N303" s="3">
        <v>7</v>
      </c>
      <c r="O303" s="3">
        <v>5</v>
      </c>
    </row>
    <row r="304" spans="1:15" ht="20" customHeight="1">
      <c r="A304" s="3" t="s">
        <v>620</v>
      </c>
      <c r="B304" s="2">
        <v>46276</v>
      </c>
      <c r="C304" s="3">
        <v>6</v>
      </c>
      <c r="D304" s="3" t="s">
        <v>372</v>
      </c>
      <c r="E304" s="3" t="s">
        <v>117</v>
      </c>
      <c r="F304" s="3" t="s">
        <v>139</v>
      </c>
      <c r="G304" s="3" t="s">
        <v>174</v>
      </c>
      <c r="H304" s="3" t="s">
        <v>274</v>
      </c>
      <c r="I304" s="3">
        <v>6</v>
      </c>
      <c r="J304" s="11">
        <v>90</v>
      </c>
      <c r="K304" s="4">
        <v>0</v>
      </c>
      <c r="L304" s="3" t="s">
        <v>95</v>
      </c>
      <c r="M304" s="3">
        <v>18</v>
      </c>
      <c r="N304" s="3">
        <v>11</v>
      </c>
      <c r="O304" s="3">
        <v>4</v>
      </c>
    </row>
    <row r="305" spans="1:15" ht="20" customHeight="1">
      <c r="A305" s="3" t="s">
        <v>621</v>
      </c>
      <c r="B305" s="2">
        <v>46276</v>
      </c>
      <c r="C305" s="3">
        <v>11</v>
      </c>
      <c r="D305" s="3" t="s">
        <v>622</v>
      </c>
      <c r="E305" s="3" t="s">
        <v>91</v>
      </c>
      <c r="F305" s="3" t="s">
        <v>139</v>
      </c>
      <c r="G305" s="3" t="s">
        <v>135</v>
      </c>
      <c r="H305" s="3" t="s">
        <v>162</v>
      </c>
      <c r="I305" s="3">
        <v>5</v>
      </c>
      <c r="J305" s="11">
        <v>180</v>
      </c>
      <c r="K305" s="4">
        <v>0.05</v>
      </c>
      <c r="L305" s="3" t="s">
        <v>95</v>
      </c>
      <c r="M305" s="3">
        <v>20</v>
      </c>
      <c r="N305" s="3">
        <v>6</v>
      </c>
      <c r="O305" s="3">
        <v>4</v>
      </c>
    </row>
    <row r="306" spans="1:15" ht="20" customHeight="1">
      <c r="A306" s="3" t="s">
        <v>623</v>
      </c>
      <c r="B306" s="2">
        <v>46276</v>
      </c>
      <c r="C306" s="3">
        <v>17</v>
      </c>
      <c r="D306" s="3" t="s">
        <v>624</v>
      </c>
      <c r="E306" s="3" t="s">
        <v>91</v>
      </c>
      <c r="F306" s="3" t="s">
        <v>98</v>
      </c>
      <c r="G306" s="3" t="s">
        <v>99</v>
      </c>
      <c r="H306" s="3" t="s">
        <v>104</v>
      </c>
      <c r="I306" s="3">
        <v>5</v>
      </c>
      <c r="J306" s="11">
        <v>240</v>
      </c>
      <c r="K306" s="4">
        <v>0.1</v>
      </c>
      <c r="L306" s="3" t="s">
        <v>95</v>
      </c>
      <c r="M306" s="3">
        <v>19</v>
      </c>
      <c r="N306" s="3">
        <v>5</v>
      </c>
      <c r="O306" s="3">
        <v>3</v>
      </c>
    </row>
    <row r="307" spans="1:15" ht="20" customHeight="1">
      <c r="A307" s="3" t="s">
        <v>625</v>
      </c>
      <c r="B307" s="2">
        <v>46276</v>
      </c>
      <c r="C307" s="3">
        <v>13</v>
      </c>
      <c r="D307" s="3" t="s">
        <v>626</v>
      </c>
      <c r="E307" s="3" t="s">
        <v>91</v>
      </c>
      <c r="F307" s="3" t="s">
        <v>92</v>
      </c>
      <c r="G307" s="3" t="s">
        <v>110</v>
      </c>
      <c r="H307" s="3" t="s">
        <v>206</v>
      </c>
      <c r="I307" s="3">
        <v>3</v>
      </c>
      <c r="J307" s="11">
        <v>220</v>
      </c>
      <c r="K307" s="4">
        <v>0</v>
      </c>
      <c r="L307" s="3" t="s">
        <v>95</v>
      </c>
      <c r="M307" s="3">
        <v>23</v>
      </c>
      <c r="N307" s="3">
        <v>14</v>
      </c>
      <c r="O307" s="3">
        <v>3</v>
      </c>
    </row>
    <row r="308" spans="1:15" ht="20" customHeight="1">
      <c r="A308" s="3" t="s">
        <v>627</v>
      </c>
      <c r="B308" s="2">
        <v>46276</v>
      </c>
      <c r="C308" s="3">
        <v>21</v>
      </c>
      <c r="D308" s="3" t="s">
        <v>628</v>
      </c>
      <c r="E308" s="3" t="s">
        <v>91</v>
      </c>
      <c r="F308" s="3" t="s">
        <v>92</v>
      </c>
      <c r="G308" s="3" t="s">
        <v>93</v>
      </c>
      <c r="H308" s="3" t="s">
        <v>118</v>
      </c>
      <c r="I308" s="3">
        <v>2</v>
      </c>
      <c r="J308" s="11">
        <v>45</v>
      </c>
      <c r="K308" s="4">
        <v>0.15</v>
      </c>
      <c r="L308" s="3" t="s">
        <v>95</v>
      </c>
      <c r="M308" s="3">
        <v>36</v>
      </c>
      <c r="N308" s="3">
        <v>5</v>
      </c>
      <c r="O308" s="3">
        <v>4</v>
      </c>
    </row>
    <row r="309" spans="1:15" ht="20" customHeight="1">
      <c r="A309" s="3" t="s">
        <v>629</v>
      </c>
      <c r="B309" s="2">
        <v>46276</v>
      </c>
      <c r="C309" s="3">
        <v>13</v>
      </c>
      <c r="D309" s="3" t="s">
        <v>630</v>
      </c>
      <c r="E309" s="3" t="s">
        <v>91</v>
      </c>
      <c r="F309" s="3" t="s">
        <v>92</v>
      </c>
      <c r="G309" s="3" t="s">
        <v>122</v>
      </c>
      <c r="H309" s="3" t="s">
        <v>214</v>
      </c>
      <c r="I309" s="3">
        <v>1</v>
      </c>
      <c r="J309" s="11">
        <v>55</v>
      </c>
      <c r="K309" s="4">
        <v>0</v>
      </c>
      <c r="L309" s="3" t="s">
        <v>95</v>
      </c>
      <c r="M309" s="3">
        <v>20</v>
      </c>
      <c r="N309" s="3">
        <v>14</v>
      </c>
      <c r="O309" s="3">
        <v>3</v>
      </c>
    </row>
    <row r="310" spans="1:15" ht="20" customHeight="1">
      <c r="A310" s="3" t="s">
        <v>631</v>
      </c>
      <c r="B310" s="2">
        <v>46276</v>
      </c>
      <c r="C310" s="3">
        <v>23</v>
      </c>
      <c r="D310" s="3" t="s">
        <v>396</v>
      </c>
      <c r="E310" s="3" t="s">
        <v>91</v>
      </c>
      <c r="F310" s="3" t="s">
        <v>139</v>
      </c>
      <c r="G310" s="3" t="s">
        <v>135</v>
      </c>
      <c r="H310" s="3" t="s">
        <v>217</v>
      </c>
      <c r="I310" s="3">
        <v>6</v>
      </c>
      <c r="J310" s="11">
        <v>65</v>
      </c>
      <c r="K310" s="4">
        <v>0.05</v>
      </c>
      <c r="L310" s="3" t="s">
        <v>95</v>
      </c>
      <c r="M310" s="3">
        <v>33</v>
      </c>
      <c r="N310" s="3">
        <v>5</v>
      </c>
      <c r="O310" s="3">
        <v>4</v>
      </c>
    </row>
    <row r="311" spans="1:15" ht="20" customHeight="1">
      <c r="A311" s="3" t="s">
        <v>632</v>
      </c>
      <c r="B311" s="2">
        <v>46276</v>
      </c>
      <c r="C311" s="3">
        <v>10</v>
      </c>
      <c r="D311" s="3" t="s">
        <v>513</v>
      </c>
      <c r="E311" s="3" t="s">
        <v>117</v>
      </c>
      <c r="F311" s="3" t="s">
        <v>109</v>
      </c>
      <c r="G311" s="3" t="s">
        <v>122</v>
      </c>
      <c r="H311" s="3" t="s">
        <v>214</v>
      </c>
      <c r="I311" s="3">
        <v>2</v>
      </c>
      <c r="J311" s="11">
        <v>55</v>
      </c>
      <c r="K311" s="4">
        <v>0</v>
      </c>
      <c r="L311" s="3" t="s">
        <v>95</v>
      </c>
      <c r="M311" s="3">
        <v>17</v>
      </c>
      <c r="N311" s="3">
        <v>14</v>
      </c>
      <c r="O311" s="3">
        <v>4</v>
      </c>
    </row>
    <row r="312" spans="1:15" ht="20" customHeight="1">
      <c r="A312" s="3" t="s">
        <v>633</v>
      </c>
      <c r="B312" s="2">
        <v>46276</v>
      </c>
      <c r="C312" s="3">
        <v>11</v>
      </c>
      <c r="D312" s="3" t="s">
        <v>291</v>
      </c>
      <c r="E312" s="3" t="s">
        <v>91</v>
      </c>
      <c r="F312" s="3" t="s">
        <v>98</v>
      </c>
      <c r="G312" s="3" t="s">
        <v>99</v>
      </c>
      <c r="H312" s="3" t="s">
        <v>100</v>
      </c>
      <c r="I312" s="3">
        <v>3</v>
      </c>
      <c r="J312" s="11">
        <v>120</v>
      </c>
      <c r="K312" s="4">
        <v>0.15</v>
      </c>
      <c r="L312" s="3" t="s">
        <v>95</v>
      </c>
      <c r="M312" s="3">
        <v>19</v>
      </c>
      <c r="N312" s="3">
        <v>11</v>
      </c>
      <c r="O312" s="3">
        <v>5</v>
      </c>
    </row>
    <row r="313" spans="1:15" ht="20" customHeight="1">
      <c r="A313" s="3" t="s">
        <v>634</v>
      </c>
      <c r="B313" s="2">
        <v>46276</v>
      </c>
      <c r="C313" s="3">
        <v>11</v>
      </c>
      <c r="D313" s="3" t="s">
        <v>222</v>
      </c>
      <c r="E313" s="3" t="s">
        <v>91</v>
      </c>
      <c r="F313" s="3" t="s">
        <v>98</v>
      </c>
      <c r="G313" s="3" t="s">
        <v>122</v>
      </c>
      <c r="H313" s="3" t="s">
        <v>153</v>
      </c>
      <c r="I313" s="3">
        <v>6</v>
      </c>
      <c r="J313" s="11">
        <v>130</v>
      </c>
      <c r="K313" s="4">
        <v>0.15</v>
      </c>
      <c r="L313" s="3" t="s">
        <v>95</v>
      </c>
      <c r="M313" s="3">
        <v>23</v>
      </c>
      <c r="N313" s="3">
        <v>14</v>
      </c>
      <c r="O313" s="3">
        <v>3</v>
      </c>
    </row>
    <row r="314" spans="1:15" ht="20" customHeight="1">
      <c r="A314" s="3" t="s">
        <v>635</v>
      </c>
      <c r="B314" s="2">
        <v>46276</v>
      </c>
      <c r="C314" s="3">
        <v>14</v>
      </c>
      <c r="D314" s="3" t="s">
        <v>195</v>
      </c>
      <c r="E314" s="3" t="s">
        <v>91</v>
      </c>
      <c r="F314" s="3" t="s">
        <v>121</v>
      </c>
      <c r="G314" s="3" t="s">
        <v>99</v>
      </c>
      <c r="H314" s="3" t="s">
        <v>130</v>
      </c>
      <c r="I314" s="3">
        <v>5</v>
      </c>
      <c r="J314" s="11">
        <v>85</v>
      </c>
      <c r="K314" s="4">
        <v>0.05</v>
      </c>
      <c r="L314" s="3" t="s">
        <v>101</v>
      </c>
      <c r="M314" s="3"/>
      <c r="N314" s="3"/>
      <c r="O314" s="3"/>
    </row>
    <row r="315" spans="1:15" ht="20" customHeight="1">
      <c r="A315" s="3" t="s">
        <v>636</v>
      </c>
      <c r="B315" s="2">
        <v>46276</v>
      </c>
      <c r="C315" s="3">
        <v>17</v>
      </c>
      <c r="D315" s="3" t="s">
        <v>242</v>
      </c>
      <c r="E315" s="3" t="s">
        <v>91</v>
      </c>
      <c r="F315" s="3" t="s">
        <v>109</v>
      </c>
      <c r="G315" s="3" t="s">
        <v>99</v>
      </c>
      <c r="H315" s="3" t="s">
        <v>104</v>
      </c>
      <c r="I315" s="3">
        <v>3</v>
      </c>
      <c r="J315" s="11">
        <v>240</v>
      </c>
      <c r="K315" s="4">
        <v>0.05</v>
      </c>
      <c r="L315" s="3" t="s">
        <v>95</v>
      </c>
      <c r="M315" s="3">
        <v>20</v>
      </c>
      <c r="N315" s="3">
        <v>10</v>
      </c>
      <c r="O315" s="3">
        <v>5</v>
      </c>
    </row>
    <row r="316" spans="1:15" ht="20" customHeight="1">
      <c r="A316" s="3" t="s">
        <v>637</v>
      </c>
      <c r="B316" s="2">
        <v>46276</v>
      </c>
      <c r="C316" s="3">
        <v>6</v>
      </c>
      <c r="D316" s="3" t="s">
        <v>608</v>
      </c>
      <c r="E316" s="3" t="s">
        <v>91</v>
      </c>
      <c r="F316" s="3" t="s">
        <v>92</v>
      </c>
      <c r="G316" s="3" t="s">
        <v>99</v>
      </c>
      <c r="H316" s="3" t="s">
        <v>104</v>
      </c>
      <c r="I316" s="3">
        <v>6</v>
      </c>
      <c r="J316" s="11">
        <v>240</v>
      </c>
      <c r="K316" s="4">
        <v>0.05</v>
      </c>
      <c r="L316" s="3" t="s">
        <v>95</v>
      </c>
      <c r="M316" s="3">
        <v>20</v>
      </c>
      <c r="N316" s="3">
        <v>11</v>
      </c>
      <c r="O316" s="3">
        <v>4</v>
      </c>
    </row>
    <row r="317" spans="1:15" ht="20" customHeight="1">
      <c r="A317" s="3" t="s">
        <v>638</v>
      </c>
      <c r="B317" s="2">
        <v>46276</v>
      </c>
      <c r="C317" s="3">
        <v>17</v>
      </c>
      <c r="D317" s="3" t="s">
        <v>639</v>
      </c>
      <c r="E317" s="3" t="s">
        <v>91</v>
      </c>
      <c r="F317" s="3" t="s">
        <v>1315</v>
      </c>
      <c r="G317" s="3" t="s">
        <v>93</v>
      </c>
      <c r="H317" s="3" t="s">
        <v>118</v>
      </c>
      <c r="I317" s="3">
        <v>5</v>
      </c>
      <c r="J317" s="11">
        <v>45</v>
      </c>
      <c r="K317" s="4">
        <v>0</v>
      </c>
      <c r="L317" s="3" t="s">
        <v>95</v>
      </c>
      <c r="M317" s="3">
        <v>31</v>
      </c>
      <c r="N317" s="3">
        <v>9</v>
      </c>
      <c r="O317" s="3">
        <v>5</v>
      </c>
    </row>
    <row r="318" spans="1:15" ht="20" customHeight="1">
      <c r="A318" s="3" t="s">
        <v>640</v>
      </c>
      <c r="B318" s="2">
        <v>46276</v>
      </c>
      <c r="C318" s="3">
        <v>18</v>
      </c>
      <c r="D318" s="3" t="s">
        <v>417</v>
      </c>
      <c r="E318" s="3" t="s">
        <v>91</v>
      </c>
      <c r="F318" s="3" t="s">
        <v>92</v>
      </c>
      <c r="G318" s="3" t="s">
        <v>110</v>
      </c>
      <c r="H318" s="3" t="s">
        <v>114</v>
      </c>
      <c r="I318" s="3">
        <v>2</v>
      </c>
      <c r="J318" s="11">
        <v>145</v>
      </c>
      <c r="K318" s="4">
        <v>0.05</v>
      </c>
      <c r="L318" s="3" t="s">
        <v>95</v>
      </c>
      <c r="M318" s="3">
        <v>22</v>
      </c>
      <c r="N318" s="3">
        <v>10</v>
      </c>
      <c r="O318" s="3">
        <v>5</v>
      </c>
    </row>
    <row r="319" spans="1:15" ht="20" customHeight="1">
      <c r="A319" s="3" t="s">
        <v>641</v>
      </c>
      <c r="B319" s="2">
        <v>46276</v>
      </c>
      <c r="C319" s="3">
        <v>12</v>
      </c>
      <c r="D319" s="3" t="s">
        <v>642</v>
      </c>
      <c r="E319" s="3" t="s">
        <v>91</v>
      </c>
      <c r="F319" s="3" t="s">
        <v>92</v>
      </c>
      <c r="G319" s="3" t="s">
        <v>99</v>
      </c>
      <c r="H319" s="3" t="s">
        <v>104</v>
      </c>
      <c r="I319" s="3">
        <v>4</v>
      </c>
      <c r="J319" s="11">
        <v>240</v>
      </c>
      <c r="K319" s="4">
        <v>0</v>
      </c>
      <c r="L319" s="3" t="s">
        <v>95</v>
      </c>
      <c r="M319" s="3">
        <v>28</v>
      </c>
      <c r="N319" s="3">
        <v>10</v>
      </c>
      <c r="O319" s="3">
        <v>4</v>
      </c>
    </row>
    <row r="320" spans="1:15" ht="20" customHeight="1">
      <c r="A320" s="3" t="s">
        <v>643</v>
      </c>
      <c r="B320" s="2">
        <v>46276</v>
      </c>
      <c r="C320" s="3">
        <v>14</v>
      </c>
      <c r="D320" s="3" t="s">
        <v>644</v>
      </c>
      <c r="E320" s="3" t="s">
        <v>91</v>
      </c>
      <c r="F320" s="3" t="s">
        <v>98</v>
      </c>
      <c r="G320" s="3" t="s">
        <v>174</v>
      </c>
      <c r="H320" s="3" t="s">
        <v>175</v>
      </c>
      <c r="I320" s="3">
        <v>4</v>
      </c>
      <c r="J320" s="11">
        <v>155</v>
      </c>
      <c r="K320" s="4">
        <v>0</v>
      </c>
      <c r="L320" s="3" t="s">
        <v>95</v>
      </c>
      <c r="M320" s="3">
        <v>19</v>
      </c>
      <c r="N320" s="3">
        <v>14</v>
      </c>
      <c r="O320" s="3">
        <v>4</v>
      </c>
    </row>
    <row r="321" spans="1:15" ht="20" customHeight="1">
      <c r="A321" s="3" t="s">
        <v>645</v>
      </c>
      <c r="B321" s="2">
        <v>46276</v>
      </c>
      <c r="C321" s="3">
        <v>7</v>
      </c>
      <c r="D321" s="3" t="s">
        <v>558</v>
      </c>
      <c r="E321" s="3" t="s">
        <v>91</v>
      </c>
      <c r="F321" s="3" t="s">
        <v>109</v>
      </c>
      <c r="G321" s="3" t="s">
        <v>174</v>
      </c>
      <c r="H321" s="3" t="s">
        <v>274</v>
      </c>
      <c r="I321" s="3">
        <v>2</v>
      </c>
      <c r="J321" s="11">
        <v>90</v>
      </c>
      <c r="K321" s="4">
        <v>0</v>
      </c>
      <c r="L321" s="3" t="s">
        <v>95</v>
      </c>
      <c r="M321" s="3">
        <v>34</v>
      </c>
      <c r="N321" s="3">
        <v>14</v>
      </c>
      <c r="O321" s="3">
        <v>4</v>
      </c>
    </row>
    <row r="322" spans="1:15" ht="20" customHeight="1">
      <c r="A322" s="3" t="s">
        <v>646</v>
      </c>
      <c r="B322" s="2">
        <v>46276</v>
      </c>
      <c r="C322" s="3">
        <v>6</v>
      </c>
      <c r="D322" s="3" t="s">
        <v>155</v>
      </c>
      <c r="E322" s="3" t="s">
        <v>91</v>
      </c>
      <c r="F322" s="3" t="s">
        <v>92</v>
      </c>
      <c r="G322" s="3" t="s">
        <v>93</v>
      </c>
      <c r="H322" s="3" t="s">
        <v>146</v>
      </c>
      <c r="I322" s="3">
        <v>3</v>
      </c>
      <c r="J322" s="11">
        <v>110</v>
      </c>
      <c r="K322" s="4">
        <v>0</v>
      </c>
      <c r="L322" s="3" t="s">
        <v>95</v>
      </c>
      <c r="M322" s="3">
        <v>30</v>
      </c>
      <c r="N322" s="3">
        <v>8</v>
      </c>
      <c r="O322" s="3">
        <v>5</v>
      </c>
    </row>
    <row r="323" spans="1:15" ht="20" customHeight="1">
      <c r="A323" s="3" t="s">
        <v>647</v>
      </c>
      <c r="B323" s="2">
        <v>46276</v>
      </c>
      <c r="C323" s="3">
        <v>8</v>
      </c>
      <c r="D323" s="3" t="s">
        <v>530</v>
      </c>
      <c r="E323" s="3" t="s">
        <v>91</v>
      </c>
      <c r="F323" s="3" t="s">
        <v>121</v>
      </c>
      <c r="G323" s="3" t="s">
        <v>122</v>
      </c>
      <c r="H323" s="3" t="s">
        <v>153</v>
      </c>
      <c r="I323" s="3">
        <v>4</v>
      </c>
      <c r="J323" s="11">
        <v>130</v>
      </c>
      <c r="K323" s="4">
        <v>0</v>
      </c>
      <c r="L323" s="3" t="s">
        <v>95</v>
      </c>
      <c r="M323" s="3">
        <v>28</v>
      </c>
      <c r="N323" s="3">
        <v>5</v>
      </c>
      <c r="O323" s="3">
        <v>5</v>
      </c>
    </row>
    <row r="324" spans="1:15" ht="20" customHeight="1">
      <c r="A324" s="3" t="s">
        <v>648</v>
      </c>
      <c r="B324" s="2">
        <v>46276</v>
      </c>
      <c r="C324" s="3">
        <v>16</v>
      </c>
      <c r="D324" s="3" t="s">
        <v>334</v>
      </c>
      <c r="E324" s="3" t="s">
        <v>91</v>
      </c>
      <c r="F324" s="3" t="s">
        <v>98</v>
      </c>
      <c r="G324" s="3" t="s">
        <v>93</v>
      </c>
      <c r="H324" s="3" t="s">
        <v>146</v>
      </c>
      <c r="I324" s="3">
        <v>1</v>
      </c>
      <c r="J324" s="11">
        <v>110</v>
      </c>
      <c r="K324" s="4">
        <v>0</v>
      </c>
      <c r="L324" s="3" t="s">
        <v>95</v>
      </c>
      <c r="M324" s="3">
        <v>25</v>
      </c>
      <c r="N324" s="3">
        <v>9</v>
      </c>
      <c r="O324" s="3">
        <v>4</v>
      </c>
    </row>
    <row r="325" spans="1:15" ht="20" customHeight="1">
      <c r="A325" s="3" t="s">
        <v>649</v>
      </c>
      <c r="B325" s="2">
        <v>46276</v>
      </c>
      <c r="C325" s="3">
        <v>9</v>
      </c>
      <c r="D325" s="3" t="s">
        <v>90</v>
      </c>
      <c r="E325" s="3" t="s">
        <v>91</v>
      </c>
      <c r="F325" s="3" t="s">
        <v>98</v>
      </c>
      <c r="G325" s="3" t="s">
        <v>99</v>
      </c>
      <c r="H325" s="3" t="s">
        <v>104</v>
      </c>
      <c r="I325" s="3">
        <v>2</v>
      </c>
      <c r="J325" s="11">
        <v>240</v>
      </c>
      <c r="K325" s="4">
        <v>0.1</v>
      </c>
      <c r="L325" s="3" t="s">
        <v>95</v>
      </c>
      <c r="M325" s="3">
        <v>22</v>
      </c>
      <c r="N325" s="3">
        <v>11</v>
      </c>
      <c r="O325" s="3">
        <v>5</v>
      </c>
    </row>
    <row r="326" spans="1:15" ht="20" customHeight="1">
      <c r="A326" s="3" t="s">
        <v>650</v>
      </c>
      <c r="B326" s="2">
        <v>46276</v>
      </c>
      <c r="C326" s="3">
        <v>13</v>
      </c>
      <c r="D326" s="3" t="s">
        <v>429</v>
      </c>
      <c r="E326" s="3" t="s">
        <v>91</v>
      </c>
      <c r="F326" s="3" t="s">
        <v>109</v>
      </c>
      <c r="G326" s="3" t="s">
        <v>135</v>
      </c>
      <c r="H326" s="3" t="s">
        <v>162</v>
      </c>
      <c r="I326" s="3">
        <v>6</v>
      </c>
      <c r="J326" s="11">
        <v>180</v>
      </c>
      <c r="K326" s="4">
        <v>0.1</v>
      </c>
      <c r="L326" s="3" t="s">
        <v>95</v>
      </c>
      <c r="M326" s="3">
        <v>28</v>
      </c>
      <c r="N326" s="3">
        <v>6</v>
      </c>
      <c r="O326" s="3">
        <v>3</v>
      </c>
    </row>
    <row r="327" spans="1:15" ht="20" customHeight="1">
      <c r="A327" s="3" t="s">
        <v>651</v>
      </c>
      <c r="B327" s="2">
        <v>46276</v>
      </c>
      <c r="C327" s="3">
        <v>19</v>
      </c>
      <c r="D327" s="3" t="s">
        <v>652</v>
      </c>
      <c r="E327" s="3" t="s">
        <v>91</v>
      </c>
      <c r="F327" s="3" t="s">
        <v>92</v>
      </c>
      <c r="G327" s="3" t="s">
        <v>110</v>
      </c>
      <c r="H327" s="3" t="s">
        <v>114</v>
      </c>
      <c r="I327" s="3">
        <v>1</v>
      </c>
      <c r="J327" s="11">
        <v>145</v>
      </c>
      <c r="K327" s="4">
        <v>0</v>
      </c>
      <c r="L327" s="3" t="s">
        <v>95</v>
      </c>
      <c r="M327" s="3">
        <v>30</v>
      </c>
      <c r="N327" s="3">
        <v>14</v>
      </c>
      <c r="O327" s="3">
        <v>5</v>
      </c>
    </row>
    <row r="328" spans="1:15" ht="20" customHeight="1">
      <c r="A328" s="3" t="s">
        <v>653</v>
      </c>
      <c r="B328" s="2">
        <v>46276</v>
      </c>
      <c r="C328" s="3">
        <v>8</v>
      </c>
      <c r="D328" s="3" t="s">
        <v>303</v>
      </c>
      <c r="E328" s="3" t="s">
        <v>91</v>
      </c>
      <c r="F328" s="3" t="s">
        <v>109</v>
      </c>
      <c r="G328" s="3" t="s">
        <v>99</v>
      </c>
      <c r="H328" s="3" t="s">
        <v>104</v>
      </c>
      <c r="I328" s="3">
        <v>1</v>
      </c>
      <c r="J328" s="11">
        <v>240</v>
      </c>
      <c r="K328" s="4">
        <v>0</v>
      </c>
      <c r="L328" s="3" t="s">
        <v>95</v>
      </c>
      <c r="M328" s="3">
        <v>20</v>
      </c>
      <c r="N328" s="3">
        <v>14</v>
      </c>
      <c r="O328" s="3">
        <v>4</v>
      </c>
    </row>
    <row r="329" spans="1:15" ht="20" customHeight="1">
      <c r="A329" s="3" t="s">
        <v>654</v>
      </c>
      <c r="B329" s="2">
        <v>46276</v>
      </c>
      <c r="C329" s="3">
        <v>22</v>
      </c>
      <c r="D329" s="3" t="s">
        <v>226</v>
      </c>
      <c r="E329" s="3" t="s">
        <v>91</v>
      </c>
      <c r="F329" s="3" t="s">
        <v>92</v>
      </c>
      <c r="G329" s="3" t="s">
        <v>174</v>
      </c>
      <c r="H329" s="3" t="s">
        <v>274</v>
      </c>
      <c r="I329" s="3">
        <v>6</v>
      </c>
      <c r="J329" s="11">
        <v>90</v>
      </c>
      <c r="K329" s="4">
        <v>0.15</v>
      </c>
      <c r="L329" s="3" t="s">
        <v>95</v>
      </c>
      <c r="M329" s="3">
        <v>16</v>
      </c>
      <c r="N329" s="3">
        <v>9</v>
      </c>
      <c r="O329" s="3">
        <v>3</v>
      </c>
    </row>
    <row r="330" spans="1:15" ht="20" customHeight="1">
      <c r="A330" s="3" t="s">
        <v>655</v>
      </c>
      <c r="B330" s="2">
        <v>46276</v>
      </c>
      <c r="C330" s="3">
        <v>23</v>
      </c>
      <c r="D330" s="3" t="s">
        <v>269</v>
      </c>
      <c r="E330" s="3" t="s">
        <v>117</v>
      </c>
      <c r="F330" s="3" t="s">
        <v>92</v>
      </c>
      <c r="G330" s="3" t="s">
        <v>99</v>
      </c>
      <c r="H330" s="3" t="s">
        <v>130</v>
      </c>
      <c r="I330" s="3">
        <v>1</v>
      </c>
      <c r="J330" s="11">
        <v>85</v>
      </c>
      <c r="K330" s="4">
        <v>0.1</v>
      </c>
      <c r="L330" s="3" t="s">
        <v>95</v>
      </c>
      <c r="M330" s="3">
        <v>18</v>
      </c>
      <c r="N330" s="3">
        <v>11</v>
      </c>
      <c r="O330" s="3">
        <v>4</v>
      </c>
    </row>
    <row r="331" spans="1:15" ht="20" customHeight="1">
      <c r="A331" s="3" t="s">
        <v>656</v>
      </c>
      <c r="B331" s="2">
        <v>46276</v>
      </c>
      <c r="C331" s="3">
        <v>9</v>
      </c>
      <c r="D331" s="3" t="s">
        <v>262</v>
      </c>
      <c r="E331" s="3" t="s">
        <v>117</v>
      </c>
      <c r="F331" s="3" t="s">
        <v>109</v>
      </c>
      <c r="G331" s="3" t="s">
        <v>93</v>
      </c>
      <c r="H331" s="3" t="s">
        <v>118</v>
      </c>
      <c r="I331" s="3">
        <v>4</v>
      </c>
      <c r="J331" s="11">
        <v>45</v>
      </c>
      <c r="K331" s="4">
        <v>0.1</v>
      </c>
      <c r="L331" s="3" t="s">
        <v>95</v>
      </c>
      <c r="M331" s="3">
        <v>13</v>
      </c>
      <c r="N331" s="3">
        <v>13</v>
      </c>
      <c r="O331" s="3">
        <v>5</v>
      </c>
    </row>
    <row r="332" spans="1:15" ht="20" customHeight="1">
      <c r="A332" s="3" t="s">
        <v>657</v>
      </c>
      <c r="B332" s="2">
        <v>46277</v>
      </c>
      <c r="C332" s="3">
        <v>13</v>
      </c>
      <c r="D332" s="3" t="s">
        <v>305</v>
      </c>
      <c r="E332" s="3" t="s">
        <v>91</v>
      </c>
      <c r="F332" s="3" t="s">
        <v>139</v>
      </c>
      <c r="G332" s="3" t="s">
        <v>93</v>
      </c>
      <c r="H332" s="3" t="s">
        <v>146</v>
      </c>
      <c r="I332" s="3">
        <v>4</v>
      </c>
      <c r="J332" s="11">
        <v>110</v>
      </c>
      <c r="K332" s="4">
        <v>0.15</v>
      </c>
      <c r="L332" s="3" t="s">
        <v>101</v>
      </c>
      <c r="M332" s="3"/>
      <c r="N332" s="3"/>
      <c r="O332" s="3"/>
    </row>
    <row r="333" spans="1:15" ht="20" customHeight="1">
      <c r="A333" s="3" t="s">
        <v>658</v>
      </c>
      <c r="B333" s="2">
        <v>46277</v>
      </c>
      <c r="C333" s="3">
        <v>6</v>
      </c>
      <c r="D333" s="3" t="s">
        <v>487</v>
      </c>
      <c r="E333" s="3" t="s">
        <v>91</v>
      </c>
      <c r="F333" s="3" t="s">
        <v>139</v>
      </c>
      <c r="G333" s="3" t="s">
        <v>174</v>
      </c>
      <c r="H333" s="3" t="s">
        <v>184</v>
      </c>
      <c r="I333" s="3">
        <v>2</v>
      </c>
      <c r="J333" s="11">
        <v>62</v>
      </c>
      <c r="K333" s="4">
        <v>0</v>
      </c>
      <c r="L333" s="3" t="s">
        <v>95</v>
      </c>
      <c r="M333" s="3">
        <v>19</v>
      </c>
      <c r="N333" s="3">
        <v>5</v>
      </c>
      <c r="O333" s="3">
        <v>4</v>
      </c>
    </row>
    <row r="334" spans="1:15" ht="20" customHeight="1">
      <c r="A334" s="3" t="s">
        <v>659</v>
      </c>
      <c r="B334" s="2">
        <v>46277</v>
      </c>
      <c r="C334" s="3">
        <v>18</v>
      </c>
      <c r="D334" s="3" t="s">
        <v>372</v>
      </c>
      <c r="E334" s="3" t="s">
        <v>117</v>
      </c>
      <c r="F334" s="3" t="s">
        <v>92</v>
      </c>
      <c r="G334" s="3" t="s">
        <v>135</v>
      </c>
      <c r="H334" s="3" t="s">
        <v>136</v>
      </c>
      <c r="I334" s="3">
        <v>5</v>
      </c>
      <c r="J334" s="11">
        <v>40</v>
      </c>
      <c r="K334" s="4">
        <v>0</v>
      </c>
      <c r="L334" s="3" t="s">
        <v>95</v>
      </c>
      <c r="M334" s="3">
        <v>25</v>
      </c>
      <c r="N334" s="3">
        <v>12</v>
      </c>
      <c r="O334" s="3">
        <v>5</v>
      </c>
    </row>
    <row r="335" spans="1:15" ht="20" customHeight="1">
      <c r="A335" s="3" t="s">
        <v>660</v>
      </c>
      <c r="B335" s="2">
        <v>46277</v>
      </c>
      <c r="C335" s="3">
        <v>8</v>
      </c>
      <c r="D335" s="3" t="s">
        <v>157</v>
      </c>
      <c r="E335" s="3" t="s">
        <v>91</v>
      </c>
      <c r="F335" s="3" t="s">
        <v>139</v>
      </c>
      <c r="G335" s="3" t="s">
        <v>93</v>
      </c>
      <c r="H335" s="3" t="s">
        <v>118</v>
      </c>
      <c r="I335" s="3">
        <v>2</v>
      </c>
      <c r="J335" s="11">
        <v>45</v>
      </c>
      <c r="K335" s="4">
        <v>0</v>
      </c>
      <c r="L335" s="3" t="s">
        <v>95</v>
      </c>
      <c r="M335" s="3">
        <v>33</v>
      </c>
      <c r="N335" s="3">
        <v>13</v>
      </c>
      <c r="O335" s="3">
        <v>4</v>
      </c>
    </row>
    <row r="336" spans="1:15" ht="20" customHeight="1">
      <c r="A336" s="3" t="s">
        <v>661</v>
      </c>
      <c r="B336" s="2">
        <v>46277</v>
      </c>
      <c r="C336" s="3">
        <v>19</v>
      </c>
      <c r="D336" s="3" t="s">
        <v>452</v>
      </c>
      <c r="E336" s="3" t="s">
        <v>91</v>
      </c>
      <c r="F336" s="3" t="s">
        <v>92</v>
      </c>
      <c r="G336" s="3" t="s">
        <v>174</v>
      </c>
      <c r="H336" s="3" t="s">
        <v>274</v>
      </c>
      <c r="I336" s="3">
        <v>3</v>
      </c>
      <c r="J336" s="11">
        <v>90</v>
      </c>
      <c r="K336" s="4">
        <v>0.1</v>
      </c>
      <c r="L336" s="3" t="s">
        <v>101</v>
      </c>
      <c r="M336" s="3"/>
      <c r="N336" s="3"/>
      <c r="O336" s="3"/>
    </row>
    <row r="337" spans="1:15" ht="20" customHeight="1">
      <c r="A337" s="3" t="s">
        <v>662</v>
      </c>
      <c r="B337" s="2">
        <v>46277</v>
      </c>
      <c r="C337" s="3">
        <v>19</v>
      </c>
      <c r="D337" s="3" t="s">
        <v>271</v>
      </c>
      <c r="E337" s="3" t="s">
        <v>91</v>
      </c>
      <c r="F337" s="3" t="s">
        <v>92</v>
      </c>
      <c r="G337" s="3" t="s">
        <v>135</v>
      </c>
      <c r="H337" s="3" t="s">
        <v>217</v>
      </c>
      <c r="I337" s="3">
        <v>2</v>
      </c>
      <c r="J337" s="11">
        <v>65</v>
      </c>
      <c r="K337" s="4">
        <v>0</v>
      </c>
      <c r="L337" s="3" t="s">
        <v>95</v>
      </c>
      <c r="M337" s="3">
        <v>27</v>
      </c>
      <c r="N337" s="3">
        <v>8</v>
      </c>
      <c r="O337" s="3">
        <v>4</v>
      </c>
    </row>
    <row r="338" spans="1:15" ht="20" customHeight="1">
      <c r="A338" s="3" t="s">
        <v>663</v>
      </c>
      <c r="B338" s="2">
        <v>46277</v>
      </c>
      <c r="C338" s="3">
        <v>19</v>
      </c>
      <c r="D338" s="3" t="s">
        <v>664</v>
      </c>
      <c r="E338" s="3" t="s">
        <v>91</v>
      </c>
      <c r="F338" s="3" t="s">
        <v>121</v>
      </c>
      <c r="G338" s="3" t="s">
        <v>122</v>
      </c>
      <c r="H338" s="3" t="s">
        <v>153</v>
      </c>
      <c r="I338" s="3">
        <v>3</v>
      </c>
      <c r="J338" s="11">
        <v>130</v>
      </c>
      <c r="K338" s="4">
        <v>0</v>
      </c>
      <c r="L338" s="3" t="s">
        <v>101</v>
      </c>
      <c r="M338" s="3"/>
      <c r="N338" s="3"/>
      <c r="O338" s="3"/>
    </row>
    <row r="339" spans="1:15" ht="20" customHeight="1">
      <c r="A339" s="3" t="s">
        <v>665</v>
      </c>
      <c r="B339" s="2">
        <v>46277</v>
      </c>
      <c r="C339" s="3">
        <v>21</v>
      </c>
      <c r="D339" s="3" t="s">
        <v>520</v>
      </c>
      <c r="E339" s="3" t="s">
        <v>91</v>
      </c>
      <c r="F339" s="3" t="s">
        <v>92</v>
      </c>
      <c r="G339" s="3" t="s">
        <v>93</v>
      </c>
      <c r="H339" s="3" t="s">
        <v>146</v>
      </c>
      <c r="I339" s="3">
        <v>5</v>
      </c>
      <c r="J339" s="11">
        <v>110</v>
      </c>
      <c r="K339" s="4">
        <v>0</v>
      </c>
      <c r="L339" s="3" t="s">
        <v>95</v>
      </c>
      <c r="M339" s="3">
        <v>32</v>
      </c>
      <c r="N339" s="3">
        <v>13</v>
      </c>
      <c r="O339" s="3">
        <v>4</v>
      </c>
    </row>
    <row r="340" spans="1:15" ht="20" customHeight="1">
      <c r="A340" s="3" t="s">
        <v>666</v>
      </c>
      <c r="B340" s="2">
        <v>46277</v>
      </c>
      <c r="C340" s="3">
        <v>7</v>
      </c>
      <c r="D340" s="3" t="s">
        <v>667</v>
      </c>
      <c r="E340" s="3" t="s">
        <v>117</v>
      </c>
      <c r="F340" s="3" t="s">
        <v>139</v>
      </c>
      <c r="G340" s="3" t="s">
        <v>135</v>
      </c>
      <c r="H340" s="3" t="s">
        <v>162</v>
      </c>
      <c r="I340" s="3">
        <v>3</v>
      </c>
      <c r="J340" s="11">
        <v>180</v>
      </c>
      <c r="K340" s="4">
        <v>0</v>
      </c>
      <c r="L340" s="3" t="s">
        <v>95</v>
      </c>
      <c r="M340" s="3">
        <v>16</v>
      </c>
      <c r="N340" s="3">
        <v>5</v>
      </c>
      <c r="O340" s="3">
        <v>5</v>
      </c>
    </row>
    <row r="341" spans="1:15" ht="20" customHeight="1">
      <c r="A341" s="3" t="s">
        <v>668</v>
      </c>
      <c r="B341" s="2">
        <v>46277</v>
      </c>
      <c r="C341" s="3">
        <v>22</v>
      </c>
      <c r="D341" s="3" t="s">
        <v>626</v>
      </c>
      <c r="E341" s="3" t="s">
        <v>91</v>
      </c>
      <c r="F341" s="3" t="s">
        <v>109</v>
      </c>
      <c r="G341" s="3" t="s">
        <v>135</v>
      </c>
      <c r="H341" s="3" t="s">
        <v>217</v>
      </c>
      <c r="I341" s="3">
        <v>2</v>
      </c>
      <c r="J341" s="11">
        <v>65</v>
      </c>
      <c r="K341" s="4">
        <v>0.05</v>
      </c>
      <c r="L341" s="3" t="s">
        <v>101</v>
      </c>
      <c r="M341" s="3"/>
      <c r="N341" s="3"/>
      <c r="O341" s="3"/>
    </row>
    <row r="342" spans="1:15" ht="20" customHeight="1">
      <c r="A342" s="3" t="s">
        <v>669</v>
      </c>
      <c r="B342" s="2">
        <v>46277</v>
      </c>
      <c r="C342" s="3">
        <v>8</v>
      </c>
      <c r="D342" s="3" t="s">
        <v>219</v>
      </c>
      <c r="E342" s="3" t="s">
        <v>91</v>
      </c>
      <c r="F342" s="3" t="s">
        <v>139</v>
      </c>
      <c r="G342" s="3" t="s">
        <v>135</v>
      </c>
      <c r="H342" s="3" t="s">
        <v>217</v>
      </c>
      <c r="I342" s="3">
        <v>5</v>
      </c>
      <c r="J342" s="11">
        <v>65</v>
      </c>
      <c r="K342" s="4">
        <v>0</v>
      </c>
      <c r="L342" s="3" t="s">
        <v>95</v>
      </c>
      <c r="M342" s="3">
        <v>20</v>
      </c>
      <c r="N342" s="3">
        <v>9</v>
      </c>
      <c r="O342" s="3">
        <v>5</v>
      </c>
    </row>
    <row r="343" spans="1:15" ht="20" customHeight="1">
      <c r="A343" s="3" t="s">
        <v>670</v>
      </c>
      <c r="B343" s="2">
        <v>46277</v>
      </c>
      <c r="C343" s="3">
        <v>20</v>
      </c>
      <c r="D343" s="3" t="s">
        <v>671</v>
      </c>
      <c r="E343" s="3" t="s">
        <v>91</v>
      </c>
      <c r="F343" s="3" t="s">
        <v>121</v>
      </c>
      <c r="G343" s="3" t="s">
        <v>135</v>
      </c>
      <c r="H343" s="3" t="s">
        <v>162</v>
      </c>
      <c r="I343" s="3">
        <v>2</v>
      </c>
      <c r="J343" s="11">
        <v>180</v>
      </c>
      <c r="K343" s="4">
        <v>0.1</v>
      </c>
      <c r="L343" s="3" t="s">
        <v>95</v>
      </c>
      <c r="M343" s="3">
        <v>17</v>
      </c>
      <c r="N343" s="3">
        <v>6</v>
      </c>
      <c r="O343" s="3">
        <v>4</v>
      </c>
    </row>
    <row r="344" spans="1:15" ht="20" customHeight="1">
      <c r="A344" s="3" t="s">
        <v>672</v>
      </c>
      <c r="B344" s="2">
        <v>46277</v>
      </c>
      <c r="C344" s="3">
        <v>9</v>
      </c>
      <c r="D344" s="3" t="s">
        <v>489</v>
      </c>
      <c r="E344" s="3" t="s">
        <v>117</v>
      </c>
      <c r="F344" s="3" t="s">
        <v>92</v>
      </c>
      <c r="G344" s="3" t="s">
        <v>93</v>
      </c>
      <c r="H344" s="3" t="s">
        <v>94</v>
      </c>
      <c r="I344" s="3">
        <v>4</v>
      </c>
      <c r="J344" s="11">
        <v>95</v>
      </c>
      <c r="K344" s="4">
        <v>0</v>
      </c>
      <c r="L344" s="3" t="s">
        <v>95</v>
      </c>
      <c r="M344" s="3">
        <v>23</v>
      </c>
      <c r="N344" s="3">
        <v>13</v>
      </c>
      <c r="O344" s="3">
        <v>5</v>
      </c>
    </row>
    <row r="345" spans="1:15" ht="20" customHeight="1">
      <c r="A345" s="3" t="s">
        <v>673</v>
      </c>
      <c r="B345" s="2">
        <v>46277</v>
      </c>
      <c r="C345" s="3">
        <v>18</v>
      </c>
      <c r="D345" s="3" t="s">
        <v>394</v>
      </c>
      <c r="E345" s="3" t="s">
        <v>91</v>
      </c>
      <c r="F345" s="3" t="s">
        <v>98</v>
      </c>
      <c r="G345" s="3" t="s">
        <v>99</v>
      </c>
      <c r="H345" s="3" t="s">
        <v>104</v>
      </c>
      <c r="I345" s="3">
        <v>4</v>
      </c>
      <c r="J345" s="11">
        <v>240</v>
      </c>
      <c r="K345" s="4">
        <v>0.1</v>
      </c>
      <c r="L345" s="3" t="s">
        <v>95</v>
      </c>
      <c r="M345" s="3">
        <v>36</v>
      </c>
      <c r="N345" s="3">
        <v>6</v>
      </c>
      <c r="O345" s="3">
        <v>4</v>
      </c>
    </row>
    <row r="346" spans="1:15" ht="20" customHeight="1">
      <c r="A346" s="3" t="s">
        <v>674</v>
      </c>
      <c r="B346" s="2">
        <v>46277</v>
      </c>
      <c r="C346" s="3">
        <v>17</v>
      </c>
      <c r="D346" s="3" t="s">
        <v>388</v>
      </c>
      <c r="E346" s="3" t="s">
        <v>91</v>
      </c>
      <c r="F346" s="3" t="s">
        <v>121</v>
      </c>
      <c r="G346" s="3" t="s">
        <v>93</v>
      </c>
      <c r="H346" s="3" t="s">
        <v>94</v>
      </c>
      <c r="I346" s="3">
        <v>4</v>
      </c>
      <c r="J346" s="11">
        <v>95</v>
      </c>
      <c r="K346" s="4">
        <v>0.1</v>
      </c>
      <c r="L346" s="3" t="s">
        <v>95</v>
      </c>
      <c r="M346" s="3">
        <v>27</v>
      </c>
      <c r="N346" s="3">
        <v>14</v>
      </c>
      <c r="O346" s="3">
        <v>5</v>
      </c>
    </row>
    <row r="347" spans="1:15" ht="20" customHeight="1">
      <c r="A347" s="3" t="s">
        <v>675</v>
      </c>
      <c r="B347" s="2">
        <v>46277</v>
      </c>
      <c r="C347" s="3">
        <v>21</v>
      </c>
      <c r="D347" s="3" t="s">
        <v>394</v>
      </c>
      <c r="E347" s="3" t="s">
        <v>91</v>
      </c>
      <c r="F347" s="3" t="s">
        <v>121</v>
      </c>
      <c r="G347" s="3" t="s">
        <v>93</v>
      </c>
      <c r="H347" s="3" t="s">
        <v>118</v>
      </c>
      <c r="I347" s="3">
        <v>5</v>
      </c>
      <c r="J347" s="11">
        <v>45</v>
      </c>
      <c r="K347" s="4">
        <v>0</v>
      </c>
      <c r="L347" s="3" t="s">
        <v>95</v>
      </c>
      <c r="M347" s="3">
        <v>21</v>
      </c>
      <c r="N347" s="3">
        <v>8</v>
      </c>
      <c r="O347" s="3">
        <v>4</v>
      </c>
    </row>
    <row r="348" spans="1:15" ht="20" customHeight="1">
      <c r="A348" s="3" t="s">
        <v>676</v>
      </c>
      <c r="B348" s="2">
        <v>46277</v>
      </c>
      <c r="C348" s="3">
        <v>17</v>
      </c>
      <c r="D348" s="3" t="s">
        <v>677</v>
      </c>
      <c r="E348" s="3" t="s">
        <v>117</v>
      </c>
      <c r="F348" s="3" t="s">
        <v>92</v>
      </c>
      <c r="G348" s="3" t="s">
        <v>110</v>
      </c>
      <c r="H348" s="3" t="s">
        <v>114</v>
      </c>
      <c r="I348" s="3">
        <v>1</v>
      </c>
      <c r="J348" s="11">
        <v>145</v>
      </c>
      <c r="K348" s="4">
        <v>0</v>
      </c>
      <c r="L348" s="3" t="s">
        <v>95</v>
      </c>
      <c r="M348" s="3">
        <v>12</v>
      </c>
      <c r="N348" s="3">
        <v>7</v>
      </c>
      <c r="O348" s="3">
        <v>5</v>
      </c>
    </row>
    <row r="349" spans="1:15" ht="20" customHeight="1">
      <c r="A349" s="3" t="s">
        <v>678</v>
      </c>
      <c r="B349" s="2">
        <v>46277</v>
      </c>
      <c r="C349" s="3">
        <v>18</v>
      </c>
      <c r="D349" s="3" t="s">
        <v>468</v>
      </c>
      <c r="E349" s="3" t="s">
        <v>117</v>
      </c>
      <c r="F349" s="3" t="s">
        <v>109</v>
      </c>
      <c r="G349" s="3" t="s">
        <v>93</v>
      </c>
      <c r="H349" s="3" t="s">
        <v>94</v>
      </c>
      <c r="I349" s="3">
        <v>1</v>
      </c>
      <c r="J349" s="11">
        <v>95</v>
      </c>
      <c r="K349" s="4">
        <v>0</v>
      </c>
      <c r="L349" s="3" t="s">
        <v>95</v>
      </c>
      <c r="M349" s="3">
        <v>15</v>
      </c>
      <c r="N349" s="3">
        <v>4</v>
      </c>
      <c r="O349" s="3">
        <v>5</v>
      </c>
    </row>
    <row r="350" spans="1:15" ht="20" customHeight="1">
      <c r="A350" s="3" t="s">
        <v>679</v>
      </c>
      <c r="B350" s="2">
        <v>46277</v>
      </c>
      <c r="C350" s="3">
        <v>21</v>
      </c>
      <c r="D350" s="3" t="s">
        <v>372</v>
      </c>
      <c r="E350" s="3" t="s">
        <v>117</v>
      </c>
      <c r="F350" s="3" t="s">
        <v>98</v>
      </c>
      <c r="G350" s="3" t="s">
        <v>99</v>
      </c>
      <c r="H350" s="3" t="s">
        <v>100</v>
      </c>
      <c r="I350" s="3">
        <v>5</v>
      </c>
      <c r="J350" s="11">
        <v>120</v>
      </c>
      <c r="K350" s="4">
        <v>0</v>
      </c>
      <c r="L350" s="3" t="s">
        <v>95</v>
      </c>
      <c r="M350" s="3">
        <v>25</v>
      </c>
      <c r="N350" s="3">
        <v>13</v>
      </c>
      <c r="O350" s="3">
        <v>4</v>
      </c>
    </row>
    <row r="351" spans="1:15" ht="20" customHeight="1">
      <c r="A351" s="3" t="s">
        <v>680</v>
      </c>
      <c r="B351" s="2">
        <v>46277</v>
      </c>
      <c r="C351" s="3">
        <v>22</v>
      </c>
      <c r="D351" s="3" t="s">
        <v>681</v>
      </c>
      <c r="E351" s="3" t="s">
        <v>91</v>
      </c>
      <c r="F351" s="3" t="s">
        <v>121</v>
      </c>
      <c r="G351" s="3" t="s">
        <v>122</v>
      </c>
      <c r="H351" s="3" t="s">
        <v>123</v>
      </c>
      <c r="I351" s="3">
        <v>1</v>
      </c>
      <c r="J351" s="11">
        <v>45</v>
      </c>
      <c r="K351" s="4">
        <v>0</v>
      </c>
      <c r="L351" s="3" t="s">
        <v>95</v>
      </c>
      <c r="M351" s="3">
        <v>28</v>
      </c>
      <c r="N351" s="3">
        <v>4</v>
      </c>
      <c r="O351" s="3">
        <v>5</v>
      </c>
    </row>
    <row r="352" spans="1:15" ht="20" customHeight="1">
      <c r="A352" s="3" t="s">
        <v>682</v>
      </c>
      <c r="B352" s="2">
        <v>46277</v>
      </c>
      <c r="C352" s="3">
        <v>12</v>
      </c>
      <c r="D352" s="3" t="s">
        <v>683</v>
      </c>
      <c r="E352" s="3" t="s">
        <v>117</v>
      </c>
      <c r="F352" s="3" t="s">
        <v>139</v>
      </c>
      <c r="G352" s="3" t="s">
        <v>122</v>
      </c>
      <c r="H352" s="3" t="s">
        <v>214</v>
      </c>
      <c r="I352" s="3">
        <v>3</v>
      </c>
      <c r="J352" s="11">
        <v>55</v>
      </c>
      <c r="K352" s="4">
        <v>0</v>
      </c>
      <c r="L352" s="3" t="s">
        <v>95</v>
      </c>
      <c r="M352" s="3">
        <v>18</v>
      </c>
      <c r="N352" s="3">
        <v>14</v>
      </c>
      <c r="O352" s="3">
        <v>5</v>
      </c>
    </row>
    <row r="353" spans="1:15" ht="20" customHeight="1">
      <c r="A353" s="3" t="s">
        <v>684</v>
      </c>
      <c r="B353" s="2">
        <v>46277</v>
      </c>
      <c r="C353" s="3">
        <v>17</v>
      </c>
      <c r="D353" s="3" t="s">
        <v>388</v>
      </c>
      <c r="E353" s="3" t="s">
        <v>91</v>
      </c>
      <c r="F353" s="3" t="s">
        <v>92</v>
      </c>
      <c r="G353" s="3" t="s">
        <v>93</v>
      </c>
      <c r="H353" s="3" t="s">
        <v>146</v>
      </c>
      <c r="I353" s="3">
        <v>3</v>
      </c>
      <c r="J353" s="11">
        <v>110</v>
      </c>
      <c r="K353" s="4">
        <v>0</v>
      </c>
      <c r="L353" s="3" t="s">
        <v>95</v>
      </c>
      <c r="M353" s="3">
        <v>35</v>
      </c>
      <c r="N353" s="3">
        <v>11</v>
      </c>
      <c r="O353" s="3">
        <v>5</v>
      </c>
    </row>
    <row r="354" spans="1:15" ht="20" customHeight="1">
      <c r="A354" s="3" t="s">
        <v>685</v>
      </c>
      <c r="B354" s="2">
        <v>46277</v>
      </c>
      <c r="C354" s="3">
        <v>12</v>
      </c>
      <c r="D354" s="3" t="s">
        <v>508</v>
      </c>
      <c r="E354" s="3" t="s">
        <v>117</v>
      </c>
      <c r="F354" s="3" t="s">
        <v>121</v>
      </c>
      <c r="G354" s="3" t="s">
        <v>122</v>
      </c>
      <c r="H354" s="3" t="s">
        <v>123</v>
      </c>
      <c r="I354" s="3">
        <v>1</v>
      </c>
      <c r="J354" s="11">
        <v>45</v>
      </c>
      <c r="K354" s="4">
        <v>0.05</v>
      </c>
      <c r="L354" s="3" t="s">
        <v>95</v>
      </c>
      <c r="M354" s="3">
        <v>32</v>
      </c>
      <c r="N354" s="3">
        <v>14</v>
      </c>
      <c r="O354" s="3">
        <v>4</v>
      </c>
    </row>
    <row r="355" spans="1:15" ht="20" customHeight="1">
      <c r="A355" s="3" t="s">
        <v>686</v>
      </c>
      <c r="B355" s="2">
        <v>46277</v>
      </c>
      <c r="C355" s="3">
        <v>11</v>
      </c>
      <c r="D355" s="3" t="s">
        <v>687</v>
      </c>
      <c r="E355" s="3" t="s">
        <v>91</v>
      </c>
      <c r="F355" s="3" t="s">
        <v>121</v>
      </c>
      <c r="G355" s="3" t="s">
        <v>93</v>
      </c>
      <c r="H355" s="3" t="s">
        <v>118</v>
      </c>
      <c r="I355" s="3">
        <v>3</v>
      </c>
      <c r="J355" s="11">
        <v>45</v>
      </c>
      <c r="K355" s="4">
        <v>0.15</v>
      </c>
      <c r="L355" s="3" t="s">
        <v>95</v>
      </c>
      <c r="M355" s="3">
        <v>37</v>
      </c>
      <c r="N355" s="3">
        <v>5</v>
      </c>
      <c r="O355" s="3">
        <v>5</v>
      </c>
    </row>
    <row r="356" spans="1:15" ht="20" customHeight="1">
      <c r="A356" s="3" t="s">
        <v>688</v>
      </c>
      <c r="B356" s="2">
        <v>46277</v>
      </c>
      <c r="C356" s="3">
        <v>22</v>
      </c>
      <c r="D356" s="3" t="s">
        <v>689</v>
      </c>
      <c r="E356" s="3" t="s">
        <v>91</v>
      </c>
      <c r="F356" s="3" t="s">
        <v>109</v>
      </c>
      <c r="G356" s="3" t="s">
        <v>135</v>
      </c>
      <c r="H356" s="3" t="s">
        <v>162</v>
      </c>
      <c r="I356" s="3">
        <v>3</v>
      </c>
      <c r="J356" s="11">
        <v>180</v>
      </c>
      <c r="K356" s="4">
        <v>0</v>
      </c>
      <c r="L356" s="3" t="s">
        <v>95</v>
      </c>
      <c r="M356" s="3">
        <v>31</v>
      </c>
      <c r="N356" s="3">
        <v>8</v>
      </c>
      <c r="O356" s="3">
        <v>5</v>
      </c>
    </row>
    <row r="357" spans="1:15" ht="20" customHeight="1">
      <c r="A357" s="3" t="s">
        <v>690</v>
      </c>
      <c r="B357" s="2">
        <v>46277</v>
      </c>
      <c r="C357" s="3">
        <v>18</v>
      </c>
      <c r="D357" s="3" t="s">
        <v>589</v>
      </c>
      <c r="E357" s="3" t="s">
        <v>91</v>
      </c>
      <c r="F357" s="3" t="s">
        <v>139</v>
      </c>
      <c r="G357" s="3" t="s">
        <v>110</v>
      </c>
      <c r="H357" s="3" t="s">
        <v>206</v>
      </c>
      <c r="I357" s="3">
        <v>3</v>
      </c>
      <c r="J357" s="11">
        <v>220</v>
      </c>
      <c r="K357" s="4">
        <v>0</v>
      </c>
      <c r="L357" s="3" t="s">
        <v>95</v>
      </c>
      <c r="M357" s="3">
        <v>23</v>
      </c>
      <c r="N357" s="3">
        <v>7</v>
      </c>
      <c r="O357" s="3">
        <v>5</v>
      </c>
    </row>
    <row r="358" spans="1:15" ht="20" customHeight="1">
      <c r="A358" s="3" t="s">
        <v>691</v>
      </c>
      <c r="B358" s="2">
        <v>46277</v>
      </c>
      <c r="C358" s="3">
        <v>17</v>
      </c>
      <c r="D358" s="3" t="s">
        <v>624</v>
      </c>
      <c r="E358" s="3" t="s">
        <v>91</v>
      </c>
      <c r="F358" s="3" t="s">
        <v>98</v>
      </c>
      <c r="G358" s="3" t="s">
        <v>135</v>
      </c>
      <c r="H358" s="3" t="s">
        <v>136</v>
      </c>
      <c r="I358" s="3">
        <v>2</v>
      </c>
      <c r="J358" s="11">
        <v>40</v>
      </c>
      <c r="K358" s="4">
        <v>0.15</v>
      </c>
      <c r="L358" s="3" t="s">
        <v>95</v>
      </c>
      <c r="M358" s="3">
        <v>25</v>
      </c>
      <c r="N358" s="3">
        <v>6</v>
      </c>
      <c r="O358" s="3">
        <v>5</v>
      </c>
    </row>
    <row r="359" spans="1:15" ht="20" customHeight="1">
      <c r="A359" s="3" t="s">
        <v>692</v>
      </c>
      <c r="B359" s="2">
        <v>46277</v>
      </c>
      <c r="C359" s="3">
        <v>18</v>
      </c>
      <c r="D359" s="3" t="s">
        <v>693</v>
      </c>
      <c r="E359" s="3" t="s">
        <v>91</v>
      </c>
      <c r="F359" s="3" t="s">
        <v>139</v>
      </c>
      <c r="G359" s="3" t="s">
        <v>93</v>
      </c>
      <c r="H359" s="3" t="s">
        <v>146</v>
      </c>
      <c r="I359" s="3">
        <v>2</v>
      </c>
      <c r="J359" s="11">
        <v>110</v>
      </c>
      <c r="K359" s="4">
        <v>0.15</v>
      </c>
      <c r="L359" s="3" t="s">
        <v>95</v>
      </c>
      <c r="M359" s="3">
        <v>16</v>
      </c>
      <c r="N359" s="3">
        <v>11</v>
      </c>
      <c r="O359" s="3">
        <v>3</v>
      </c>
    </row>
    <row r="360" spans="1:15" ht="20" customHeight="1">
      <c r="A360" s="3" t="s">
        <v>694</v>
      </c>
      <c r="B360" s="2">
        <v>46277</v>
      </c>
      <c r="C360" s="3">
        <v>12</v>
      </c>
      <c r="D360" s="3" t="s">
        <v>695</v>
      </c>
      <c r="E360" s="3" t="s">
        <v>117</v>
      </c>
      <c r="F360" s="3" t="s">
        <v>109</v>
      </c>
      <c r="G360" s="3" t="s">
        <v>110</v>
      </c>
      <c r="H360" s="3" t="s">
        <v>114</v>
      </c>
      <c r="I360" s="3">
        <v>6</v>
      </c>
      <c r="J360" s="11">
        <v>145</v>
      </c>
      <c r="K360" s="4">
        <v>0.05</v>
      </c>
      <c r="L360" s="3" t="s">
        <v>95</v>
      </c>
      <c r="M360" s="3">
        <v>35</v>
      </c>
      <c r="N360" s="3">
        <v>10</v>
      </c>
      <c r="O360" s="3">
        <v>4</v>
      </c>
    </row>
    <row r="361" spans="1:15" ht="20" customHeight="1">
      <c r="A361" s="3" t="s">
        <v>696</v>
      </c>
      <c r="B361" s="2">
        <v>46277</v>
      </c>
      <c r="C361" s="3">
        <v>12</v>
      </c>
      <c r="D361" s="3" t="s">
        <v>259</v>
      </c>
      <c r="E361" s="3" t="s">
        <v>91</v>
      </c>
      <c r="F361" s="3" t="s">
        <v>98</v>
      </c>
      <c r="G361" s="3" t="s">
        <v>122</v>
      </c>
      <c r="H361" s="3" t="s">
        <v>153</v>
      </c>
      <c r="I361" s="3">
        <v>4</v>
      </c>
      <c r="J361" s="11">
        <v>130</v>
      </c>
      <c r="K361" s="4">
        <v>0</v>
      </c>
      <c r="L361" s="3" t="s">
        <v>95</v>
      </c>
      <c r="M361" s="3">
        <v>19</v>
      </c>
      <c r="N361" s="3">
        <v>9</v>
      </c>
      <c r="O361" s="3">
        <v>5</v>
      </c>
    </row>
    <row r="362" spans="1:15" ht="20" customHeight="1">
      <c r="A362" s="3" t="s">
        <v>697</v>
      </c>
      <c r="B362" s="2">
        <v>46278</v>
      </c>
      <c r="C362" s="3">
        <v>8</v>
      </c>
      <c r="D362" s="3" t="s">
        <v>378</v>
      </c>
      <c r="E362" s="3" t="s">
        <v>117</v>
      </c>
      <c r="F362" s="3" t="s">
        <v>1312</v>
      </c>
      <c r="G362" s="3" t="s">
        <v>110</v>
      </c>
      <c r="H362" s="3" t="s">
        <v>114</v>
      </c>
      <c r="I362" s="3">
        <v>3</v>
      </c>
      <c r="J362" s="11">
        <v>145</v>
      </c>
      <c r="K362" s="4">
        <v>0.05</v>
      </c>
      <c r="L362" s="3" t="s">
        <v>1311</v>
      </c>
      <c r="M362" s="3">
        <v>28</v>
      </c>
      <c r="N362" s="3">
        <v>5</v>
      </c>
      <c r="O362" s="3">
        <v>4</v>
      </c>
    </row>
    <row r="363" spans="1:15" ht="20" customHeight="1">
      <c r="A363" s="3" t="s">
        <v>698</v>
      </c>
      <c r="B363" s="2">
        <v>46278</v>
      </c>
      <c r="C363" s="3">
        <v>9</v>
      </c>
      <c r="D363" s="3" t="s">
        <v>293</v>
      </c>
      <c r="E363" s="3" t="s">
        <v>91</v>
      </c>
      <c r="F363" s="3" t="s">
        <v>92</v>
      </c>
      <c r="G363" s="3" t="s">
        <v>122</v>
      </c>
      <c r="H363" s="3" t="s">
        <v>153</v>
      </c>
      <c r="I363" s="3">
        <v>2</v>
      </c>
      <c r="J363" s="11">
        <v>130</v>
      </c>
      <c r="K363" s="4">
        <v>0</v>
      </c>
      <c r="L363" s="3" t="s">
        <v>95</v>
      </c>
      <c r="M363" s="3">
        <v>36</v>
      </c>
      <c r="N363" s="3">
        <v>6</v>
      </c>
      <c r="O363" s="3">
        <v>4</v>
      </c>
    </row>
    <row r="364" spans="1:15" ht="20" customHeight="1">
      <c r="A364" s="3" t="s">
        <v>699</v>
      </c>
      <c r="B364" s="2">
        <v>46278</v>
      </c>
      <c r="C364" s="3">
        <v>19</v>
      </c>
      <c r="D364" s="3" t="s">
        <v>477</v>
      </c>
      <c r="E364" s="3" t="s">
        <v>91</v>
      </c>
      <c r="F364" s="3" t="s">
        <v>92</v>
      </c>
      <c r="G364" s="3" t="s">
        <v>174</v>
      </c>
      <c r="H364" s="3" t="s">
        <v>274</v>
      </c>
      <c r="I364" s="3">
        <v>3</v>
      </c>
      <c r="J364" s="11">
        <v>90</v>
      </c>
      <c r="K364" s="4">
        <v>0.05</v>
      </c>
      <c r="L364" s="3" t="s">
        <v>95</v>
      </c>
      <c r="M364" s="3">
        <v>29</v>
      </c>
      <c r="N364" s="3">
        <v>10</v>
      </c>
      <c r="O364" s="3">
        <v>3</v>
      </c>
    </row>
    <row r="365" spans="1:15" ht="20" customHeight="1">
      <c r="A365" s="3" t="s">
        <v>700</v>
      </c>
      <c r="B365" s="2">
        <v>46278</v>
      </c>
      <c r="C365" s="3">
        <v>18</v>
      </c>
      <c r="D365" s="3" t="s">
        <v>197</v>
      </c>
      <c r="E365" s="3" t="s">
        <v>91</v>
      </c>
      <c r="F365" s="3" t="s">
        <v>139</v>
      </c>
      <c r="G365" s="3" t="s">
        <v>174</v>
      </c>
      <c r="H365" s="3" t="s">
        <v>184</v>
      </c>
      <c r="I365" s="3">
        <v>1</v>
      </c>
      <c r="J365" s="11">
        <v>62</v>
      </c>
      <c r="K365" s="4">
        <v>0.15</v>
      </c>
      <c r="L365" s="3" t="s">
        <v>95</v>
      </c>
      <c r="M365" s="3">
        <v>28</v>
      </c>
      <c r="N365" s="3">
        <v>4</v>
      </c>
      <c r="O365" s="3">
        <v>4</v>
      </c>
    </row>
    <row r="366" spans="1:15" ht="20" customHeight="1">
      <c r="A366" s="3" t="s">
        <v>701</v>
      </c>
      <c r="B366" s="2">
        <v>46278</v>
      </c>
      <c r="C366" s="3">
        <v>10</v>
      </c>
      <c r="D366" s="3" t="s">
        <v>349</v>
      </c>
      <c r="E366" s="3" t="s">
        <v>117</v>
      </c>
      <c r="F366" s="3" t="s">
        <v>109</v>
      </c>
      <c r="G366" s="3" t="s">
        <v>122</v>
      </c>
      <c r="H366" s="3" t="s">
        <v>153</v>
      </c>
      <c r="I366" s="3">
        <v>6</v>
      </c>
      <c r="J366" s="11">
        <v>130</v>
      </c>
      <c r="K366" s="4">
        <v>0.15</v>
      </c>
      <c r="L366" s="3" t="s">
        <v>95</v>
      </c>
      <c r="M366" s="3">
        <v>28</v>
      </c>
      <c r="N366" s="3">
        <v>4</v>
      </c>
      <c r="O366" s="3">
        <v>4</v>
      </c>
    </row>
    <row r="367" spans="1:15" ht="20" customHeight="1">
      <c r="A367" s="3" t="s">
        <v>702</v>
      </c>
      <c r="B367" s="2">
        <v>46278</v>
      </c>
      <c r="C367" s="3">
        <v>12</v>
      </c>
      <c r="D367" s="3" t="s">
        <v>703</v>
      </c>
      <c r="E367" s="3" t="s">
        <v>117</v>
      </c>
      <c r="F367" s="3" t="s">
        <v>98</v>
      </c>
      <c r="G367" s="3" t="s">
        <v>135</v>
      </c>
      <c r="H367" s="3" t="s">
        <v>162</v>
      </c>
      <c r="I367" s="3">
        <v>6</v>
      </c>
      <c r="J367" s="11">
        <v>180</v>
      </c>
      <c r="K367" s="4">
        <v>0.15</v>
      </c>
      <c r="L367" s="3" t="s">
        <v>95</v>
      </c>
      <c r="M367" s="3">
        <v>28</v>
      </c>
      <c r="N367" s="3">
        <v>8</v>
      </c>
      <c r="O367" s="3">
        <v>4</v>
      </c>
    </row>
    <row r="368" spans="1:15" ht="20" customHeight="1">
      <c r="A368" s="3" t="s">
        <v>704</v>
      </c>
      <c r="B368" s="2">
        <v>46278</v>
      </c>
      <c r="C368" s="3">
        <v>12</v>
      </c>
      <c r="D368" s="3" t="s">
        <v>378</v>
      </c>
      <c r="E368" s="3" t="s">
        <v>117</v>
      </c>
      <c r="F368" s="3" t="s">
        <v>109</v>
      </c>
      <c r="G368" s="3" t="s">
        <v>135</v>
      </c>
      <c r="H368" s="3" t="s">
        <v>217</v>
      </c>
      <c r="I368" s="3">
        <v>5</v>
      </c>
      <c r="J368" s="11">
        <v>65</v>
      </c>
      <c r="K368" s="4">
        <v>0</v>
      </c>
      <c r="L368" s="3" t="s">
        <v>95</v>
      </c>
      <c r="M368" s="3">
        <v>14</v>
      </c>
      <c r="N368" s="3">
        <v>7</v>
      </c>
      <c r="O368" s="3">
        <v>4</v>
      </c>
    </row>
    <row r="369" spans="1:15" ht="20" customHeight="1">
      <c r="A369" s="3" t="s">
        <v>705</v>
      </c>
      <c r="B369" s="2">
        <v>46278</v>
      </c>
      <c r="C369" s="3">
        <v>6</v>
      </c>
      <c r="D369" s="3" t="s">
        <v>499</v>
      </c>
      <c r="E369" s="3" t="s">
        <v>91</v>
      </c>
      <c r="F369" s="3" t="s">
        <v>109</v>
      </c>
      <c r="G369" s="3" t="s">
        <v>122</v>
      </c>
      <c r="H369" s="3" t="s">
        <v>214</v>
      </c>
      <c r="I369" s="3">
        <v>4</v>
      </c>
      <c r="J369" s="11">
        <v>55</v>
      </c>
      <c r="K369" s="4">
        <v>0</v>
      </c>
      <c r="L369" s="3" t="s">
        <v>95</v>
      </c>
      <c r="M369" s="3">
        <v>25</v>
      </c>
      <c r="N369" s="3">
        <v>7</v>
      </c>
      <c r="O369" s="3">
        <v>4</v>
      </c>
    </row>
    <row r="370" spans="1:15" ht="20" customHeight="1">
      <c r="A370" s="3" t="s">
        <v>706</v>
      </c>
      <c r="B370" s="2">
        <v>46278</v>
      </c>
      <c r="C370" s="3">
        <v>11</v>
      </c>
      <c r="D370" s="3" t="s">
        <v>150</v>
      </c>
      <c r="E370" s="3" t="s">
        <v>91</v>
      </c>
      <c r="F370" s="3" t="s">
        <v>109</v>
      </c>
      <c r="G370" s="3" t="s">
        <v>135</v>
      </c>
      <c r="H370" s="3" t="s">
        <v>162</v>
      </c>
      <c r="I370" s="3">
        <v>3</v>
      </c>
      <c r="J370" s="11">
        <v>180</v>
      </c>
      <c r="K370" s="4">
        <v>0</v>
      </c>
      <c r="L370" s="3" t="s">
        <v>95</v>
      </c>
      <c r="M370" s="3">
        <v>16</v>
      </c>
      <c r="N370" s="3">
        <v>5</v>
      </c>
      <c r="O370" s="3">
        <v>3</v>
      </c>
    </row>
    <row r="371" spans="1:15" ht="20" customHeight="1">
      <c r="A371" s="3" t="s">
        <v>707</v>
      </c>
      <c r="B371" s="2">
        <v>46278</v>
      </c>
      <c r="C371" s="3">
        <v>12</v>
      </c>
      <c r="D371" s="3" t="s">
        <v>708</v>
      </c>
      <c r="E371" s="3" t="s">
        <v>117</v>
      </c>
      <c r="F371" s="3" t="s">
        <v>109</v>
      </c>
      <c r="G371" s="3" t="s">
        <v>122</v>
      </c>
      <c r="H371" s="3" t="s">
        <v>153</v>
      </c>
      <c r="I371" s="3">
        <v>1</v>
      </c>
      <c r="J371" s="11">
        <v>130</v>
      </c>
      <c r="K371" s="4">
        <v>0</v>
      </c>
      <c r="L371" s="3" t="s">
        <v>95</v>
      </c>
      <c r="M371" s="3">
        <v>20</v>
      </c>
      <c r="N371" s="3">
        <v>6</v>
      </c>
      <c r="O371" s="3">
        <v>5</v>
      </c>
    </row>
    <row r="372" spans="1:15" ht="20" customHeight="1">
      <c r="A372" s="3" t="s">
        <v>709</v>
      </c>
      <c r="B372" s="2">
        <v>46278</v>
      </c>
      <c r="C372" s="3">
        <v>21</v>
      </c>
      <c r="D372" s="3" t="s">
        <v>157</v>
      </c>
      <c r="E372" s="3" t="s">
        <v>91</v>
      </c>
      <c r="F372" s="3" t="s">
        <v>92</v>
      </c>
      <c r="G372" s="3" t="s">
        <v>99</v>
      </c>
      <c r="H372" s="3" t="s">
        <v>100</v>
      </c>
      <c r="I372" s="3">
        <v>4</v>
      </c>
      <c r="J372" s="11">
        <v>120</v>
      </c>
      <c r="K372" s="4">
        <v>0.05</v>
      </c>
      <c r="L372" s="3" t="s">
        <v>101</v>
      </c>
      <c r="M372" s="3"/>
      <c r="N372" s="3"/>
      <c r="O372" s="3"/>
    </row>
    <row r="373" spans="1:15" ht="20" customHeight="1">
      <c r="A373" s="3" t="s">
        <v>710</v>
      </c>
      <c r="B373" s="2">
        <v>46278</v>
      </c>
      <c r="C373" s="3">
        <v>6</v>
      </c>
      <c r="D373" s="3" t="s">
        <v>353</v>
      </c>
      <c r="E373" s="3" t="s">
        <v>91</v>
      </c>
      <c r="F373" s="3" t="s">
        <v>98</v>
      </c>
      <c r="G373" s="3" t="s">
        <v>174</v>
      </c>
      <c r="H373" s="3" t="s">
        <v>184</v>
      </c>
      <c r="I373" s="3">
        <v>1</v>
      </c>
      <c r="J373" s="11">
        <v>62</v>
      </c>
      <c r="K373" s="4">
        <v>0</v>
      </c>
      <c r="L373" s="3" t="s">
        <v>95</v>
      </c>
      <c r="M373" s="3">
        <v>16</v>
      </c>
      <c r="N373" s="3">
        <v>13</v>
      </c>
      <c r="O373" s="3">
        <v>5</v>
      </c>
    </row>
    <row r="374" spans="1:15" ht="20" customHeight="1">
      <c r="A374" s="3" t="s">
        <v>711</v>
      </c>
      <c r="B374" s="2">
        <v>46278</v>
      </c>
      <c r="C374" s="3">
        <v>19</v>
      </c>
      <c r="D374" s="3" t="s">
        <v>132</v>
      </c>
      <c r="E374" s="3" t="s">
        <v>91</v>
      </c>
      <c r="F374" s="3" t="s">
        <v>109</v>
      </c>
      <c r="G374" s="3" t="s">
        <v>99</v>
      </c>
      <c r="H374" s="3" t="s">
        <v>104</v>
      </c>
      <c r="I374" s="3">
        <v>1</v>
      </c>
      <c r="J374" s="11">
        <v>240</v>
      </c>
      <c r="K374" s="4">
        <v>0</v>
      </c>
      <c r="L374" s="3" t="s">
        <v>95</v>
      </c>
      <c r="M374" s="3">
        <v>15</v>
      </c>
      <c r="N374" s="3">
        <v>10</v>
      </c>
      <c r="O374" s="3">
        <v>4</v>
      </c>
    </row>
    <row r="375" spans="1:15" ht="20" customHeight="1">
      <c r="A375" s="3" t="s">
        <v>712</v>
      </c>
      <c r="B375" s="2">
        <v>46278</v>
      </c>
      <c r="C375" s="3">
        <v>17</v>
      </c>
      <c r="D375" s="3" t="s">
        <v>713</v>
      </c>
      <c r="E375" s="3" t="s">
        <v>91</v>
      </c>
      <c r="F375" s="3" t="s">
        <v>98</v>
      </c>
      <c r="G375" s="3" t="s">
        <v>99</v>
      </c>
      <c r="H375" s="3" t="s">
        <v>130</v>
      </c>
      <c r="I375" s="3">
        <v>2</v>
      </c>
      <c r="J375" s="11">
        <v>85</v>
      </c>
      <c r="K375" s="4">
        <v>0.15</v>
      </c>
      <c r="L375" s="3" t="s">
        <v>95</v>
      </c>
      <c r="M375" s="3">
        <v>30</v>
      </c>
      <c r="N375" s="3">
        <v>11</v>
      </c>
      <c r="O375" s="3">
        <v>3</v>
      </c>
    </row>
    <row r="376" spans="1:15" ht="20" customHeight="1">
      <c r="A376" s="3" t="s">
        <v>714</v>
      </c>
      <c r="B376" s="2">
        <v>46278</v>
      </c>
      <c r="C376" s="3">
        <v>7</v>
      </c>
      <c r="D376" s="3" t="s">
        <v>374</v>
      </c>
      <c r="E376" s="3" t="s">
        <v>91</v>
      </c>
      <c r="F376" s="3" t="s">
        <v>109</v>
      </c>
      <c r="G376" s="3" t="s">
        <v>93</v>
      </c>
      <c r="H376" s="3" t="s">
        <v>94</v>
      </c>
      <c r="I376" s="3">
        <v>6</v>
      </c>
      <c r="J376" s="11">
        <v>95</v>
      </c>
      <c r="K376" s="4">
        <v>0</v>
      </c>
      <c r="L376" s="3" t="s">
        <v>95</v>
      </c>
      <c r="M376" s="3">
        <v>20</v>
      </c>
      <c r="N376" s="3">
        <v>14</v>
      </c>
      <c r="O376" s="3">
        <v>4</v>
      </c>
    </row>
    <row r="377" spans="1:15" ht="20" customHeight="1">
      <c r="A377" s="3" t="s">
        <v>715</v>
      </c>
      <c r="B377" s="2">
        <v>46278</v>
      </c>
      <c r="C377" s="3">
        <v>12</v>
      </c>
      <c r="D377" s="3" t="s">
        <v>318</v>
      </c>
      <c r="E377" s="3" t="s">
        <v>117</v>
      </c>
      <c r="F377" s="3" t="s">
        <v>121</v>
      </c>
      <c r="G377" s="3" t="s">
        <v>135</v>
      </c>
      <c r="H377" s="3" t="s">
        <v>217</v>
      </c>
      <c r="I377" s="3">
        <v>5</v>
      </c>
      <c r="J377" s="11">
        <v>65</v>
      </c>
      <c r="K377" s="4">
        <v>0.15</v>
      </c>
      <c r="L377" s="3" t="s">
        <v>95</v>
      </c>
      <c r="M377" s="3">
        <v>17</v>
      </c>
      <c r="N377" s="3">
        <v>15</v>
      </c>
      <c r="O377" s="3">
        <v>5</v>
      </c>
    </row>
    <row r="378" spans="1:15" ht="20" customHeight="1">
      <c r="A378" s="3" t="s">
        <v>716</v>
      </c>
      <c r="B378" s="2">
        <v>46278</v>
      </c>
      <c r="C378" s="3">
        <v>19</v>
      </c>
      <c r="D378" s="3" t="s">
        <v>717</v>
      </c>
      <c r="E378" s="3" t="s">
        <v>117</v>
      </c>
      <c r="F378" s="3" t="s">
        <v>139</v>
      </c>
      <c r="G378" s="3" t="s">
        <v>110</v>
      </c>
      <c r="H378" s="3" t="s">
        <v>111</v>
      </c>
      <c r="I378" s="3">
        <v>4</v>
      </c>
      <c r="J378" s="11">
        <v>115</v>
      </c>
      <c r="K378" s="4">
        <v>0</v>
      </c>
      <c r="L378" s="3" t="s">
        <v>95</v>
      </c>
      <c r="M378" s="3">
        <v>21</v>
      </c>
      <c r="N378" s="3">
        <v>9</v>
      </c>
      <c r="O378" s="3">
        <v>4</v>
      </c>
    </row>
    <row r="379" spans="1:15" ht="20" customHeight="1">
      <c r="A379" s="3" t="s">
        <v>718</v>
      </c>
      <c r="B379" s="2">
        <v>46278</v>
      </c>
      <c r="C379" s="3">
        <v>13</v>
      </c>
      <c r="D379" s="3" t="s">
        <v>719</v>
      </c>
      <c r="E379" s="3" t="s">
        <v>91</v>
      </c>
      <c r="F379" s="3" t="s">
        <v>92</v>
      </c>
      <c r="G379" s="3" t="s">
        <v>93</v>
      </c>
      <c r="H379" s="3" t="s">
        <v>118</v>
      </c>
      <c r="I379" s="3">
        <v>3</v>
      </c>
      <c r="J379" s="11">
        <v>45</v>
      </c>
      <c r="K379" s="4">
        <v>0.1</v>
      </c>
      <c r="L379" s="3" t="s">
        <v>95</v>
      </c>
      <c r="M379" s="3">
        <v>19</v>
      </c>
      <c r="N379" s="3">
        <v>15</v>
      </c>
      <c r="O379" s="3">
        <v>4</v>
      </c>
    </row>
    <row r="380" spans="1:15" ht="20" customHeight="1">
      <c r="A380" s="3" t="s">
        <v>720</v>
      </c>
      <c r="B380" s="2">
        <v>46278</v>
      </c>
      <c r="C380" s="3">
        <v>8</v>
      </c>
      <c r="D380" s="3" t="s">
        <v>721</v>
      </c>
      <c r="E380" s="3" t="s">
        <v>91</v>
      </c>
      <c r="F380" s="3" t="s">
        <v>109</v>
      </c>
      <c r="G380" s="3" t="s">
        <v>122</v>
      </c>
      <c r="H380" s="3" t="s">
        <v>153</v>
      </c>
      <c r="I380" s="3">
        <v>3</v>
      </c>
      <c r="J380" s="11">
        <v>130</v>
      </c>
      <c r="K380" s="4">
        <v>0</v>
      </c>
      <c r="L380" s="3" t="s">
        <v>95</v>
      </c>
      <c r="M380" s="3">
        <v>15</v>
      </c>
      <c r="N380" s="3">
        <v>11</v>
      </c>
      <c r="O380" s="3">
        <v>3</v>
      </c>
    </row>
    <row r="381" spans="1:15" ht="20" customHeight="1">
      <c r="A381" s="3" t="s">
        <v>722</v>
      </c>
      <c r="B381" s="2">
        <v>46278</v>
      </c>
      <c r="C381" s="3">
        <v>17</v>
      </c>
      <c r="D381" s="3" t="s">
        <v>589</v>
      </c>
      <c r="E381" s="3" t="s">
        <v>91</v>
      </c>
      <c r="F381" s="3" t="s">
        <v>121</v>
      </c>
      <c r="G381" s="3" t="s">
        <v>110</v>
      </c>
      <c r="H381" s="3" t="s">
        <v>111</v>
      </c>
      <c r="I381" s="3">
        <v>3</v>
      </c>
      <c r="J381" s="11">
        <v>115</v>
      </c>
      <c r="K381" s="4">
        <v>0.15</v>
      </c>
      <c r="L381" s="3" t="s">
        <v>95</v>
      </c>
      <c r="M381" s="3">
        <v>16</v>
      </c>
      <c r="N381" s="3">
        <v>7</v>
      </c>
      <c r="O381" s="3">
        <v>5</v>
      </c>
    </row>
    <row r="382" spans="1:15" ht="20" customHeight="1">
      <c r="A382" s="3" t="s">
        <v>723</v>
      </c>
      <c r="B382" s="2">
        <v>46278</v>
      </c>
      <c r="C382" s="3">
        <v>22</v>
      </c>
      <c r="D382" s="3" t="s">
        <v>247</v>
      </c>
      <c r="E382" s="3" t="s">
        <v>117</v>
      </c>
      <c r="F382" s="3" t="s">
        <v>92</v>
      </c>
      <c r="G382" s="3" t="s">
        <v>110</v>
      </c>
      <c r="H382" s="3" t="s">
        <v>111</v>
      </c>
      <c r="I382" s="3">
        <v>1</v>
      </c>
      <c r="J382" s="11">
        <v>115</v>
      </c>
      <c r="K382" s="4">
        <v>0.05</v>
      </c>
      <c r="L382" s="3" t="s">
        <v>95</v>
      </c>
      <c r="M382" s="3">
        <v>22</v>
      </c>
      <c r="N382" s="3">
        <v>7</v>
      </c>
      <c r="O382" s="3">
        <v>4</v>
      </c>
    </row>
    <row r="383" spans="1:15" ht="20" customHeight="1">
      <c r="A383" s="3" t="s">
        <v>724</v>
      </c>
      <c r="B383" s="2">
        <v>46278</v>
      </c>
      <c r="C383" s="3">
        <v>8</v>
      </c>
      <c r="D383" s="3" t="s">
        <v>120</v>
      </c>
      <c r="E383" s="3" t="s">
        <v>91</v>
      </c>
      <c r="F383" s="3" t="s">
        <v>109</v>
      </c>
      <c r="G383" s="3" t="s">
        <v>135</v>
      </c>
      <c r="H383" s="3" t="s">
        <v>162</v>
      </c>
      <c r="I383" s="3">
        <v>4</v>
      </c>
      <c r="J383" s="11">
        <v>180</v>
      </c>
      <c r="K383" s="4">
        <v>0.1</v>
      </c>
      <c r="L383" s="3" t="s">
        <v>95</v>
      </c>
      <c r="M383" s="3">
        <v>31</v>
      </c>
      <c r="N383" s="3">
        <v>9</v>
      </c>
      <c r="O383" s="3">
        <v>5</v>
      </c>
    </row>
    <row r="384" spans="1:15" ht="20" customHeight="1">
      <c r="A384" s="3" t="s">
        <v>725</v>
      </c>
      <c r="B384" s="2">
        <v>46278</v>
      </c>
      <c r="C384" s="3">
        <v>11</v>
      </c>
      <c r="D384" s="3" t="s">
        <v>361</v>
      </c>
      <c r="E384" s="3" t="s">
        <v>91</v>
      </c>
      <c r="F384" s="3" t="s">
        <v>109</v>
      </c>
      <c r="G384" s="3" t="s">
        <v>122</v>
      </c>
      <c r="H384" s="3" t="s">
        <v>153</v>
      </c>
      <c r="I384" s="3">
        <v>4</v>
      </c>
      <c r="J384" s="11">
        <v>130</v>
      </c>
      <c r="K384" s="4">
        <v>0.1</v>
      </c>
      <c r="L384" s="3" t="s">
        <v>95</v>
      </c>
      <c r="M384" s="3">
        <v>23</v>
      </c>
      <c r="N384" s="3">
        <v>9</v>
      </c>
      <c r="O384" s="3">
        <v>4</v>
      </c>
    </row>
    <row r="385" spans="1:15" ht="20" customHeight="1">
      <c r="A385" s="3" t="s">
        <v>726</v>
      </c>
      <c r="B385" s="2">
        <v>46278</v>
      </c>
      <c r="C385" s="3">
        <v>23</v>
      </c>
      <c r="D385" s="3" t="s">
        <v>374</v>
      </c>
      <c r="E385" s="3" t="s">
        <v>91</v>
      </c>
      <c r="F385" s="3" t="s">
        <v>121</v>
      </c>
      <c r="G385" s="3" t="s">
        <v>122</v>
      </c>
      <c r="H385" s="3" t="s">
        <v>153</v>
      </c>
      <c r="I385" s="3">
        <v>5</v>
      </c>
      <c r="J385" s="11">
        <v>130</v>
      </c>
      <c r="K385" s="4">
        <v>0</v>
      </c>
      <c r="L385" s="3" t="s">
        <v>95</v>
      </c>
      <c r="M385" s="3">
        <v>21</v>
      </c>
      <c r="N385" s="3">
        <v>5</v>
      </c>
      <c r="O385" s="3">
        <v>3</v>
      </c>
    </row>
    <row r="386" spans="1:15" ht="20" customHeight="1">
      <c r="A386" s="3" t="s">
        <v>727</v>
      </c>
      <c r="B386" s="2">
        <v>46278</v>
      </c>
      <c r="C386" s="3">
        <v>6</v>
      </c>
      <c r="D386" s="3" t="s">
        <v>608</v>
      </c>
      <c r="E386" s="3" t="s">
        <v>91</v>
      </c>
      <c r="F386" s="3" t="s">
        <v>121</v>
      </c>
      <c r="G386" s="3" t="s">
        <v>93</v>
      </c>
      <c r="H386" s="3" t="s">
        <v>118</v>
      </c>
      <c r="I386" s="3">
        <v>2</v>
      </c>
      <c r="J386" s="11">
        <v>45</v>
      </c>
      <c r="K386" s="4">
        <v>0</v>
      </c>
      <c r="L386" s="3" t="s">
        <v>95</v>
      </c>
      <c r="M386" s="3">
        <v>31</v>
      </c>
      <c r="N386" s="3">
        <v>6</v>
      </c>
      <c r="O386" s="3">
        <v>4</v>
      </c>
    </row>
    <row r="387" spans="1:15" ht="20" customHeight="1">
      <c r="A387" s="3" t="s">
        <v>728</v>
      </c>
      <c r="B387" s="2">
        <v>46278</v>
      </c>
      <c r="C387" s="3">
        <v>18</v>
      </c>
      <c r="D387" s="3" t="s">
        <v>729</v>
      </c>
      <c r="E387" s="3" t="s">
        <v>117</v>
      </c>
      <c r="F387" s="3" t="s">
        <v>98</v>
      </c>
      <c r="G387" s="3" t="s">
        <v>93</v>
      </c>
      <c r="H387" s="3" t="s">
        <v>94</v>
      </c>
      <c r="I387" s="3">
        <v>3</v>
      </c>
      <c r="J387" s="11">
        <v>95</v>
      </c>
      <c r="K387" s="4">
        <v>0</v>
      </c>
      <c r="L387" s="3" t="s">
        <v>95</v>
      </c>
      <c r="M387" s="3">
        <v>15</v>
      </c>
      <c r="N387" s="3">
        <v>14</v>
      </c>
      <c r="O387" s="3">
        <v>4</v>
      </c>
    </row>
    <row r="388" spans="1:15" ht="20" customHeight="1">
      <c r="A388" s="3" t="s">
        <v>730</v>
      </c>
      <c r="B388" s="2">
        <v>46278</v>
      </c>
      <c r="C388" s="3">
        <v>12</v>
      </c>
      <c r="D388" s="3" t="s">
        <v>208</v>
      </c>
      <c r="E388" s="3" t="s">
        <v>117</v>
      </c>
      <c r="F388" s="3" t="s">
        <v>98</v>
      </c>
      <c r="G388" s="3" t="s">
        <v>99</v>
      </c>
      <c r="H388" s="3" t="s">
        <v>100</v>
      </c>
      <c r="I388" s="3">
        <v>6</v>
      </c>
      <c r="J388" s="11">
        <v>120</v>
      </c>
      <c r="K388" s="4">
        <v>0</v>
      </c>
      <c r="L388" s="3" t="s">
        <v>95</v>
      </c>
      <c r="M388" s="3">
        <v>27</v>
      </c>
      <c r="N388" s="3">
        <v>6</v>
      </c>
      <c r="O388" s="3">
        <v>4</v>
      </c>
    </row>
    <row r="389" spans="1:15" ht="20" customHeight="1">
      <c r="A389" s="3" t="s">
        <v>731</v>
      </c>
      <c r="B389" s="2">
        <v>46278</v>
      </c>
      <c r="C389" s="3">
        <v>11</v>
      </c>
      <c r="D389" s="3" t="s">
        <v>677</v>
      </c>
      <c r="E389" s="3" t="s">
        <v>117</v>
      </c>
      <c r="F389" s="3" t="s">
        <v>92</v>
      </c>
      <c r="G389" s="3" t="s">
        <v>99</v>
      </c>
      <c r="H389" s="3" t="s">
        <v>104</v>
      </c>
      <c r="I389" s="3">
        <v>1</v>
      </c>
      <c r="J389" s="11">
        <v>240</v>
      </c>
      <c r="K389" s="4">
        <v>0.05</v>
      </c>
      <c r="L389" s="3" t="s">
        <v>95</v>
      </c>
      <c r="M389" s="3">
        <v>13</v>
      </c>
      <c r="N389" s="3">
        <v>8</v>
      </c>
      <c r="O389" s="3">
        <v>5</v>
      </c>
    </row>
    <row r="390" spans="1:15" ht="20" customHeight="1">
      <c r="A390" s="3" t="s">
        <v>732</v>
      </c>
      <c r="B390" s="2">
        <v>46278</v>
      </c>
      <c r="C390" s="3">
        <v>12</v>
      </c>
      <c r="D390" s="3" t="s">
        <v>242</v>
      </c>
      <c r="E390" s="3" t="s">
        <v>91</v>
      </c>
      <c r="F390" s="3" t="s">
        <v>139</v>
      </c>
      <c r="G390" s="3" t="s">
        <v>174</v>
      </c>
      <c r="H390" s="3" t="s">
        <v>274</v>
      </c>
      <c r="I390" s="3">
        <v>3</v>
      </c>
      <c r="J390" s="11">
        <v>90</v>
      </c>
      <c r="K390" s="4">
        <v>0.15</v>
      </c>
      <c r="L390" s="3" t="s">
        <v>95</v>
      </c>
      <c r="M390" s="3">
        <v>16</v>
      </c>
      <c r="N390" s="3">
        <v>14</v>
      </c>
      <c r="O390" s="3">
        <v>5</v>
      </c>
    </row>
    <row r="391" spans="1:15" ht="20" customHeight="1">
      <c r="A391" s="3" t="s">
        <v>733</v>
      </c>
      <c r="B391" s="2">
        <v>46278</v>
      </c>
      <c r="C391" s="3">
        <v>6</v>
      </c>
      <c r="D391" s="3" t="s">
        <v>624</v>
      </c>
      <c r="E391" s="3" t="s">
        <v>91</v>
      </c>
      <c r="F391" s="3" t="s">
        <v>98</v>
      </c>
      <c r="G391" s="3" t="s">
        <v>174</v>
      </c>
      <c r="H391" s="3" t="s">
        <v>274</v>
      </c>
      <c r="I391" s="3">
        <v>2</v>
      </c>
      <c r="J391" s="11">
        <v>90</v>
      </c>
      <c r="K391" s="4">
        <v>0</v>
      </c>
      <c r="L391" s="3" t="s">
        <v>95</v>
      </c>
      <c r="M391" s="3">
        <v>24</v>
      </c>
      <c r="N391" s="3">
        <v>10</v>
      </c>
      <c r="O391" s="3">
        <v>4</v>
      </c>
    </row>
    <row r="392" spans="1:15" ht="20" customHeight="1">
      <c r="A392" s="3" t="s">
        <v>734</v>
      </c>
      <c r="B392" s="2">
        <v>46279</v>
      </c>
      <c r="C392" s="3">
        <v>10</v>
      </c>
      <c r="D392" s="3" t="s">
        <v>462</v>
      </c>
      <c r="E392" s="3" t="s">
        <v>91</v>
      </c>
      <c r="F392" s="3" t="s">
        <v>121</v>
      </c>
      <c r="G392" s="3" t="s">
        <v>93</v>
      </c>
      <c r="H392" s="3" t="s">
        <v>118</v>
      </c>
      <c r="I392" s="3">
        <v>3</v>
      </c>
      <c r="J392" s="11">
        <v>45</v>
      </c>
      <c r="K392" s="4">
        <v>0.1</v>
      </c>
      <c r="L392" s="3" t="s">
        <v>95</v>
      </c>
      <c r="M392" s="3">
        <v>26</v>
      </c>
      <c r="N392" s="3">
        <v>6</v>
      </c>
      <c r="O392" s="3">
        <v>4</v>
      </c>
    </row>
    <row r="393" spans="1:15" ht="20" customHeight="1">
      <c r="A393" s="3" t="s">
        <v>735</v>
      </c>
      <c r="B393" s="2">
        <v>46279</v>
      </c>
      <c r="C393" s="3">
        <v>18</v>
      </c>
      <c r="D393" s="3" t="s">
        <v>736</v>
      </c>
      <c r="E393" s="3" t="s">
        <v>117</v>
      </c>
      <c r="F393" s="3" t="s">
        <v>98</v>
      </c>
      <c r="G393" s="3" t="s">
        <v>135</v>
      </c>
      <c r="H393" s="3" t="s">
        <v>217</v>
      </c>
      <c r="I393" s="3">
        <v>6</v>
      </c>
      <c r="J393" s="11">
        <v>65</v>
      </c>
      <c r="K393" s="4">
        <v>0</v>
      </c>
      <c r="L393" s="3" t="s">
        <v>95</v>
      </c>
      <c r="M393" s="3">
        <v>31</v>
      </c>
      <c r="N393" s="3">
        <v>12</v>
      </c>
      <c r="O393" s="3">
        <v>5</v>
      </c>
    </row>
    <row r="394" spans="1:15" ht="20" customHeight="1">
      <c r="A394" s="3" t="s">
        <v>737</v>
      </c>
      <c r="B394" s="2">
        <v>46279</v>
      </c>
      <c r="C394" s="3">
        <v>16</v>
      </c>
      <c r="D394" s="3" t="s">
        <v>721</v>
      </c>
      <c r="E394" s="3" t="s">
        <v>91</v>
      </c>
      <c r="F394" s="3" t="s">
        <v>121</v>
      </c>
      <c r="G394" s="3" t="s">
        <v>99</v>
      </c>
      <c r="H394" s="3" t="s">
        <v>100</v>
      </c>
      <c r="I394" s="3">
        <v>1</v>
      </c>
      <c r="J394" s="11">
        <v>120</v>
      </c>
      <c r="K394" s="4">
        <v>0.15</v>
      </c>
      <c r="L394" s="3" t="s">
        <v>95</v>
      </c>
      <c r="M394" s="3">
        <v>30</v>
      </c>
      <c r="N394" s="3">
        <v>14</v>
      </c>
      <c r="O394" s="3">
        <v>4</v>
      </c>
    </row>
    <row r="395" spans="1:15" ht="20" customHeight="1">
      <c r="A395" s="3" t="s">
        <v>738</v>
      </c>
      <c r="B395" s="2">
        <v>46279</v>
      </c>
      <c r="C395" s="3">
        <v>13</v>
      </c>
      <c r="D395" s="3" t="s">
        <v>739</v>
      </c>
      <c r="E395" s="3" t="s">
        <v>117</v>
      </c>
      <c r="F395" s="3" t="s">
        <v>98</v>
      </c>
      <c r="G395" s="3" t="s">
        <v>122</v>
      </c>
      <c r="H395" s="3" t="s">
        <v>123</v>
      </c>
      <c r="I395" s="3">
        <v>3</v>
      </c>
      <c r="J395" s="11">
        <v>45</v>
      </c>
      <c r="K395" s="4">
        <v>0</v>
      </c>
      <c r="L395" s="3" t="s">
        <v>95</v>
      </c>
      <c r="M395" s="3">
        <v>15</v>
      </c>
      <c r="N395" s="3">
        <v>12</v>
      </c>
      <c r="O395" s="3">
        <v>3</v>
      </c>
    </row>
    <row r="396" spans="1:15" ht="20" customHeight="1">
      <c r="A396" s="3" t="s">
        <v>740</v>
      </c>
      <c r="B396" s="2">
        <v>46279</v>
      </c>
      <c r="C396" s="3">
        <v>14</v>
      </c>
      <c r="D396" s="3" t="s">
        <v>721</v>
      </c>
      <c r="E396" s="3" t="s">
        <v>91</v>
      </c>
      <c r="F396" s="3" t="s">
        <v>121</v>
      </c>
      <c r="G396" s="3" t="s">
        <v>122</v>
      </c>
      <c r="H396" s="3" t="s">
        <v>123</v>
      </c>
      <c r="I396" s="3">
        <v>3</v>
      </c>
      <c r="J396" s="11">
        <v>45</v>
      </c>
      <c r="K396" s="4">
        <v>0.1</v>
      </c>
      <c r="L396" s="3" t="s">
        <v>95</v>
      </c>
      <c r="M396" s="3">
        <v>14</v>
      </c>
      <c r="N396" s="3">
        <v>15</v>
      </c>
      <c r="O396" s="3">
        <v>5</v>
      </c>
    </row>
    <row r="397" spans="1:15" ht="20" customHeight="1">
      <c r="A397" s="3" t="s">
        <v>741</v>
      </c>
      <c r="B397" s="2">
        <v>46279</v>
      </c>
      <c r="C397" s="3">
        <v>19</v>
      </c>
      <c r="D397" s="3" t="s">
        <v>742</v>
      </c>
      <c r="E397" s="3" t="s">
        <v>91</v>
      </c>
      <c r="F397" s="3" t="s">
        <v>98</v>
      </c>
      <c r="G397" s="3" t="s">
        <v>135</v>
      </c>
      <c r="H397" s="3" t="s">
        <v>217</v>
      </c>
      <c r="I397" s="3">
        <v>2</v>
      </c>
      <c r="J397" s="11">
        <v>65</v>
      </c>
      <c r="K397" s="4">
        <v>0.15</v>
      </c>
      <c r="L397" s="3" t="s">
        <v>95</v>
      </c>
      <c r="M397" s="3">
        <v>29</v>
      </c>
      <c r="N397" s="3">
        <v>7</v>
      </c>
      <c r="O397" s="3">
        <v>4</v>
      </c>
    </row>
    <row r="398" spans="1:15" ht="20" customHeight="1">
      <c r="A398" s="3" t="s">
        <v>743</v>
      </c>
      <c r="B398" s="2">
        <v>46279</v>
      </c>
      <c r="C398" s="3">
        <v>12</v>
      </c>
      <c r="D398" s="3" t="s">
        <v>399</v>
      </c>
      <c r="E398" s="3" t="s">
        <v>91</v>
      </c>
      <c r="F398" s="3" t="s">
        <v>139</v>
      </c>
      <c r="G398" s="3" t="s">
        <v>93</v>
      </c>
      <c r="H398" s="3" t="s">
        <v>94</v>
      </c>
      <c r="I398" s="3">
        <v>5</v>
      </c>
      <c r="J398" s="11">
        <v>95</v>
      </c>
      <c r="K398" s="4">
        <v>0.05</v>
      </c>
      <c r="L398" s="3" t="s">
        <v>95</v>
      </c>
      <c r="M398" s="3">
        <v>32</v>
      </c>
      <c r="N398" s="3">
        <v>13</v>
      </c>
      <c r="O398" s="3">
        <v>5</v>
      </c>
    </row>
    <row r="399" spans="1:15" ht="20" customHeight="1">
      <c r="A399" s="3" t="s">
        <v>744</v>
      </c>
      <c r="B399" s="2">
        <v>46279</v>
      </c>
      <c r="C399" s="3">
        <v>22</v>
      </c>
      <c r="D399" s="3" t="s">
        <v>745</v>
      </c>
      <c r="E399" s="3" t="s">
        <v>117</v>
      </c>
      <c r="F399" s="3" t="s">
        <v>92</v>
      </c>
      <c r="G399" s="3" t="s">
        <v>122</v>
      </c>
      <c r="H399" s="3" t="s">
        <v>123</v>
      </c>
      <c r="I399" s="3">
        <v>5</v>
      </c>
      <c r="J399" s="11">
        <v>45</v>
      </c>
      <c r="K399" s="4">
        <v>0.1</v>
      </c>
      <c r="L399" s="3" t="s">
        <v>95</v>
      </c>
      <c r="M399" s="3">
        <v>25</v>
      </c>
      <c r="N399" s="3">
        <v>5</v>
      </c>
      <c r="O399" s="3">
        <v>3</v>
      </c>
    </row>
    <row r="400" spans="1:15" ht="20" customHeight="1">
      <c r="A400" s="3" t="s">
        <v>746</v>
      </c>
      <c r="B400" s="2">
        <v>46279</v>
      </c>
      <c r="C400" s="3">
        <v>20</v>
      </c>
      <c r="D400" s="3" t="s">
        <v>489</v>
      </c>
      <c r="E400" s="3" t="s">
        <v>117</v>
      </c>
      <c r="F400" s="3" t="s">
        <v>109</v>
      </c>
      <c r="G400" s="3" t="s">
        <v>99</v>
      </c>
      <c r="H400" s="3" t="s">
        <v>104</v>
      </c>
      <c r="I400" s="3">
        <v>5</v>
      </c>
      <c r="J400" s="11">
        <v>240</v>
      </c>
      <c r="K400" s="4">
        <v>0</v>
      </c>
      <c r="L400" s="3" t="s">
        <v>95</v>
      </c>
      <c r="M400" s="3">
        <v>23</v>
      </c>
      <c r="N400" s="3">
        <v>14</v>
      </c>
      <c r="O400" s="3">
        <v>4</v>
      </c>
    </row>
    <row r="401" spans="1:15" ht="20" customHeight="1">
      <c r="A401" s="3" t="s">
        <v>747</v>
      </c>
      <c r="B401" s="2">
        <v>46279</v>
      </c>
      <c r="C401" s="3">
        <v>15</v>
      </c>
      <c r="D401" s="3" t="s">
        <v>297</v>
      </c>
      <c r="E401" s="3" t="s">
        <v>91</v>
      </c>
      <c r="F401" s="3" t="s">
        <v>92</v>
      </c>
      <c r="G401" s="3" t="s">
        <v>110</v>
      </c>
      <c r="H401" s="3" t="s">
        <v>111</v>
      </c>
      <c r="I401" s="3">
        <v>5</v>
      </c>
      <c r="J401" s="11">
        <v>115</v>
      </c>
      <c r="K401" s="4">
        <v>0.15</v>
      </c>
      <c r="L401" s="3" t="s">
        <v>95</v>
      </c>
      <c r="M401" s="3">
        <v>22</v>
      </c>
      <c r="N401" s="3">
        <v>11</v>
      </c>
      <c r="O401" s="3">
        <v>5</v>
      </c>
    </row>
    <row r="402" spans="1:15" ht="20" customHeight="1">
      <c r="A402" s="3" t="s">
        <v>748</v>
      </c>
      <c r="B402" s="2">
        <v>46279</v>
      </c>
      <c r="C402" s="3">
        <v>20</v>
      </c>
      <c r="D402" s="3" t="s">
        <v>749</v>
      </c>
      <c r="E402" s="3" t="s">
        <v>91</v>
      </c>
      <c r="F402" s="3" t="s">
        <v>139</v>
      </c>
      <c r="G402" s="3" t="s">
        <v>174</v>
      </c>
      <c r="H402" s="3" t="s">
        <v>274</v>
      </c>
      <c r="I402" s="3">
        <v>2</v>
      </c>
      <c r="J402" s="11">
        <v>90</v>
      </c>
      <c r="K402" s="4">
        <v>0.1</v>
      </c>
      <c r="L402" s="3" t="s">
        <v>95</v>
      </c>
      <c r="M402" s="3">
        <v>13</v>
      </c>
      <c r="N402" s="3">
        <v>14</v>
      </c>
      <c r="O402" s="3">
        <v>5</v>
      </c>
    </row>
    <row r="403" spans="1:15" ht="20" customHeight="1">
      <c r="A403" s="3" t="s">
        <v>750</v>
      </c>
      <c r="B403" s="2">
        <v>46279</v>
      </c>
      <c r="C403" s="3">
        <v>19</v>
      </c>
      <c r="D403" s="3" t="s">
        <v>602</v>
      </c>
      <c r="E403" s="3" t="s">
        <v>117</v>
      </c>
      <c r="F403" s="3" t="s">
        <v>98</v>
      </c>
      <c r="G403" s="3" t="s">
        <v>174</v>
      </c>
      <c r="H403" s="3" t="s">
        <v>184</v>
      </c>
      <c r="I403" s="3">
        <v>2</v>
      </c>
      <c r="J403" s="11">
        <v>62</v>
      </c>
      <c r="K403" s="4">
        <v>0</v>
      </c>
      <c r="L403" s="3" t="s">
        <v>95</v>
      </c>
      <c r="M403" s="3">
        <v>28</v>
      </c>
      <c r="N403" s="3">
        <v>6</v>
      </c>
      <c r="O403" s="3">
        <v>3</v>
      </c>
    </row>
    <row r="404" spans="1:15" ht="20" customHeight="1">
      <c r="A404" s="3" t="s">
        <v>751</v>
      </c>
      <c r="B404" s="2">
        <v>46279</v>
      </c>
      <c r="C404" s="3">
        <v>20</v>
      </c>
      <c r="D404" s="3" t="s">
        <v>752</v>
      </c>
      <c r="E404" s="3" t="s">
        <v>91</v>
      </c>
      <c r="F404" s="3" t="s">
        <v>98</v>
      </c>
      <c r="G404" s="3" t="s">
        <v>122</v>
      </c>
      <c r="H404" s="3" t="s">
        <v>123</v>
      </c>
      <c r="I404" s="3">
        <v>6</v>
      </c>
      <c r="J404" s="11">
        <v>45</v>
      </c>
      <c r="K404" s="4">
        <v>0.05</v>
      </c>
      <c r="L404" s="3" t="s">
        <v>95</v>
      </c>
      <c r="M404" s="3">
        <v>16</v>
      </c>
      <c r="N404" s="3">
        <v>4</v>
      </c>
      <c r="O404" s="3">
        <v>4</v>
      </c>
    </row>
    <row r="405" spans="1:15" ht="20" customHeight="1">
      <c r="A405" s="3" t="s">
        <v>753</v>
      </c>
      <c r="B405" s="2">
        <v>46279</v>
      </c>
      <c r="C405" s="3">
        <v>22</v>
      </c>
      <c r="D405" s="3" t="s">
        <v>754</v>
      </c>
      <c r="E405" s="3" t="s">
        <v>91</v>
      </c>
      <c r="F405" s="3" t="s">
        <v>98</v>
      </c>
      <c r="G405" s="3" t="s">
        <v>122</v>
      </c>
      <c r="H405" s="3" t="s">
        <v>214</v>
      </c>
      <c r="I405" s="3">
        <v>3</v>
      </c>
      <c r="J405" s="11">
        <v>55</v>
      </c>
      <c r="K405" s="4">
        <v>0</v>
      </c>
      <c r="L405" s="3" t="s">
        <v>95</v>
      </c>
      <c r="M405" s="3">
        <v>37</v>
      </c>
      <c r="N405" s="3">
        <v>11</v>
      </c>
      <c r="O405" s="3">
        <v>5</v>
      </c>
    </row>
    <row r="406" spans="1:15" ht="20" customHeight="1">
      <c r="A406" s="3" t="s">
        <v>755</v>
      </c>
      <c r="B406" s="2">
        <v>46279</v>
      </c>
      <c r="C406" s="3">
        <v>14</v>
      </c>
      <c r="D406" s="3" t="s">
        <v>736</v>
      </c>
      <c r="E406" s="3" t="s">
        <v>117</v>
      </c>
      <c r="F406" s="3" t="s">
        <v>139</v>
      </c>
      <c r="G406" s="3" t="s">
        <v>122</v>
      </c>
      <c r="H406" s="3" t="s">
        <v>153</v>
      </c>
      <c r="I406" s="3">
        <v>6</v>
      </c>
      <c r="J406" s="11">
        <v>130</v>
      </c>
      <c r="K406" s="4">
        <v>0.15</v>
      </c>
      <c r="L406" s="3" t="s">
        <v>95</v>
      </c>
      <c r="M406" s="3">
        <v>30</v>
      </c>
      <c r="N406" s="3">
        <v>7</v>
      </c>
      <c r="O406" s="3">
        <v>4</v>
      </c>
    </row>
    <row r="407" spans="1:15" ht="20" customHeight="1">
      <c r="A407" s="3" t="s">
        <v>756</v>
      </c>
      <c r="B407" s="2">
        <v>46279</v>
      </c>
      <c r="C407" s="3">
        <v>19</v>
      </c>
      <c r="D407" s="3" t="s">
        <v>265</v>
      </c>
      <c r="E407" s="3" t="s">
        <v>117</v>
      </c>
      <c r="F407" s="3" t="s">
        <v>1313</v>
      </c>
      <c r="G407" s="3" t="s">
        <v>135</v>
      </c>
      <c r="H407" s="3" t="s">
        <v>217</v>
      </c>
      <c r="I407" s="3">
        <v>6</v>
      </c>
      <c r="J407" s="11">
        <v>65</v>
      </c>
      <c r="K407" s="4">
        <v>0.1</v>
      </c>
      <c r="L407" s="3" t="s">
        <v>95</v>
      </c>
      <c r="M407" s="3">
        <v>37</v>
      </c>
      <c r="N407" s="3">
        <v>5</v>
      </c>
      <c r="O407" s="3">
        <v>3</v>
      </c>
    </row>
    <row r="408" spans="1:15" ht="20" customHeight="1">
      <c r="A408" s="3" t="s">
        <v>757</v>
      </c>
      <c r="B408" s="2">
        <v>46279</v>
      </c>
      <c r="C408" s="3">
        <v>20</v>
      </c>
      <c r="D408" s="3" t="s">
        <v>608</v>
      </c>
      <c r="E408" s="3" t="s">
        <v>91</v>
      </c>
      <c r="F408" s="3" t="s">
        <v>92</v>
      </c>
      <c r="G408" s="3" t="s">
        <v>99</v>
      </c>
      <c r="H408" s="3" t="s">
        <v>100</v>
      </c>
      <c r="I408" s="3">
        <v>4</v>
      </c>
      <c r="J408" s="11">
        <v>120</v>
      </c>
      <c r="K408" s="4">
        <v>0.15</v>
      </c>
      <c r="L408" s="3" t="s">
        <v>95</v>
      </c>
      <c r="M408" s="3">
        <v>26</v>
      </c>
      <c r="N408" s="3">
        <v>9</v>
      </c>
      <c r="O408" s="3">
        <v>5</v>
      </c>
    </row>
    <row r="409" spans="1:15" ht="20" customHeight="1">
      <c r="A409" s="3" t="s">
        <v>758</v>
      </c>
      <c r="B409" s="2">
        <v>46279</v>
      </c>
      <c r="C409" s="3">
        <v>10</v>
      </c>
      <c r="D409" s="3" t="s">
        <v>408</v>
      </c>
      <c r="E409" s="3" t="s">
        <v>117</v>
      </c>
      <c r="F409" s="3" t="s">
        <v>139</v>
      </c>
      <c r="G409" s="3" t="s">
        <v>93</v>
      </c>
      <c r="H409" s="3" t="s">
        <v>146</v>
      </c>
      <c r="I409" s="3">
        <v>1</v>
      </c>
      <c r="J409" s="11">
        <v>110</v>
      </c>
      <c r="K409" s="4">
        <v>0</v>
      </c>
      <c r="L409" s="3" t="s">
        <v>95</v>
      </c>
      <c r="M409" s="3">
        <v>25</v>
      </c>
      <c r="N409" s="3">
        <v>6</v>
      </c>
      <c r="O409" s="3">
        <v>3</v>
      </c>
    </row>
    <row r="410" spans="1:15" ht="20" customHeight="1">
      <c r="A410" s="3" t="s">
        <v>759</v>
      </c>
      <c r="B410" s="2">
        <v>46279</v>
      </c>
      <c r="C410" s="3">
        <v>8</v>
      </c>
      <c r="D410" s="3" t="s">
        <v>332</v>
      </c>
      <c r="E410" s="3" t="s">
        <v>91</v>
      </c>
      <c r="F410" s="3" t="s">
        <v>139</v>
      </c>
      <c r="G410" s="3" t="s">
        <v>135</v>
      </c>
      <c r="H410" s="3" t="s">
        <v>217</v>
      </c>
      <c r="I410" s="3">
        <v>6</v>
      </c>
      <c r="J410" s="11">
        <v>65</v>
      </c>
      <c r="K410" s="4">
        <v>0</v>
      </c>
      <c r="L410" s="3" t="s">
        <v>95</v>
      </c>
      <c r="M410" s="3">
        <v>20</v>
      </c>
      <c r="N410" s="3">
        <v>14</v>
      </c>
      <c r="O410" s="3">
        <v>5</v>
      </c>
    </row>
    <row r="411" spans="1:15" ht="20" customHeight="1">
      <c r="A411" s="3" t="s">
        <v>760</v>
      </c>
      <c r="B411" s="2">
        <v>46279</v>
      </c>
      <c r="C411" s="3">
        <v>17</v>
      </c>
      <c r="D411" s="3" t="s">
        <v>761</v>
      </c>
      <c r="E411" s="3" t="s">
        <v>91</v>
      </c>
      <c r="F411" s="3" t="s">
        <v>139</v>
      </c>
      <c r="G411" s="3" t="s">
        <v>93</v>
      </c>
      <c r="H411" s="3" t="s">
        <v>118</v>
      </c>
      <c r="I411" s="3">
        <v>4</v>
      </c>
      <c r="J411" s="11">
        <v>45</v>
      </c>
      <c r="K411" s="4">
        <v>0.05</v>
      </c>
      <c r="L411" s="3" t="s">
        <v>95</v>
      </c>
      <c r="M411" s="3">
        <v>18</v>
      </c>
      <c r="N411" s="3">
        <v>6</v>
      </c>
      <c r="O411" s="3">
        <v>5</v>
      </c>
    </row>
    <row r="412" spans="1:15" ht="20" customHeight="1">
      <c r="A412" s="3" t="s">
        <v>762</v>
      </c>
      <c r="B412" s="2">
        <v>46279</v>
      </c>
      <c r="C412" s="3">
        <v>10</v>
      </c>
      <c r="D412" s="3" t="s">
        <v>763</v>
      </c>
      <c r="E412" s="3" t="s">
        <v>91</v>
      </c>
      <c r="F412" s="3" t="s">
        <v>109</v>
      </c>
      <c r="G412" s="3" t="s">
        <v>135</v>
      </c>
      <c r="H412" s="3" t="s">
        <v>162</v>
      </c>
      <c r="I412" s="3">
        <v>5</v>
      </c>
      <c r="J412" s="11">
        <v>180</v>
      </c>
      <c r="K412" s="4">
        <v>0.15</v>
      </c>
      <c r="L412" s="3" t="s">
        <v>95</v>
      </c>
      <c r="M412" s="3">
        <v>13</v>
      </c>
      <c r="N412" s="3">
        <v>13</v>
      </c>
      <c r="O412" s="3">
        <v>5</v>
      </c>
    </row>
    <row r="413" spans="1:15" ht="20" customHeight="1">
      <c r="A413" s="3" t="s">
        <v>764</v>
      </c>
      <c r="B413" s="2">
        <v>46279</v>
      </c>
      <c r="C413" s="3">
        <v>11</v>
      </c>
      <c r="D413" s="3" t="s">
        <v>752</v>
      </c>
      <c r="E413" s="3" t="s">
        <v>91</v>
      </c>
      <c r="F413" s="3" t="s">
        <v>139</v>
      </c>
      <c r="G413" s="3" t="s">
        <v>122</v>
      </c>
      <c r="H413" s="3" t="s">
        <v>153</v>
      </c>
      <c r="I413" s="3">
        <v>6</v>
      </c>
      <c r="J413" s="11">
        <v>130</v>
      </c>
      <c r="K413" s="4">
        <v>0</v>
      </c>
      <c r="L413" s="3" t="s">
        <v>95</v>
      </c>
      <c r="M413" s="3">
        <v>24</v>
      </c>
      <c r="N413" s="3">
        <v>10</v>
      </c>
      <c r="O413" s="3">
        <v>4</v>
      </c>
    </row>
    <row r="414" spans="1:15" ht="20" customHeight="1">
      <c r="A414" s="3" t="s">
        <v>765</v>
      </c>
      <c r="B414" s="2">
        <v>46279</v>
      </c>
      <c r="C414" s="3">
        <v>8</v>
      </c>
      <c r="D414" s="3" t="s">
        <v>141</v>
      </c>
      <c r="E414" s="3" t="s">
        <v>91</v>
      </c>
      <c r="F414" s="3" t="s">
        <v>98</v>
      </c>
      <c r="G414" s="3" t="s">
        <v>99</v>
      </c>
      <c r="H414" s="3" t="s">
        <v>130</v>
      </c>
      <c r="I414" s="3">
        <v>4</v>
      </c>
      <c r="J414" s="11">
        <v>85</v>
      </c>
      <c r="K414" s="4">
        <v>0.1</v>
      </c>
      <c r="L414" s="3" t="s">
        <v>95</v>
      </c>
      <c r="M414" s="3">
        <v>26</v>
      </c>
      <c r="N414" s="3">
        <v>14</v>
      </c>
      <c r="O414" s="3">
        <v>5</v>
      </c>
    </row>
    <row r="415" spans="1:15" ht="20" customHeight="1">
      <c r="A415" s="3" t="s">
        <v>766</v>
      </c>
      <c r="B415" s="2">
        <v>46279</v>
      </c>
      <c r="C415" s="3">
        <v>10</v>
      </c>
      <c r="D415" s="3" t="s">
        <v>520</v>
      </c>
      <c r="E415" s="3" t="s">
        <v>91</v>
      </c>
      <c r="F415" s="3" t="s">
        <v>109</v>
      </c>
      <c r="G415" s="3" t="s">
        <v>93</v>
      </c>
      <c r="H415" s="3" t="s">
        <v>94</v>
      </c>
      <c r="I415" s="3">
        <v>4</v>
      </c>
      <c r="J415" s="11">
        <v>95</v>
      </c>
      <c r="K415" s="4">
        <v>0.1</v>
      </c>
      <c r="L415" s="3" t="s">
        <v>95</v>
      </c>
      <c r="M415" s="3">
        <v>14</v>
      </c>
      <c r="N415" s="3">
        <v>6</v>
      </c>
      <c r="O415" s="3">
        <v>4</v>
      </c>
    </row>
    <row r="416" spans="1:15" ht="20" customHeight="1">
      <c r="A416" s="3" t="s">
        <v>767</v>
      </c>
      <c r="B416" s="2">
        <v>46279</v>
      </c>
      <c r="C416" s="3">
        <v>23</v>
      </c>
      <c r="D416" s="3" t="s">
        <v>768</v>
      </c>
      <c r="E416" s="3" t="s">
        <v>91</v>
      </c>
      <c r="F416" s="3" t="s">
        <v>139</v>
      </c>
      <c r="G416" s="3" t="s">
        <v>135</v>
      </c>
      <c r="H416" s="3" t="s">
        <v>162</v>
      </c>
      <c r="I416" s="3">
        <v>2</v>
      </c>
      <c r="J416" s="11">
        <v>180</v>
      </c>
      <c r="K416" s="4">
        <v>0</v>
      </c>
      <c r="L416" s="3" t="s">
        <v>101</v>
      </c>
      <c r="M416" s="3"/>
      <c r="N416" s="3"/>
      <c r="O416" s="3"/>
    </row>
    <row r="417" spans="1:15" ht="20" customHeight="1">
      <c r="A417" s="3" t="s">
        <v>769</v>
      </c>
      <c r="B417" s="2">
        <v>46279</v>
      </c>
      <c r="C417" s="3">
        <v>17</v>
      </c>
      <c r="D417" s="3" t="s">
        <v>770</v>
      </c>
      <c r="E417" s="3" t="s">
        <v>91</v>
      </c>
      <c r="F417" s="3" t="s">
        <v>121</v>
      </c>
      <c r="G417" s="3" t="s">
        <v>174</v>
      </c>
      <c r="H417" s="3" t="s">
        <v>274</v>
      </c>
      <c r="I417" s="3">
        <v>1</v>
      </c>
      <c r="J417" s="11">
        <v>90</v>
      </c>
      <c r="K417" s="4">
        <v>0.15</v>
      </c>
      <c r="L417" s="3" t="s">
        <v>95</v>
      </c>
      <c r="M417" s="3">
        <v>20</v>
      </c>
      <c r="N417" s="3">
        <v>7</v>
      </c>
      <c r="O417" s="3">
        <v>5</v>
      </c>
    </row>
    <row r="418" spans="1:15" ht="20" customHeight="1">
      <c r="A418" s="3" t="s">
        <v>771</v>
      </c>
      <c r="B418" s="2">
        <v>46279</v>
      </c>
      <c r="C418" s="3">
        <v>7</v>
      </c>
      <c r="D418" s="3" t="s">
        <v>525</v>
      </c>
      <c r="E418" s="3" t="s">
        <v>91</v>
      </c>
      <c r="F418" s="3" t="s">
        <v>121</v>
      </c>
      <c r="G418" s="3" t="s">
        <v>174</v>
      </c>
      <c r="H418" s="3" t="s">
        <v>184</v>
      </c>
      <c r="I418" s="3">
        <v>2</v>
      </c>
      <c r="J418" s="11">
        <v>62</v>
      </c>
      <c r="K418" s="4">
        <v>0</v>
      </c>
      <c r="L418" s="3" t="s">
        <v>95</v>
      </c>
      <c r="M418" s="3">
        <v>19</v>
      </c>
      <c r="N418" s="3">
        <v>8</v>
      </c>
      <c r="O418" s="3">
        <v>5</v>
      </c>
    </row>
    <row r="419" spans="1:15" ht="20" customHeight="1">
      <c r="A419" s="3" t="s">
        <v>772</v>
      </c>
      <c r="B419" s="2">
        <v>46279</v>
      </c>
      <c r="C419" s="3">
        <v>7</v>
      </c>
      <c r="D419" s="3" t="s">
        <v>460</v>
      </c>
      <c r="E419" s="3" t="s">
        <v>117</v>
      </c>
      <c r="F419" s="3" t="s">
        <v>121</v>
      </c>
      <c r="G419" s="3" t="s">
        <v>110</v>
      </c>
      <c r="H419" s="3" t="s">
        <v>206</v>
      </c>
      <c r="I419" s="3">
        <v>3</v>
      </c>
      <c r="J419" s="11">
        <v>220</v>
      </c>
      <c r="K419" s="4">
        <v>0</v>
      </c>
      <c r="L419" s="3" t="s">
        <v>95</v>
      </c>
      <c r="M419" s="3">
        <v>32</v>
      </c>
      <c r="N419" s="3">
        <v>8</v>
      </c>
      <c r="O419" s="3">
        <v>5</v>
      </c>
    </row>
    <row r="420" spans="1:15" ht="20" customHeight="1">
      <c r="A420" s="3" t="s">
        <v>773</v>
      </c>
      <c r="B420" s="2">
        <v>46279</v>
      </c>
      <c r="C420" s="3">
        <v>8</v>
      </c>
      <c r="D420" s="3" t="s">
        <v>152</v>
      </c>
      <c r="E420" s="3" t="s">
        <v>117</v>
      </c>
      <c r="F420" s="3" t="s">
        <v>92</v>
      </c>
      <c r="G420" s="3" t="s">
        <v>93</v>
      </c>
      <c r="H420" s="3" t="s">
        <v>118</v>
      </c>
      <c r="I420" s="3">
        <v>5</v>
      </c>
      <c r="J420" s="11">
        <v>45</v>
      </c>
      <c r="K420" s="4">
        <v>0.1</v>
      </c>
      <c r="L420" s="3" t="s">
        <v>95</v>
      </c>
      <c r="M420" s="3">
        <v>19</v>
      </c>
      <c r="N420" s="3">
        <v>8</v>
      </c>
      <c r="O420" s="3">
        <v>4</v>
      </c>
    </row>
    <row r="421" spans="1:15" ht="20" customHeight="1">
      <c r="A421" s="3" t="s">
        <v>774</v>
      </c>
      <c r="B421" s="2">
        <v>46279</v>
      </c>
      <c r="C421" s="3">
        <v>12</v>
      </c>
      <c r="D421" s="3" t="s">
        <v>372</v>
      </c>
      <c r="E421" s="3" t="s">
        <v>117</v>
      </c>
      <c r="F421" s="3" t="s">
        <v>109</v>
      </c>
      <c r="G421" s="3" t="s">
        <v>99</v>
      </c>
      <c r="H421" s="3" t="s">
        <v>130</v>
      </c>
      <c r="I421" s="3">
        <v>2</v>
      </c>
      <c r="J421" s="11">
        <v>85</v>
      </c>
      <c r="K421" s="4">
        <v>0</v>
      </c>
      <c r="L421" s="3" t="s">
        <v>95</v>
      </c>
      <c r="M421" s="3">
        <v>14</v>
      </c>
      <c r="N421" s="3">
        <v>5</v>
      </c>
      <c r="O421" s="3">
        <v>5</v>
      </c>
    </row>
    <row r="422" spans="1:15" ht="20" customHeight="1">
      <c r="A422" s="3" t="s">
        <v>775</v>
      </c>
      <c r="B422" s="2">
        <v>46280</v>
      </c>
      <c r="C422" s="3">
        <v>7</v>
      </c>
      <c r="D422" s="3" t="s">
        <v>262</v>
      </c>
      <c r="E422" s="3" t="s">
        <v>117</v>
      </c>
      <c r="F422" s="3" t="s">
        <v>98</v>
      </c>
      <c r="G422" s="3" t="s">
        <v>110</v>
      </c>
      <c r="H422" s="3" t="s">
        <v>111</v>
      </c>
      <c r="I422" s="3">
        <v>4</v>
      </c>
      <c r="J422" s="11">
        <v>115</v>
      </c>
      <c r="K422" s="4">
        <v>0</v>
      </c>
      <c r="L422" s="3" t="s">
        <v>1311</v>
      </c>
      <c r="M422" s="3">
        <v>36</v>
      </c>
      <c r="N422" s="3">
        <v>12</v>
      </c>
      <c r="O422" s="3">
        <v>5</v>
      </c>
    </row>
    <row r="423" spans="1:15" ht="20" customHeight="1">
      <c r="A423" s="3" t="s">
        <v>776</v>
      </c>
      <c r="B423" s="2">
        <v>46280</v>
      </c>
      <c r="C423" s="3">
        <v>19</v>
      </c>
      <c r="D423" s="3" t="s">
        <v>777</v>
      </c>
      <c r="E423" s="3" t="s">
        <v>91</v>
      </c>
      <c r="F423" s="3" t="s">
        <v>92</v>
      </c>
      <c r="G423" s="3" t="s">
        <v>122</v>
      </c>
      <c r="H423" s="3" t="s">
        <v>153</v>
      </c>
      <c r="I423" s="3">
        <v>1</v>
      </c>
      <c r="J423" s="11">
        <v>130</v>
      </c>
      <c r="K423" s="4">
        <v>0.05</v>
      </c>
      <c r="L423" s="3" t="s">
        <v>95</v>
      </c>
      <c r="M423" s="3">
        <v>16</v>
      </c>
      <c r="N423" s="3">
        <v>14</v>
      </c>
      <c r="O423" s="3">
        <v>4</v>
      </c>
    </row>
    <row r="424" spans="1:15" ht="20" customHeight="1">
      <c r="A424" s="3" t="s">
        <v>778</v>
      </c>
      <c r="B424" s="2">
        <v>46280</v>
      </c>
      <c r="C424" s="3">
        <v>23</v>
      </c>
      <c r="D424" s="3" t="s">
        <v>238</v>
      </c>
      <c r="E424" s="3" t="s">
        <v>91</v>
      </c>
      <c r="F424" s="3" t="s">
        <v>92</v>
      </c>
      <c r="G424" s="3" t="s">
        <v>135</v>
      </c>
      <c r="H424" s="3" t="s">
        <v>162</v>
      </c>
      <c r="I424" s="3">
        <v>6</v>
      </c>
      <c r="J424" s="11">
        <v>180</v>
      </c>
      <c r="K424" s="4">
        <v>0</v>
      </c>
      <c r="L424" s="3" t="s">
        <v>95</v>
      </c>
      <c r="M424" s="3">
        <v>27</v>
      </c>
      <c r="N424" s="3">
        <v>13</v>
      </c>
      <c r="O424" s="3">
        <v>3</v>
      </c>
    </row>
    <row r="425" spans="1:15" ht="20" customHeight="1">
      <c r="A425" s="3" t="s">
        <v>779</v>
      </c>
      <c r="B425" s="2">
        <v>46280</v>
      </c>
      <c r="C425" s="3">
        <v>19</v>
      </c>
      <c r="D425" s="3" t="s">
        <v>780</v>
      </c>
      <c r="E425" s="3" t="s">
        <v>91</v>
      </c>
      <c r="F425" s="3" t="s">
        <v>92</v>
      </c>
      <c r="G425" s="3" t="s">
        <v>110</v>
      </c>
      <c r="H425" s="3" t="s">
        <v>206</v>
      </c>
      <c r="I425" s="3">
        <v>3</v>
      </c>
      <c r="J425" s="11">
        <v>220</v>
      </c>
      <c r="K425" s="4">
        <v>0.15</v>
      </c>
      <c r="L425" s="3" t="s">
        <v>101</v>
      </c>
      <c r="M425" s="3"/>
      <c r="N425" s="3"/>
      <c r="O425" s="3"/>
    </row>
    <row r="426" spans="1:15" ht="20" customHeight="1">
      <c r="A426" s="3" t="s">
        <v>781</v>
      </c>
      <c r="B426" s="2">
        <v>46280</v>
      </c>
      <c r="C426" s="3">
        <v>22</v>
      </c>
      <c r="D426" s="3" t="s">
        <v>161</v>
      </c>
      <c r="E426" s="3" t="s">
        <v>91</v>
      </c>
      <c r="F426" s="3" t="s">
        <v>98</v>
      </c>
      <c r="G426" s="3" t="s">
        <v>93</v>
      </c>
      <c r="H426" s="3" t="s">
        <v>94</v>
      </c>
      <c r="I426" s="3">
        <v>2</v>
      </c>
      <c r="J426" s="11">
        <v>95</v>
      </c>
      <c r="K426" s="4">
        <v>0</v>
      </c>
      <c r="L426" s="3" t="s">
        <v>95</v>
      </c>
      <c r="M426" s="3">
        <v>31</v>
      </c>
      <c r="N426" s="3">
        <v>7</v>
      </c>
      <c r="O426" s="3">
        <v>4</v>
      </c>
    </row>
    <row r="427" spans="1:15" ht="20" customHeight="1">
      <c r="A427" s="3" t="s">
        <v>782</v>
      </c>
      <c r="B427" s="2">
        <v>46280</v>
      </c>
      <c r="C427" s="3">
        <v>9</v>
      </c>
      <c r="D427" s="3" t="s">
        <v>624</v>
      </c>
      <c r="E427" s="3" t="s">
        <v>91</v>
      </c>
      <c r="F427" s="3" t="s">
        <v>109</v>
      </c>
      <c r="G427" s="3" t="s">
        <v>122</v>
      </c>
      <c r="H427" s="3" t="s">
        <v>214</v>
      </c>
      <c r="I427" s="3">
        <v>4</v>
      </c>
      <c r="J427" s="11">
        <v>55</v>
      </c>
      <c r="K427" s="4">
        <v>0</v>
      </c>
      <c r="L427" s="3" t="s">
        <v>95</v>
      </c>
      <c r="M427" s="3">
        <v>32</v>
      </c>
      <c r="N427" s="3">
        <v>11</v>
      </c>
      <c r="O427" s="3">
        <v>5</v>
      </c>
    </row>
    <row r="428" spans="1:15" ht="20" customHeight="1">
      <c r="A428" s="3" t="s">
        <v>783</v>
      </c>
      <c r="B428" s="2">
        <v>46280</v>
      </c>
      <c r="C428" s="3">
        <v>20</v>
      </c>
      <c r="D428" s="3" t="s">
        <v>693</v>
      </c>
      <c r="E428" s="3" t="s">
        <v>91</v>
      </c>
      <c r="F428" s="3" t="s">
        <v>121</v>
      </c>
      <c r="G428" s="3" t="s">
        <v>122</v>
      </c>
      <c r="H428" s="3" t="s">
        <v>153</v>
      </c>
      <c r="I428" s="3">
        <v>2</v>
      </c>
      <c r="J428" s="11">
        <v>130</v>
      </c>
      <c r="K428" s="4">
        <v>0</v>
      </c>
      <c r="L428" s="3" t="s">
        <v>95</v>
      </c>
      <c r="M428" s="3">
        <v>14</v>
      </c>
      <c r="N428" s="3">
        <v>7</v>
      </c>
      <c r="O428" s="3">
        <v>4</v>
      </c>
    </row>
    <row r="429" spans="1:15" ht="20" customHeight="1">
      <c r="A429" s="3" t="s">
        <v>784</v>
      </c>
      <c r="B429" s="2">
        <v>46280</v>
      </c>
      <c r="C429" s="3">
        <v>18</v>
      </c>
      <c r="D429" s="3" t="s">
        <v>434</v>
      </c>
      <c r="E429" s="3" t="s">
        <v>91</v>
      </c>
      <c r="F429" s="3" t="s">
        <v>109</v>
      </c>
      <c r="G429" s="3" t="s">
        <v>174</v>
      </c>
      <c r="H429" s="3" t="s">
        <v>184</v>
      </c>
      <c r="I429" s="3">
        <v>6</v>
      </c>
      <c r="J429" s="11">
        <v>62</v>
      </c>
      <c r="K429" s="4">
        <v>0</v>
      </c>
      <c r="L429" s="3" t="s">
        <v>95</v>
      </c>
      <c r="M429" s="3">
        <v>26</v>
      </c>
      <c r="N429" s="3">
        <v>9</v>
      </c>
      <c r="O429" s="3">
        <v>4</v>
      </c>
    </row>
    <row r="430" spans="1:15" ht="20" customHeight="1">
      <c r="A430" s="3" t="s">
        <v>785</v>
      </c>
      <c r="B430" s="2">
        <v>46280</v>
      </c>
      <c r="C430" s="3">
        <v>23</v>
      </c>
      <c r="D430" s="3" t="s">
        <v>340</v>
      </c>
      <c r="E430" s="3" t="s">
        <v>91</v>
      </c>
      <c r="F430" s="3" t="s">
        <v>109</v>
      </c>
      <c r="G430" s="3" t="s">
        <v>122</v>
      </c>
      <c r="H430" s="3" t="s">
        <v>123</v>
      </c>
      <c r="I430" s="3">
        <v>1</v>
      </c>
      <c r="J430" s="11">
        <v>45</v>
      </c>
      <c r="K430" s="4">
        <v>0</v>
      </c>
      <c r="L430" s="3" t="s">
        <v>95</v>
      </c>
      <c r="M430" s="3">
        <v>32</v>
      </c>
      <c r="N430" s="3">
        <v>9</v>
      </c>
      <c r="O430" s="3">
        <v>5</v>
      </c>
    </row>
    <row r="431" spans="1:15" ht="20" customHeight="1">
      <c r="A431" s="3" t="s">
        <v>786</v>
      </c>
      <c r="B431" s="2">
        <v>46280</v>
      </c>
      <c r="C431" s="3">
        <v>15</v>
      </c>
      <c r="D431" s="3" t="s">
        <v>108</v>
      </c>
      <c r="E431" s="3" t="s">
        <v>91</v>
      </c>
      <c r="F431" s="3" t="s">
        <v>139</v>
      </c>
      <c r="G431" s="3" t="s">
        <v>99</v>
      </c>
      <c r="H431" s="3" t="s">
        <v>130</v>
      </c>
      <c r="I431" s="3">
        <v>1</v>
      </c>
      <c r="J431" s="11">
        <v>85</v>
      </c>
      <c r="K431" s="4">
        <v>0</v>
      </c>
      <c r="L431" s="3" t="s">
        <v>101</v>
      </c>
      <c r="M431" s="3"/>
      <c r="N431" s="3"/>
      <c r="O431" s="3"/>
    </row>
    <row r="432" spans="1:15" ht="20" customHeight="1">
      <c r="A432" s="3" t="s">
        <v>787</v>
      </c>
      <c r="B432" s="2">
        <v>46280</v>
      </c>
      <c r="C432" s="3">
        <v>21</v>
      </c>
      <c r="D432" s="3" t="s">
        <v>788</v>
      </c>
      <c r="E432" s="3" t="s">
        <v>91</v>
      </c>
      <c r="F432" s="3" t="s">
        <v>92</v>
      </c>
      <c r="G432" s="3" t="s">
        <v>110</v>
      </c>
      <c r="H432" s="3" t="s">
        <v>114</v>
      </c>
      <c r="I432" s="3">
        <v>5</v>
      </c>
      <c r="J432" s="11">
        <v>145</v>
      </c>
      <c r="K432" s="4">
        <v>0.05</v>
      </c>
      <c r="L432" s="3" t="s">
        <v>95</v>
      </c>
      <c r="M432" s="3">
        <v>21</v>
      </c>
      <c r="N432" s="3">
        <v>10</v>
      </c>
      <c r="O432" s="3">
        <v>4</v>
      </c>
    </row>
    <row r="433" spans="1:15" ht="20" customHeight="1">
      <c r="A433" s="3" t="s">
        <v>789</v>
      </c>
      <c r="B433" s="2">
        <v>46280</v>
      </c>
      <c r="C433" s="3">
        <v>11</v>
      </c>
      <c r="D433" s="3" t="s">
        <v>615</v>
      </c>
      <c r="E433" s="3" t="s">
        <v>91</v>
      </c>
      <c r="F433" s="3" t="s">
        <v>92</v>
      </c>
      <c r="G433" s="3" t="s">
        <v>93</v>
      </c>
      <c r="H433" s="3" t="s">
        <v>146</v>
      </c>
      <c r="I433" s="3">
        <v>5</v>
      </c>
      <c r="J433" s="11">
        <v>110</v>
      </c>
      <c r="K433" s="4">
        <v>0.15</v>
      </c>
      <c r="L433" s="3" t="s">
        <v>95</v>
      </c>
      <c r="M433" s="3">
        <v>15</v>
      </c>
      <c r="N433" s="3">
        <v>6</v>
      </c>
      <c r="O433" s="3">
        <v>4</v>
      </c>
    </row>
    <row r="434" spans="1:15" ht="20" customHeight="1">
      <c r="A434" s="3" t="s">
        <v>790</v>
      </c>
      <c r="B434" s="2">
        <v>46280</v>
      </c>
      <c r="C434" s="3">
        <v>14</v>
      </c>
      <c r="D434" s="3" t="s">
        <v>224</v>
      </c>
      <c r="E434" s="3" t="s">
        <v>91</v>
      </c>
      <c r="F434" s="3" t="s">
        <v>121</v>
      </c>
      <c r="G434" s="3" t="s">
        <v>93</v>
      </c>
      <c r="H434" s="3" t="s">
        <v>146</v>
      </c>
      <c r="I434" s="3">
        <v>2</v>
      </c>
      <c r="J434" s="11">
        <v>110</v>
      </c>
      <c r="K434" s="4">
        <v>0</v>
      </c>
      <c r="L434" s="3" t="s">
        <v>95</v>
      </c>
      <c r="M434" s="3">
        <v>31</v>
      </c>
      <c r="N434" s="3">
        <v>10</v>
      </c>
      <c r="O434" s="3">
        <v>4</v>
      </c>
    </row>
    <row r="435" spans="1:15" ht="20" customHeight="1">
      <c r="A435" s="3" t="s">
        <v>791</v>
      </c>
      <c r="B435" s="2">
        <v>46280</v>
      </c>
      <c r="C435" s="3">
        <v>21</v>
      </c>
      <c r="D435" s="3" t="s">
        <v>561</v>
      </c>
      <c r="E435" s="3" t="s">
        <v>117</v>
      </c>
      <c r="F435" s="3" t="s">
        <v>121</v>
      </c>
      <c r="G435" s="3" t="s">
        <v>99</v>
      </c>
      <c r="H435" s="3" t="s">
        <v>100</v>
      </c>
      <c r="I435" s="3">
        <v>4</v>
      </c>
      <c r="J435" s="11">
        <v>120</v>
      </c>
      <c r="K435" s="4">
        <v>0</v>
      </c>
      <c r="L435" s="3" t="s">
        <v>95</v>
      </c>
      <c r="M435" s="3">
        <v>19</v>
      </c>
      <c r="N435" s="3">
        <v>13</v>
      </c>
      <c r="O435" s="3">
        <v>5</v>
      </c>
    </row>
    <row r="436" spans="1:15" ht="20" customHeight="1">
      <c r="A436" s="3" t="s">
        <v>792</v>
      </c>
      <c r="B436" s="2">
        <v>46280</v>
      </c>
      <c r="C436" s="3">
        <v>20</v>
      </c>
      <c r="D436" s="3" t="s">
        <v>159</v>
      </c>
      <c r="E436" s="3" t="s">
        <v>117</v>
      </c>
      <c r="F436" s="3" t="s">
        <v>92</v>
      </c>
      <c r="G436" s="3" t="s">
        <v>122</v>
      </c>
      <c r="H436" s="3" t="s">
        <v>214</v>
      </c>
      <c r="I436" s="3">
        <v>1</v>
      </c>
      <c r="J436" s="11">
        <v>55</v>
      </c>
      <c r="K436" s="4">
        <v>0</v>
      </c>
      <c r="L436" s="3" t="s">
        <v>95</v>
      </c>
      <c r="M436" s="3">
        <v>12</v>
      </c>
      <c r="N436" s="3">
        <v>4</v>
      </c>
      <c r="O436" s="3">
        <v>4</v>
      </c>
    </row>
    <row r="437" spans="1:15" ht="20" customHeight="1">
      <c r="A437" s="3" t="s">
        <v>793</v>
      </c>
      <c r="B437" s="2">
        <v>46280</v>
      </c>
      <c r="C437" s="3">
        <v>10</v>
      </c>
      <c r="D437" s="3" t="s">
        <v>794</v>
      </c>
      <c r="E437" s="3" t="s">
        <v>117</v>
      </c>
      <c r="F437" s="3" t="s">
        <v>98</v>
      </c>
      <c r="G437" s="3" t="s">
        <v>93</v>
      </c>
      <c r="H437" s="3" t="s">
        <v>118</v>
      </c>
      <c r="I437" s="3">
        <v>4</v>
      </c>
      <c r="J437" s="11">
        <v>45</v>
      </c>
      <c r="K437" s="4">
        <v>0</v>
      </c>
      <c r="L437" s="3" t="s">
        <v>95</v>
      </c>
      <c r="M437" s="3">
        <v>14</v>
      </c>
      <c r="N437" s="3">
        <v>11</v>
      </c>
      <c r="O437" s="3">
        <v>5</v>
      </c>
    </row>
    <row r="438" spans="1:15" ht="20" customHeight="1">
      <c r="A438" s="3" t="s">
        <v>795</v>
      </c>
      <c r="B438" s="2">
        <v>46280</v>
      </c>
      <c r="C438" s="3">
        <v>22</v>
      </c>
      <c r="D438" s="3" t="s">
        <v>708</v>
      </c>
      <c r="E438" s="3" t="s">
        <v>117</v>
      </c>
      <c r="F438" s="3" t="s">
        <v>109</v>
      </c>
      <c r="G438" s="3" t="s">
        <v>93</v>
      </c>
      <c r="H438" s="3" t="s">
        <v>94</v>
      </c>
      <c r="I438" s="3">
        <v>1</v>
      </c>
      <c r="J438" s="11">
        <v>95</v>
      </c>
      <c r="K438" s="4">
        <v>0.1</v>
      </c>
      <c r="L438" s="3" t="s">
        <v>95</v>
      </c>
      <c r="M438" s="3">
        <v>24</v>
      </c>
      <c r="N438" s="3">
        <v>11</v>
      </c>
      <c r="O438" s="3">
        <v>4</v>
      </c>
    </row>
    <row r="439" spans="1:15" ht="20" customHeight="1">
      <c r="A439" s="3" t="s">
        <v>796</v>
      </c>
      <c r="B439" s="2">
        <v>46280</v>
      </c>
      <c r="C439" s="3">
        <v>23</v>
      </c>
      <c r="D439" s="3" t="s">
        <v>141</v>
      </c>
      <c r="E439" s="3" t="s">
        <v>91</v>
      </c>
      <c r="F439" s="3" t="s">
        <v>109</v>
      </c>
      <c r="G439" s="3" t="s">
        <v>110</v>
      </c>
      <c r="H439" s="3" t="s">
        <v>114</v>
      </c>
      <c r="I439" s="3">
        <v>4</v>
      </c>
      <c r="J439" s="11">
        <v>145</v>
      </c>
      <c r="K439" s="4">
        <v>0</v>
      </c>
      <c r="L439" s="3" t="s">
        <v>95</v>
      </c>
      <c r="M439" s="3">
        <v>26</v>
      </c>
      <c r="N439" s="3">
        <v>7</v>
      </c>
      <c r="O439" s="3">
        <v>5</v>
      </c>
    </row>
    <row r="440" spans="1:15" ht="20" customHeight="1">
      <c r="A440" s="3" t="s">
        <v>797</v>
      </c>
      <c r="B440" s="2">
        <v>46280</v>
      </c>
      <c r="C440" s="3">
        <v>19</v>
      </c>
      <c r="D440" s="3" t="s">
        <v>197</v>
      </c>
      <c r="E440" s="3" t="s">
        <v>91</v>
      </c>
      <c r="F440" s="3" t="s">
        <v>98</v>
      </c>
      <c r="G440" s="3" t="s">
        <v>122</v>
      </c>
      <c r="H440" s="3" t="s">
        <v>153</v>
      </c>
      <c r="I440" s="3">
        <v>4</v>
      </c>
      <c r="J440" s="11">
        <v>130</v>
      </c>
      <c r="K440" s="4">
        <v>0.1</v>
      </c>
      <c r="L440" s="3" t="s">
        <v>95</v>
      </c>
      <c r="M440" s="3">
        <v>15</v>
      </c>
      <c r="N440" s="3">
        <v>10</v>
      </c>
      <c r="O440" s="3">
        <v>5</v>
      </c>
    </row>
    <row r="441" spans="1:15" ht="20" customHeight="1">
      <c r="A441" s="3" t="s">
        <v>798</v>
      </c>
      <c r="B441" s="2">
        <v>46280</v>
      </c>
      <c r="C441" s="3">
        <v>11</v>
      </c>
      <c r="D441" s="3" t="s">
        <v>799</v>
      </c>
      <c r="E441" s="3" t="s">
        <v>91</v>
      </c>
      <c r="F441" s="3" t="s">
        <v>98</v>
      </c>
      <c r="G441" s="3" t="s">
        <v>122</v>
      </c>
      <c r="H441" s="3" t="s">
        <v>214</v>
      </c>
      <c r="I441" s="3">
        <v>1</v>
      </c>
      <c r="J441" s="11">
        <v>55</v>
      </c>
      <c r="K441" s="4">
        <v>0</v>
      </c>
      <c r="L441" s="3" t="s">
        <v>95</v>
      </c>
      <c r="M441" s="3">
        <v>20</v>
      </c>
      <c r="N441" s="3">
        <v>4</v>
      </c>
      <c r="O441" s="3">
        <v>5</v>
      </c>
    </row>
    <row r="442" spans="1:15" ht="20" customHeight="1">
      <c r="A442" s="3" t="s">
        <v>800</v>
      </c>
      <c r="B442" s="2">
        <v>46280</v>
      </c>
      <c r="C442" s="3">
        <v>18</v>
      </c>
      <c r="D442" s="3" t="s">
        <v>301</v>
      </c>
      <c r="E442" s="3" t="s">
        <v>91</v>
      </c>
      <c r="F442" s="3" t="s">
        <v>109</v>
      </c>
      <c r="G442" s="3" t="s">
        <v>110</v>
      </c>
      <c r="H442" s="3" t="s">
        <v>114</v>
      </c>
      <c r="I442" s="3">
        <v>1</v>
      </c>
      <c r="J442" s="11">
        <v>145</v>
      </c>
      <c r="K442" s="4">
        <v>0.05</v>
      </c>
      <c r="L442" s="3" t="s">
        <v>95</v>
      </c>
      <c r="M442" s="3">
        <v>18</v>
      </c>
      <c r="N442" s="3">
        <v>14</v>
      </c>
      <c r="O442" s="3">
        <v>5</v>
      </c>
    </row>
    <row r="443" spans="1:15" ht="20" customHeight="1">
      <c r="A443" s="3" t="s">
        <v>801</v>
      </c>
      <c r="B443" s="2">
        <v>46280</v>
      </c>
      <c r="C443" s="3">
        <v>21</v>
      </c>
      <c r="D443" s="3" t="s">
        <v>378</v>
      </c>
      <c r="E443" s="3" t="s">
        <v>117</v>
      </c>
      <c r="F443" s="3" t="s">
        <v>121</v>
      </c>
      <c r="G443" s="3" t="s">
        <v>174</v>
      </c>
      <c r="H443" s="3" t="s">
        <v>184</v>
      </c>
      <c r="I443" s="3">
        <v>4</v>
      </c>
      <c r="J443" s="11">
        <v>62</v>
      </c>
      <c r="K443" s="4">
        <v>0</v>
      </c>
      <c r="L443" s="3" t="s">
        <v>95</v>
      </c>
      <c r="M443" s="3">
        <v>30</v>
      </c>
      <c r="N443" s="3">
        <v>12</v>
      </c>
      <c r="O443" s="3">
        <v>5</v>
      </c>
    </row>
    <row r="444" spans="1:15" ht="20" customHeight="1">
      <c r="A444" s="3" t="s">
        <v>802</v>
      </c>
      <c r="B444" s="2">
        <v>46280</v>
      </c>
      <c r="C444" s="3">
        <v>22</v>
      </c>
      <c r="D444" s="3" t="s">
        <v>803</v>
      </c>
      <c r="E444" s="3" t="s">
        <v>117</v>
      </c>
      <c r="F444" s="3" t="s">
        <v>139</v>
      </c>
      <c r="G444" s="3" t="s">
        <v>174</v>
      </c>
      <c r="H444" s="3" t="s">
        <v>274</v>
      </c>
      <c r="I444" s="3">
        <v>4</v>
      </c>
      <c r="J444" s="11">
        <v>90</v>
      </c>
      <c r="K444" s="4">
        <v>0.1</v>
      </c>
      <c r="L444" s="3" t="s">
        <v>95</v>
      </c>
      <c r="M444" s="3">
        <v>22</v>
      </c>
      <c r="N444" s="3">
        <v>10</v>
      </c>
      <c r="O444" s="3">
        <v>4</v>
      </c>
    </row>
    <row r="445" spans="1:15" ht="20" customHeight="1">
      <c r="A445" s="3" t="s">
        <v>804</v>
      </c>
      <c r="B445" s="2">
        <v>46280</v>
      </c>
      <c r="C445" s="3">
        <v>8</v>
      </c>
      <c r="D445" s="3" t="s">
        <v>805</v>
      </c>
      <c r="E445" s="3" t="s">
        <v>91</v>
      </c>
      <c r="F445" s="3" t="s">
        <v>121</v>
      </c>
      <c r="G445" s="3" t="s">
        <v>135</v>
      </c>
      <c r="H445" s="3" t="s">
        <v>136</v>
      </c>
      <c r="I445" s="3">
        <v>1</v>
      </c>
      <c r="J445" s="11">
        <v>40</v>
      </c>
      <c r="K445" s="4">
        <v>0.15</v>
      </c>
      <c r="L445" s="3" t="s">
        <v>95</v>
      </c>
      <c r="M445" s="3">
        <v>22</v>
      </c>
      <c r="N445" s="3">
        <v>10</v>
      </c>
      <c r="O445" s="3">
        <v>5</v>
      </c>
    </row>
    <row r="446" spans="1:15" ht="20" customHeight="1">
      <c r="A446" s="3" t="s">
        <v>806</v>
      </c>
      <c r="B446" s="2">
        <v>46280</v>
      </c>
      <c r="C446" s="3">
        <v>6</v>
      </c>
      <c r="D446" s="3" t="s">
        <v>186</v>
      </c>
      <c r="E446" s="3" t="s">
        <v>117</v>
      </c>
      <c r="F446" s="3" t="s">
        <v>121</v>
      </c>
      <c r="G446" s="3" t="s">
        <v>135</v>
      </c>
      <c r="H446" s="3" t="s">
        <v>217</v>
      </c>
      <c r="I446" s="3">
        <v>4</v>
      </c>
      <c r="J446" s="11">
        <v>65</v>
      </c>
      <c r="K446" s="4">
        <v>0</v>
      </c>
      <c r="L446" s="3" t="s">
        <v>95</v>
      </c>
      <c r="M446" s="3">
        <v>15</v>
      </c>
      <c r="N446" s="3">
        <v>7</v>
      </c>
      <c r="O446" s="3">
        <v>5</v>
      </c>
    </row>
    <row r="447" spans="1:15" ht="20" customHeight="1">
      <c r="A447" s="3" t="s">
        <v>807</v>
      </c>
      <c r="B447" s="2">
        <v>46280</v>
      </c>
      <c r="C447" s="3">
        <v>20</v>
      </c>
      <c r="D447" s="3" t="s">
        <v>267</v>
      </c>
      <c r="E447" s="3" t="s">
        <v>91</v>
      </c>
      <c r="F447" s="3" t="s">
        <v>98</v>
      </c>
      <c r="G447" s="3" t="s">
        <v>135</v>
      </c>
      <c r="H447" s="3" t="s">
        <v>162</v>
      </c>
      <c r="I447" s="3">
        <v>5</v>
      </c>
      <c r="J447" s="11">
        <v>180</v>
      </c>
      <c r="K447" s="4">
        <v>0.1</v>
      </c>
      <c r="L447" s="3" t="s">
        <v>95</v>
      </c>
      <c r="M447" s="3">
        <v>26</v>
      </c>
      <c r="N447" s="3">
        <v>5</v>
      </c>
      <c r="O447" s="3">
        <v>4</v>
      </c>
    </row>
    <row r="448" spans="1:15" ht="20" customHeight="1">
      <c r="A448" s="3" t="s">
        <v>808</v>
      </c>
      <c r="B448" s="2">
        <v>46280</v>
      </c>
      <c r="C448" s="3">
        <v>17</v>
      </c>
      <c r="D448" s="3" t="s">
        <v>497</v>
      </c>
      <c r="E448" s="3" t="s">
        <v>91</v>
      </c>
      <c r="F448" s="3" t="s">
        <v>139</v>
      </c>
      <c r="G448" s="3" t="s">
        <v>135</v>
      </c>
      <c r="H448" s="3" t="s">
        <v>162</v>
      </c>
      <c r="I448" s="3">
        <v>2</v>
      </c>
      <c r="J448" s="11">
        <v>180</v>
      </c>
      <c r="K448" s="4">
        <v>0</v>
      </c>
      <c r="L448" s="3" t="s">
        <v>95</v>
      </c>
      <c r="M448" s="3">
        <v>35</v>
      </c>
      <c r="N448" s="3">
        <v>11</v>
      </c>
      <c r="O448" s="3">
        <v>4</v>
      </c>
    </row>
    <row r="449" spans="1:15" ht="20" customHeight="1">
      <c r="A449" s="3" t="s">
        <v>809</v>
      </c>
      <c r="B449" s="2">
        <v>46280</v>
      </c>
      <c r="C449" s="3">
        <v>18</v>
      </c>
      <c r="D449" s="3" t="s">
        <v>477</v>
      </c>
      <c r="E449" s="3" t="s">
        <v>91</v>
      </c>
      <c r="F449" s="3" t="s">
        <v>109</v>
      </c>
      <c r="G449" s="3" t="s">
        <v>135</v>
      </c>
      <c r="H449" s="3" t="s">
        <v>136</v>
      </c>
      <c r="I449" s="3">
        <v>5</v>
      </c>
      <c r="J449" s="11">
        <v>40</v>
      </c>
      <c r="K449" s="4">
        <v>0</v>
      </c>
      <c r="L449" s="3" t="s">
        <v>95</v>
      </c>
      <c r="M449" s="3">
        <v>18</v>
      </c>
      <c r="N449" s="3">
        <v>4</v>
      </c>
      <c r="O449" s="3">
        <v>4</v>
      </c>
    </row>
    <row r="450" spans="1:15" ht="20" customHeight="1">
      <c r="A450" s="3" t="s">
        <v>810</v>
      </c>
      <c r="B450" s="2">
        <v>46280</v>
      </c>
      <c r="C450" s="3">
        <v>7</v>
      </c>
      <c r="D450" s="3" t="s">
        <v>652</v>
      </c>
      <c r="E450" s="3" t="s">
        <v>91</v>
      </c>
      <c r="F450" s="3" t="s">
        <v>109</v>
      </c>
      <c r="G450" s="3" t="s">
        <v>110</v>
      </c>
      <c r="H450" s="3" t="s">
        <v>206</v>
      </c>
      <c r="I450" s="3">
        <v>3</v>
      </c>
      <c r="J450" s="11">
        <v>220</v>
      </c>
      <c r="K450" s="4">
        <v>0.1</v>
      </c>
      <c r="L450" s="3" t="s">
        <v>95</v>
      </c>
      <c r="M450" s="3">
        <v>24</v>
      </c>
      <c r="N450" s="3">
        <v>8</v>
      </c>
      <c r="O450" s="3">
        <v>5</v>
      </c>
    </row>
    <row r="451" spans="1:15" ht="20" customHeight="1">
      <c r="A451" s="3" t="s">
        <v>811</v>
      </c>
      <c r="B451" s="2">
        <v>46280</v>
      </c>
      <c r="C451" s="3">
        <v>19</v>
      </c>
      <c r="D451" s="3" t="s">
        <v>228</v>
      </c>
      <c r="E451" s="3" t="s">
        <v>91</v>
      </c>
      <c r="F451" s="3" t="s">
        <v>98</v>
      </c>
      <c r="G451" s="3" t="s">
        <v>135</v>
      </c>
      <c r="H451" s="3" t="s">
        <v>136</v>
      </c>
      <c r="I451" s="3">
        <v>4</v>
      </c>
      <c r="J451" s="11">
        <v>40</v>
      </c>
      <c r="K451" s="4">
        <v>0.15</v>
      </c>
      <c r="L451" s="3" t="s">
        <v>95</v>
      </c>
      <c r="M451" s="3">
        <v>24</v>
      </c>
      <c r="N451" s="3">
        <v>5</v>
      </c>
      <c r="O451" s="3">
        <v>5</v>
      </c>
    </row>
    <row r="452" spans="1:15" ht="20" customHeight="1">
      <c r="A452" s="3" t="s">
        <v>812</v>
      </c>
      <c r="B452" s="2">
        <v>46281</v>
      </c>
      <c r="C452" s="3">
        <v>22</v>
      </c>
      <c r="D452" s="3" t="s">
        <v>813</v>
      </c>
      <c r="E452" s="3" t="s">
        <v>117</v>
      </c>
      <c r="F452" s="3" t="s">
        <v>1315</v>
      </c>
      <c r="G452" s="3" t="s">
        <v>110</v>
      </c>
      <c r="H452" s="3" t="s">
        <v>114</v>
      </c>
      <c r="I452" s="3">
        <v>1</v>
      </c>
      <c r="J452" s="11">
        <v>145</v>
      </c>
      <c r="K452" s="4">
        <v>0.15</v>
      </c>
      <c r="L452" s="3" t="s">
        <v>95</v>
      </c>
      <c r="M452" s="3">
        <v>13</v>
      </c>
      <c r="N452" s="3">
        <v>13</v>
      </c>
      <c r="O452" s="3">
        <v>4</v>
      </c>
    </row>
    <row r="453" spans="1:15" ht="20" customHeight="1">
      <c r="A453" s="3" t="s">
        <v>814</v>
      </c>
      <c r="B453" s="2">
        <v>46281</v>
      </c>
      <c r="C453" s="3">
        <v>20</v>
      </c>
      <c r="D453" s="3" t="s">
        <v>356</v>
      </c>
      <c r="E453" s="3" t="s">
        <v>91</v>
      </c>
      <c r="F453" s="3" t="s">
        <v>139</v>
      </c>
      <c r="G453" s="3" t="s">
        <v>135</v>
      </c>
      <c r="H453" s="3" t="s">
        <v>136</v>
      </c>
      <c r="I453" s="3">
        <v>3</v>
      </c>
      <c r="J453" s="11">
        <v>40</v>
      </c>
      <c r="K453" s="4">
        <v>0</v>
      </c>
      <c r="L453" s="3" t="s">
        <v>95</v>
      </c>
      <c r="M453" s="3">
        <v>35</v>
      </c>
      <c r="N453" s="3">
        <v>5</v>
      </c>
      <c r="O453" s="3">
        <v>3</v>
      </c>
    </row>
    <row r="454" spans="1:15" ht="20" customHeight="1">
      <c r="A454" s="3" t="s">
        <v>815</v>
      </c>
      <c r="B454" s="2">
        <v>46281</v>
      </c>
      <c r="C454" s="3">
        <v>22</v>
      </c>
      <c r="D454" s="3" t="s">
        <v>525</v>
      </c>
      <c r="E454" s="3" t="s">
        <v>91</v>
      </c>
      <c r="F454" s="3" t="s">
        <v>109</v>
      </c>
      <c r="G454" s="3" t="s">
        <v>99</v>
      </c>
      <c r="H454" s="3" t="s">
        <v>100</v>
      </c>
      <c r="I454" s="3">
        <v>1</v>
      </c>
      <c r="J454" s="11">
        <v>120</v>
      </c>
      <c r="K454" s="4">
        <v>0</v>
      </c>
      <c r="L454" s="3" t="s">
        <v>95</v>
      </c>
      <c r="M454" s="3">
        <v>21</v>
      </c>
      <c r="N454" s="3">
        <v>12</v>
      </c>
      <c r="O454" s="3">
        <v>5</v>
      </c>
    </row>
    <row r="455" spans="1:15" ht="20" customHeight="1">
      <c r="A455" s="3" t="s">
        <v>816</v>
      </c>
      <c r="B455" s="2">
        <v>46281</v>
      </c>
      <c r="C455" s="3">
        <v>8</v>
      </c>
      <c r="D455" s="3" t="s">
        <v>219</v>
      </c>
      <c r="E455" s="3" t="s">
        <v>91</v>
      </c>
      <c r="F455" s="3" t="s">
        <v>109</v>
      </c>
      <c r="G455" s="3" t="s">
        <v>135</v>
      </c>
      <c r="H455" s="3" t="s">
        <v>162</v>
      </c>
      <c r="I455" s="3">
        <v>6</v>
      </c>
      <c r="J455" s="11">
        <v>180</v>
      </c>
      <c r="K455" s="4">
        <v>0.15</v>
      </c>
      <c r="L455" s="3" t="s">
        <v>101</v>
      </c>
      <c r="M455" s="3"/>
      <c r="N455" s="3"/>
      <c r="O455" s="3"/>
    </row>
    <row r="456" spans="1:15" ht="20" customHeight="1">
      <c r="A456" s="3" t="s">
        <v>817</v>
      </c>
      <c r="B456" s="2">
        <v>46281</v>
      </c>
      <c r="C456" s="3">
        <v>18</v>
      </c>
      <c r="D456" s="3" t="s">
        <v>167</v>
      </c>
      <c r="E456" s="3" t="s">
        <v>91</v>
      </c>
      <c r="F456" s="3" t="s">
        <v>121</v>
      </c>
      <c r="G456" s="3" t="s">
        <v>110</v>
      </c>
      <c r="H456" s="3" t="s">
        <v>114</v>
      </c>
      <c r="I456" s="3">
        <v>3</v>
      </c>
      <c r="J456" s="11">
        <v>145</v>
      </c>
      <c r="K456" s="4">
        <v>0</v>
      </c>
      <c r="L456" s="3" t="s">
        <v>95</v>
      </c>
      <c r="M456" s="3">
        <v>36</v>
      </c>
      <c r="N456" s="3">
        <v>15</v>
      </c>
      <c r="O456" s="3">
        <v>3</v>
      </c>
    </row>
    <row r="457" spans="1:15" ht="20" customHeight="1">
      <c r="A457" s="3" t="s">
        <v>818</v>
      </c>
      <c r="B457" s="2">
        <v>46281</v>
      </c>
      <c r="C457" s="3">
        <v>11</v>
      </c>
      <c r="D457" s="3" t="s">
        <v>423</v>
      </c>
      <c r="E457" s="3" t="s">
        <v>91</v>
      </c>
      <c r="F457" s="3" t="s">
        <v>92</v>
      </c>
      <c r="G457" s="3" t="s">
        <v>99</v>
      </c>
      <c r="H457" s="3" t="s">
        <v>130</v>
      </c>
      <c r="I457" s="3">
        <v>2</v>
      </c>
      <c r="J457" s="11">
        <v>85</v>
      </c>
      <c r="K457" s="4">
        <v>0.05</v>
      </c>
      <c r="L457" s="3" t="s">
        <v>95</v>
      </c>
      <c r="M457" s="3">
        <v>32</v>
      </c>
      <c r="N457" s="3">
        <v>5</v>
      </c>
      <c r="O457" s="3">
        <v>4</v>
      </c>
    </row>
    <row r="458" spans="1:15" ht="20" customHeight="1">
      <c r="A458" s="3" t="s">
        <v>819</v>
      </c>
      <c r="B458" s="2">
        <v>46281</v>
      </c>
      <c r="C458" s="3">
        <v>11</v>
      </c>
      <c r="D458" s="3" t="s">
        <v>312</v>
      </c>
      <c r="E458" s="3" t="s">
        <v>91</v>
      </c>
      <c r="F458" s="3" t="s">
        <v>98</v>
      </c>
      <c r="G458" s="3" t="s">
        <v>99</v>
      </c>
      <c r="H458" s="3" t="s">
        <v>130</v>
      </c>
      <c r="I458" s="3">
        <v>3</v>
      </c>
      <c r="J458" s="11">
        <v>85</v>
      </c>
      <c r="K458" s="4">
        <v>0</v>
      </c>
      <c r="L458" s="3" t="s">
        <v>95</v>
      </c>
      <c r="M458" s="3">
        <v>21</v>
      </c>
      <c r="N458" s="3">
        <v>10</v>
      </c>
      <c r="O458" s="3">
        <v>5</v>
      </c>
    </row>
    <row r="459" spans="1:15" ht="20" customHeight="1">
      <c r="A459" s="3" t="s">
        <v>820</v>
      </c>
      <c r="B459" s="2">
        <v>46281</v>
      </c>
      <c r="C459" s="3">
        <v>16</v>
      </c>
      <c r="D459" s="3" t="s">
        <v>436</v>
      </c>
      <c r="E459" s="3" t="s">
        <v>117</v>
      </c>
      <c r="F459" s="3" t="s">
        <v>139</v>
      </c>
      <c r="G459" s="3" t="s">
        <v>110</v>
      </c>
      <c r="H459" s="3" t="s">
        <v>206</v>
      </c>
      <c r="I459" s="3">
        <v>5</v>
      </c>
      <c r="J459" s="11">
        <v>220</v>
      </c>
      <c r="K459" s="4">
        <v>0</v>
      </c>
      <c r="L459" s="3" t="s">
        <v>95</v>
      </c>
      <c r="M459" s="3">
        <v>30</v>
      </c>
      <c r="N459" s="3">
        <v>8</v>
      </c>
      <c r="O459" s="3">
        <v>4</v>
      </c>
    </row>
    <row r="460" spans="1:15" ht="20" customHeight="1">
      <c r="A460" s="3" t="s">
        <v>821</v>
      </c>
      <c r="B460" s="2">
        <v>46281</v>
      </c>
      <c r="C460" s="3">
        <v>17</v>
      </c>
      <c r="D460" s="3" t="s">
        <v>462</v>
      </c>
      <c r="E460" s="3" t="s">
        <v>91</v>
      </c>
      <c r="F460" s="3" t="s">
        <v>121</v>
      </c>
      <c r="G460" s="3" t="s">
        <v>99</v>
      </c>
      <c r="H460" s="3" t="s">
        <v>100</v>
      </c>
      <c r="I460" s="3">
        <v>6</v>
      </c>
      <c r="J460" s="11">
        <v>120</v>
      </c>
      <c r="K460" s="4">
        <v>0</v>
      </c>
      <c r="L460" s="3" t="s">
        <v>95</v>
      </c>
      <c r="M460" s="3">
        <v>19</v>
      </c>
      <c r="N460" s="3">
        <v>5</v>
      </c>
      <c r="O460" s="3">
        <v>3</v>
      </c>
    </row>
    <row r="461" spans="1:15" ht="20" customHeight="1">
      <c r="A461" s="3" t="s">
        <v>822</v>
      </c>
      <c r="B461" s="2">
        <v>46281</v>
      </c>
      <c r="C461" s="3">
        <v>19</v>
      </c>
      <c r="D461" s="3" t="s">
        <v>823</v>
      </c>
      <c r="E461" s="3" t="s">
        <v>91</v>
      </c>
      <c r="F461" s="3" t="s">
        <v>139</v>
      </c>
      <c r="G461" s="3" t="s">
        <v>110</v>
      </c>
      <c r="H461" s="3" t="s">
        <v>114</v>
      </c>
      <c r="I461" s="3">
        <v>2</v>
      </c>
      <c r="J461" s="11">
        <v>145</v>
      </c>
      <c r="K461" s="4">
        <v>0</v>
      </c>
      <c r="L461" s="3" t="s">
        <v>95</v>
      </c>
      <c r="M461" s="3">
        <v>37</v>
      </c>
      <c r="N461" s="3">
        <v>9</v>
      </c>
      <c r="O461" s="3">
        <v>4</v>
      </c>
    </row>
    <row r="462" spans="1:15" ht="20" customHeight="1">
      <c r="A462" s="3" t="s">
        <v>824</v>
      </c>
      <c r="B462" s="2">
        <v>46281</v>
      </c>
      <c r="C462" s="3">
        <v>18</v>
      </c>
      <c r="D462" s="3" t="s">
        <v>825</v>
      </c>
      <c r="E462" s="3" t="s">
        <v>117</v>
      </c>
      <c r="F462" s="3" t="s">
        <v>109</v>
      </c>
      <c r="G462" s="3" t="s">
        <v>110</v>
      </c>
      <c r="H462" s="3" t="s">
        <v>111</v>
      </c>
      <c r="I462" s="3">
        <v>2</v>
      </c>
      <c r="J462" s="11">
        <v>115</v>
      </c>
      <c r="K462" s="4">
        <v>0</v>
      </c>
      <c r="L462" s="3" t="s">
        <v>95</v>
      </c>
      <c r="M462" s="3">
        <v>34</v>
      </c>
      <c r="N462" s="3">
        <v>10</v>
      </c>
      <c r="O462" s="3">
        <v>4</v>
      </c>
    </row>
    <row r="463" spans="1:15" ht="20" customHeight="1">
      <c r="A463" s="3" t="s">
        <v>826</v>
      </c>
      <c r="B463" s="2">
        <v>46281</v>
      </c>
      <c r="C463" s="3">
        <v>16</v>
      </c>
      <c r="D463" s="3" t="s">
        <v>250</v>
      </c>
      <c r="E463" s="3" t="s">
        <v>91</v>
      </c>
      <c r="F463" s="3" t="s">
        <v>92</v>
      </c>
      <c r="G463" s="3" t="s">
        <v>99</v>
      </c>
      <c r="H463" s="3" t="s">
        <v>100</v>
      </c>
      <c r="I463" s="3">
        <v>5</v>
      </c>
      <c r="J463" s="11">
        <v>120</v>
      </c>
      <c r="K463" s="4">
        <v>0</v>
      </c>
      <c r="L463" s="3" t="s">
        <v>95</v>
      </c>
      <c r="M463" s="3">
        <v>34</v>
      </c>
      <c r="N463" s="3">
        <v>8</v>
      </c>
      <c r="O463" s="3">
        <v>4</v>
      </c>
    </row>
    <row r="464" spans="1:15" ht="20" customHeight="1">
      <c r="A464" s="3" t="s">
        <v>827</v>
      </c>
      <c r="B464" s="2">
        <v>46281</v>
      </c>
      <c r="C464" s="3">
        <v>22</v>
      </c>
      <c r="D464" s="3" t="s">
        <v>742</v>
      </c>
      <c r="E464" s="3" t="s">
        <v>91</v>
      </c>
      <c r="F464" s="3" t="s">
        <v>98</v>
      </c>
      <c r="G464" s="3" t="s">
        <v>99</v>
      </c>
      <c r="H464" s="3" t="s">
        <v>130</v>
      </c>
      <c r="I464" s="3">
        <v>2</v>
      </c>
      <c r="J464" s="11">
        <v>85</v>
      </c>
      <c r="K464" s="4">
        <v>0</v>
      </c>
      <c r="L464" s="3" t="s">
        <v>95</v>
      </c>
      <c r="M464" s="3">
        <v>32</v>
      </c>
      <c r="N464" s="3">
        <v>15</v>
      </c>
      <c r="O464" s="3">
        <v>5</v>
      </c>
    </row>
    <row r="465" spans="1:15" ht="20" customHeight="1">
      <c r="A465" s="3" t="s">
        <v>828</v>
      </c>
      <c r="B465" s="2">
        <v>46281</v>
      </c>
      <c r="C465" s="3">
        <v>11</v>
      </c>
      <c r="D465" s="3" t="s">
        <v>829</v>
      </c>
      <c r="E465" s="3" t="s">
        <v>91</v>
      </c>
      <c r="F465" s="3" t="s">
        <v>121</v>
      </c>
      <c r="G465" s="3" t="s">
        <v>93</v>
      </c>
      <c r="H465" s="3" t="s">
        <v>94</v>
      </c>
      <c r="I465" s="3">
        <v>1</v>
      </c>
      <c r="J465" s="11">
        <v>95</v>
      </c>
      <c r="K465" s="4">
        <v>0</v>
      </c>
      <c r="L465" s="3" t="s">
        <v>95</v>
      </c>
      <c r="M465" s="3">
        <v>24</v>
      </c>
      <c r="N465" s="3">
        <v>5</v>
      </c>
      <c r="O465" s="3">
        <v>4</v>
      </c>
    </row>
    <row r="466" spans="1:15" ht="20" customHeight="1">
      <c r="A466" s="3" t="s">
        <v>830</v>
      </c>
      <c r="B466" s="2">
        <v>46281</v>
      </c>
      <c r="C466" s="3">
        <v>19</v>
      </c>
      <c r="D466" s="3" t="s">
        <v>831</v>
      </c>
      <c r="E466" s="3" t="s">
        <v>91</v>
      </c>
      <c r="F466" s="3" t="s">
        <v>109</v>
      </c>
      <c r="G466" s="3" t="s">
        <v>99</v>
      </c>
      <c r="H466" s="3" t="s">
        <v>130</v>
      </c>
      <c r="I466" s="3">
        <v>5</v>
      </c>
      <c r="J466" s="11">
        <v>85</v>
      </c>
      <c r="K466" s="4">
        <v>0</v>
      </c>
      <c r="L466" s="3" t="s">
        <v>95</v>
      </c>
      <c r="M466" s="3">
        <v>27</v>
      </c>
      <c r="N466" s="3">
        <v>9</v>
      </c>
      <c r="O466" s="3">
        <v>3</v>
      </c>
    </row>
    <row r="467" spans="1:15" ht="20" customHeight="1">
      <c r="A467" s="3" t="s">
        <v>832</v>
      </c>
      <c r="B467" s="2">
        <v>46281</v>
      </c>
      <c r="C467" s="3">
        <v>14</v>
      </c>
      <c r="D467" s="3" t="s">
        <v>833</v>
      </c>
      <c r="E467" s="3" t="s">
        <v>91</v>
      </c>
      <c r="F467" s="3" t="s">
        <v>92</v>
      </c>
      <c r="G467" s="3" t="s">
        <v>93</v>
      </c>
      <c r="H467" s="3" t="s">
        <v>94</v>
      </c>
      <c r="I467" s="3">
        <v>4</v>
      </c>
      <c r="J467" s="11">
        <v>95</v>
      </c>
      <c r="K467" s="4">
        <v>0</v>
      </c>
      <c r="L467" s="3" t="s">
        <v>95</v>
      </c>
      <c r="M467" s="3">
        <v>30</v>
      </c>
      <c r="N467" s="3">
        <v>8</v>
      </c>
      <c r="O467" s="3">
        <v>5</v>
      </c>
    </row>
    <row r="468" spans="1:15" ht="20" customHeight="1">
      <c r="A468" s="3" t="s">
        <v>834</v>
      </c>
      <c r="B468" s="2">
        <v>46281</v>
      </c>
      <c r="C468" s="3">
        <v>20</v>
      </c>
      <c r="D468" s="3" t="s">
        <v>454</v>
      </c>
      <c r="E468" s="3" t="s">
        <v>91</v>
      </c>
      <c r="F468" s="3" t="s">
        <v>98</v>
      </c>
      <c r="G468" s="3" t="s">
        <v>110</v>
      </c>
      <c r="H468" s="3" t="s">
        <v>111</v>
      </c>
      <c r="I468" s="3">
        <v>4</v>
      </c>
      <c r="J468" s="11">
        <v>115</v>
      </c>
      <c r="K468" s="4">
        <v>0.05</v>
      </c>
      <c r="L468" s="3" t="s">
        <v>95</v>
      </c>
      <c r="M468" s="3">
        <v>28</v>
      </c>
      <c r="N468" s="3">
        <v>11</v>
      </c>
      <c r="O468" s="3">
        <v>5</v>
      </c>
    </row>
    <row r="469" spans="1:15" ht="20" customHeight="1">
      <c r="A469" s="3" t="s">
        <v>835</v>
      </c>
      <c r="B469" s="2">
        <v>46281</v>
      </c>
      <c r="C469" s="3">
        <v>20</v>
      </c>
      <c r="D469" s="3" t="s">
        <v>754</v>
      </c>
      <c r="E469" s="3" t="s">
        <v>91</v>
      </c>
      <c r="F469" s="3" t="s">
        <v>98</v>
      </c>
      <c r="G469" s="3" t="s">
        <v>110</v>
      </c>
      <c r="H469" s="3" t="s">
        <v>111</v>
      </c>
      <c r="I469" s="3">
        <v>4</v>
      </c>
      <c r="J469" s="11">
        <v>115</v>
      </c>
      <c r="K469" s="4">
        <v>0.1</v>
      </c>
      <c r="L469" s="3" t="s">
        <v>95</v>
      </c>
      <c r="M469" s="3">
        <v>16</v>
      </c>
      <c r="N469" s="3">
        <v>13</v>
      </c>
      <c r="O469" s="3">
        <v>4</v>
      </c>
    </row>
    <row r="470" spans="1:15" ht="20" customHeight="1">
      <c r="A470" s="3" t="s">
        <v>836</v>
      </c>
      <c r="B470" s="2">
        <v>46281</v>
      </c>
      <c r="C470" s="3">
        <v>9</v>
      </c>
      <c r="D470" s="3" t="s">
        <v>314</v>
      </c>
      <c r="E470" s="3" t="s">
        <v>117</v>
      </c>
      <c r="F470" s="3" t="s">
        <v>139</v>
      </c>
      <c r="G470" s="3" t="s">
        <v>122</v>
      </c>
      <c r="H470" s="3" t="s">
        <v>123</v>
      </c>
      <c r="I470" s="3">
        <v>6</v>
      </c>
      <c r="J470" s="11">
        <v>45</v>
      </c>
      <c r="K470" s="4">
        <v>0</v>
      </c>
      <c r="L470" s="3" t="s">
        <v>95</v>
      </c>
      <c r="M470" s="3">
        <v>26</v>
      </c>
      <c r="N470" s="3">
        <v>14</v>
      </c>
      <c r="O470" s="3">
        <v>4</v>
      </c>
    </row>
    <row r="471" spans="1:15" ht="20" customHeight="1">
      <c r="A471" s="3" t="s">
        <v>837</v>
      </c>
      <c r="B471" s="2">
        <v>46281</v>
      </c>
      <c r="C471" s="3">
        <v>16</v>
      </c>
      <c r="D471" s="3" t="s">
        <v>414</v>
      </c>
      <c r="E471" s="3" t="s">
        <v>117</v>
      </c>
      <c r="F471" s="3" t="s">
        <v>98</v>
      </c>
      <c r="G471" s="3" t="s">
        <v>110</v>
      </c>
      <c r="H471" s="3" t="s">
        <v>206</v>
      </c>
      <c r="I471" s="3">
        <v>4</v>
      </c>
      <c r="J471" s="11">
        <v>220</v>
      </c>
      <c r="K471" s="4">
        <v>0</v>
      </c>
      <c r="L471" s="3" t="s">
        <v>95</v>
      </c>
      <c r="M471" s="3">
        <v>28</v>
      </c>
      <c r="N471" s="3">
        <v>12</v>
      </c>
      <c r="O471" s="3">
        <v>4</v>
      </c>
    </row>
    <row r="472" spans="1:15" ht="20" customHeight="1">
      <c r="A472" s="3" t="s">
        <v>838</v>
      </c>
      <c r="B472" s="2">
        <v>46281</v>
      </c>
      <c r="C472" s="3">
        <v>13</v>
      </c>
      <c r="D472" s="3" t="s">
        <v>477</v>
      </c>
      <c r="E472" s="3" t="s">
        <v>91</v>
      </c>
      <c r="F472" s="3" t="s">
        <v>139</v>
      </c>
      <c r="G472" s="3" t="s">
        <v>99</v>
      </c>
      <c r="H472" s="3" t="s">
        <v>104</v>
      </c>
      <c r="I472" s="3">
        <v>2</v>
      </c>
      <c r="J472" s="11">
        <v>240</v>
      </c>
      <c r="K472" s="4">
        <v>0.1</v>
      </c>
      <c r="L472" s="3" t="s">
        <v>95</v>
      </c>
      <c r="M472" s="3">
        <v>37</v>
      </c>
      <c r="N472" s="3">
        <v>8</v>
      </c>
      <c r="O472" s="3">
        <v>4</v>
      </c>
    </row>
    <row r="473" spans="1:15" ht="20" customHeight="1">
      <c r="A473" s="3" t="s">
        <v>839</v>
      </c>
      <c r="B473" s="2">
        <v>46281</v>
      </c>
      <c r="C473" s="3">
        <v>8</v>
      </c>
      <c r="D473" s="3" t="s">
        <v>421</v>
      </c>
      <c r="E473" s="3" t="s">
        <v>117</v>
      </c>
      <c r="F473" s="3" t="s">
        <v>92</v>
      </c>
      <c r="G473" s="3" t="s">
        <v>174</v>
      </c>
      <c r="H473" s="3" t="s">
        <v>175</v>
      </c>
      <c r="I473" s="3">
        <v>4</v>
      </c>
      <c r="J473" s="11">
        <v>155</v>
      </c>
      <c r="K473" s="4">
        <v>0</v>
      </c>
      <c r="L473" s="3" t="s">
        <v>95</v>
      </c>
      <c r="M473" s="3">
        <v>30</v>
      </c>
      <c r="N473" s="3">
        <v>5</v>
      </c>
      <c r="O473" s="3">
        <v>4</v>
      </c>
    </row>
    <row r="474" spans="1:15" ht="20" customHeight="1">
      <c r="A474" s="3" t="s">
        <v>840</v>
      </c>
      <c r="B474" s="2">
        <v>46281</v>
      </c>
      <c r="C474" s="3">
        <v>19</v>
      </c>
      <c r="D474" s="3" t="s">
        <v>411</v>
      </c>
      <c r="E474" s="3" t="s">
        <v>91</v>
      </c>
      <c r="F474" s="3" t="s">
        <v>121</v>
      </c>
      <c r="G474" s="3" t="s">
        <v>93</v>
      </c>
      <c r="H474" s="3" t="s">
        <v>146</v>
      </c>
      <c r="I474" s="3">
        <v>4</v>
      </c>
      <c r="J474" s="11">
        <v>110</v>
      </c>
      <c r="K474" s="4">
        <v>0.1</v>
      </c>
      <c r="L474" s="3" t="s">
        <v>95</v>
      </c>
      <c r="M474" s="3">
        <v>36</v>
      </c>
      <c r="N474" s="3">
        <v>8</v>
      </c>
      <c r="O474" s="3">
        <v>5</v>
      </c>
    </row>
    <row r="475" spans="1:15" ht="20" customHeight="1">
      <c r="A475" s="3" t="s">
        <v>841</v>
      </c>
      <c r="B475" s="2">
        <v>46281</v>
      </c>
      <c r="C475" s="3">
        <v>9</v>
      </c>
      <c r="D475" s="3" t="s">
        <v>228</v>
      </c>
      <c r="E475" s="3" t="s">
        <v>91</v>
      </c>
      <c r="F475" s="3" t="s">
        <v>121</v>
      </c>
      <c r="G475" s="3" t="s">
        <v>135</v>
      </c>
      <c r="H475" s="3" t="s">
        <v>136</v>
      </c>
      <c r="I475" s="3">
        <v>5</v>
      </c>
      <c r="J475" s="11">
        <v>40</v>
      </c>
      <c r="K475" s="4">
        <v>0</v>
      </c>
      <c r="L475" s="3" t="s">
        <v>101</v>
      </c>
      <c r="M475" s="3"/>
      <c r="N475" s="3"/>
      <c r="O475" s="3"/>
    </row>
    <row r="476" spans="1:15" ht="20" customHeight="1">
      <c r="A476" s="3" t="s">
        <v>842</v>
      </c>
      <c r="B476" s="2">
        <v>46281</v>
      </c>
      <c r="C476" s="3">
        <v>18</v>
      </c>
      <c r="D476" s="3" t="s">
        <v>619</v>
      </c>
      <c r="E476" s="3" t="s">
        <v>117</v>
      </c>
      <c r="F476" s="3" t="s">
        <v>98</v>
      </c>
      <c r="G476" s="3" t="s">
        <v>93</v>
      </c>
      <c r="H476" s="3" t="s">
        <v>146</v>
      </c>
      <c r="I476" s="3">
        <v>5</v>
      </c>
      <c r="J476" s="11">
        <v>110</v>
      </c>
      <c r="K476" s="4">
        <v>0</v>
      </c>
      <c r="L476" s="3" t="s">
        <v>95</v>
      </c>
      <c r="M476" s="3">
        <v>26</v>
      </c>
      <c r="N476" s="3">
        <v>6</v>
      </c>
      <c r="O476" s="3">
        <v>4</v>
      </c>
    </row>
    <row r="477" spans="1:15" ht="20" customHeight="1">
      <c r="A477" s="3" t="s">
        <v>843</v>
      </c>
      <c r="B477" s="2">
        <v>46281</v>
      </c>
      <c r="C477" s="3">
        <v>21</v>
      </c>
      <c r="D477" s="3" t="s">
        <v>537</v>
      </c>
      <c r="E477" s="3" t="s">
        <v>91</v>
      </c>
      <c r="F477" s="3" t="s">
        <v>139</v>
      </c>
      <c r="G477" s="3" t="s">
        <v>135</v>
      </c>
      <c r="H477" s="3" t="s">
        <v>217</v>
      </c>
      <c r="I477" s="3">
        <v>1</v>
      </c>
      <c r="J477" s="11">
        <v>65</v>
      </c>
      <c r="K477" s="4">
        <v>0</v>
      </c>
      <c r="L477" s="3" t="s">
        <v>95</v>
      </c>
      <c r="M477" s="3">
        <v>17</v>
      </c>
      <c r="N477" s="3">
        <v>12</v>
      </c>
      <c r="O477" s="3">
        <v>4</v>
      </c>
    </row>
    <row r="478" spans="1:15" ht="20" customHeight="1">
      <c r="A478" s="3" t="s">
        <v>844</v>
      </c>
      <c r="B478" s="2">
        <v>46281</v>
      </c>
      <c r="C478" s="3">
        <v>8</v>
      </c>
      <c r="D478" s="3" t="s">
        <v>845</v>
      </c>
      <c r="E478" s="3" t="s">
        <v>91</v>
      </c>
      <c r="F478" s="3" t="s">
        <v>92</v>
      </c>
      <c r="G478" s="3" t="s">
        <v>122</v>
      </c>
      <c r="H478" s="3" t="s">
        <v>123</v>
      </c>
      <c r="I478" s="3">
        <v>6</v>
      </c>
      <c r="J478" s="11">
        <v>45</v>
      </c>
      <c r="K478" s="4">
        <v>0</v>
      </c>
      <c r="L478" s="3" t="s">
        <v>95</v>
      </c>
      <c r="M478" s="3">
        <v>24</v>
      </c>
      <c r="N478" s="3">
        <v>7</v>
      </c>
      <c r="O478" s="3">
        <v>5</v>
      </c>
    </row>
    <row r="479" spans="1:15" ht="20" customHeight="1">
      <c r="A479" s="3" t="s">
        <v>846</v>
      </c>
      <c r="B479" s="2">
        <v>46281</v>
      </c>
      <c r="C479" s="3">
        <v>12</v>
      </c>
      <c r="D479" s="3" t="s">
        <v>287</v>
      </c>
      <c r="E479" s="3" t="s">
        <v>91</v>
      </c>
      <c r="F479" s="3" t="s">
        <v>98</v>
      </c>
      <c r="G479" s="3" t="s">
        <v>99</v>
      </c>
      <c r="H479" s="3" t="s">
        <v>130</v>
      </c>
      <c r="I479" s="3">
        <v>2</v>
      </c>
      <c r="J479" s="11">
        <v>85</v>
      </c>
      <c r="K479" s="4">
        <v>0</v>
      </c>
      <c r="L479" s="3" t="s">
        <v>95</v>
      </c>
      <c r="M479" s="3">
        <v>32</v>
      </c>
      <c r="N479" s="3">
        <v>11</v>
      </c>
      <c r="O479" s="3">
        <v>4</v>
      </c>
    </row>
    <row r="480" spans="1:15" ht="20" customHeight="1">
      <c r="A480" s="3" t="s">
        <v>847</v>
      </c>
      <c r="B480" s="2">
        <v>46281</v>
      </c>
      <c r="C480" s="3">
        <v>13</v>
      </c>
      <c r="D480" s="3" t="s">
        <v>374</v>
      </c>
      <c r="E480" s="3" t="s">
        <v>91</v>
      </c>
      <c r="F480" s="3" t="s">
        <v>139</v>
      </c>
      <c r="G480" s="3" t="s">
        <v>135</v>
      </c>
      <c r="H480" s="3" t="s">
        <v>162</v>
      </c>
      <c r="I480" s="3">
        <v>5</v>
      </c>
      <c r="J480" s="11">
        <v>180</v>
      </c>
      <c r="K480" s="4">
        <v>0.05</v>
      </c>
      <c r="L480" s="3" t="s">
        <v>95</v>
      </c>
      <c r="M480" s="3">
        <v>35</v>
      </c>
      <c r="N480" s="3">
        <v>13</v>
      </c>
      <c r="O480" s="3">
        <v>5</v>
      </c>
    </row>
    <row r="481" spans="1:15" ht="20" customHeight="1">
      <c r="A481" s="3" t="s">
        <v>848</v>
      </c>
      <c r="B481" s="2">
        <v>46281</v>
      </c>
      <c r="C481" s="3">
        <v>12</v>
      </c>
      <c r="D481" s="3" t="s">
        <v>408</v>
      </c>
      <c r="E481" s="3" t="s">
        <v>117</v>
      </c>
      <c r="F481" s="3" t="s">
        <v>92</v>
      </c>
      <c r="G481" s="3" t="s">
        <v>122</v>
      </c>
      <c r="H481" s="3" t="s">
        <v>153</v>
      </c>
      <c r="I481" s="3">
        <v>3</v>
      </c>
      <c r="J481" s="11">
        <v>130</v>
      </c>
      <c r="K481" s="4">
        <v>0</v>
      </c>
      <c r="L481" s="3" t="s">
        <v>95</v>
      </c>
      <c r="M481" s="3">
        <v>22</v>
      </c>
      <c r="N481" s="3">
        <v>4</v>
      </c>
      <c r="O481" s="3">
        <v>5</v>
      </c>
    </row>
    <row r="482" spans="1:15" ht="20" customHeight="1">
      <c r="A482" s="3" t="s">
        <v>849</v>
      </c>
      <c r="B482" s="2">
        <v>46282</v>
      </c>
      <c r="C482" s="3">
        <v>8</v>
      </c>
      <c r="D482" s="3" t="s">
        <v>850</v>
      </c>
      <c r="E482" s="3" t="s">
        <v>91</v>
      </c>
      <c r="F482" s="3" t="s">
        <v>121</v>
      </c>
      <c r="G482" s="3" t="s">
        <v>99</v>
      </c>
      <c r="H482" s="3" t="s">
        <v>104</v>
      </c>
      <c r="I482" s="3">
        <v>6</v>
      </c>
      <c r="J482" s="11">
        <v>240</v>
      </c>
      <c r="K482" s="4">
        <v>0</v>
      </c>
      <c r="L482" s="3" t="s">
        <v>1311</v>
      </c>
      <c r="M482" s="3">
        <v>15</v>
      </c>
      <c r="N482" s="3">
        <v>6</v>
      </c>
      <c r="O482" s="3">
        <v>4</v>
      </c>
    </row>
    <row r="483" spans="1:15" ht="20" customHeight="1">
      <c r="A483" s="3" t="s">
        <v>851</v>
      </c>
      <c r="B483" s="2">
        <v>46282</v>
      </c>
      <c r="C483" s="3">
        <v>19</v>
      </c>
      <c r="D483" s="3" t="s">
        <v>226</v>
      </c>
      <c r="E483" s="3" t="s">
        <v>91</v>
      </c>
      <c r="F483" s="3" t="s">
        <v>98</v>
      </c>
      <c r="G483" s="3" t="s">
        <v>93</v>
      </c>
      <c r="H483" s="3" t="s">
        <v>118</v>
      </c>
      <c r="I483" s="3">
        <v>5</v>
      </c>
      <c r="J483" s="11">
        <v>45</v>
      </c>
      <c r="K483" s="4">
        <v>0.05</v>
      </c>
      <c r="L483" s="3" t="s">
        <v>95</v>
      </c>
      <c r="M483" s="3">
        <v>31</v>
      </c>
      <c r="N483" s="3">
        <v>5</v>
      </c>
      <c r="O483" s="3">
        <v>5</v>
      </c>
    </row>
    <row r="484" spans="1:15" ht="20" customHeight="1">
      <c r="A484" s="3" t="s">
        <v>852</v>
      </c>
      <c r="B484" s="2">
        <v>46282</v>
      </c>
      <c r="C484" s="3">
        <v>13</v>
      </c>
      <c r="D484" s="3" t="s">
        <v>444</v>
      </c>
      <c r="E484" s="3" t="s">
        <v>91</v>
      </c>
      <c r="F484" s="3" t="s">
        <v>98</v>
      </c>
      <c r="G484" s="3" t="s">
        <v>110</v>
      </c>
      <c r="H484" s="3" t="s">
        <v>206</v>
      </c>
      <c r="I484" s="3">
        <v>2</v>
      </c>
      <c r="J484" s="11">
        <v>220</v>
      </c>
      <c r="K484" s="4">
        <v>0.05</v>
      </c>
      <c r="L484" s="3" t="s">
        <v>95</v>
      </c>
      <c r="M484" s="3">
        <v>34</v>
      </c>
      <c r="N484" s="3">
        <v>9</v>
      </c>
      <c r="O484" s="3">
        <v>4</v>
      </c>
    </row>
    <row r="485" spans="1:15" ht="20" customHeight="1">
      <c r="A485" s="3" t="s">
        <v>853</v>
      </c>
      <c r="B485" s="2">
        <v>46282</v>
      </c>
      <c r="C485" s="3">
        <v>9</v>
      </c>
      <c r="D485" s="3" t="s">
        <v>652</v>
      </c>
      <c r="E485" s="3" t="s">
        <v>91</v>
      </c>
      <c r="F485" s="3" t="s">
        <v>109</v>
      </c>
      <c r="G485" s="3" t="s">
        <v>99</v>
      </c>
      <c r="H485" s="3" t="s">
        <v>104</v>
      </c>
      <c r="I485" s="3">
        <v>3</v>
      </c>
      <c r="J485" s="11">
        <v>240</v>
      </c>
      <c r="K485" s="4">
        <v>0.1</v>
      </c>
      <c r="L485" s="3" t="s">
        <v>95</v>
      </c>
      <c r="M485" s="3">
        <v>13</v>
      </c>
      <c r="N485" s="3">
        <v>8</v>
      </c>
      <c r="O485" s="3">
        <v>4</v>
      </c>
    </row>
    <row r="486" spans="1:15" ht="20" customHeight="1">
      <c r="A486" s="3" t="s">
        <v>854</v>
      </c>
      <c r="B486" s="2">
        <v>46282</v>
      </c>
      <c r="C486" s="3">
        <v>17</v>
      </c>
      <c r="D486" s="3" t="s">
        <v>644</v>
      </c>
      <c r="E486" s="3" t="s">
        <v>91</v>
      </c>
      <c r="F486" s="3" t="s">
        <v>92</v>
      </c>
      <c r="G486" s="3" t="s">
        <v>135</v>
      </c>
      <c r="H486" s="3" t="s">
        <v>162</v>
      </c>
      <c r="I486" s="3">
        <v>6</v>
      </c>
      <c r="J486" s="11">
        <v>180</v>
      </c>
      <c r="K486" s="4">
        <v>0.15</v>
      </c>
      <c r="L486" s="3" t="s">
        <v>95</v>
      </c>
      <c r="M486" s="3">
        <v>30</v>
      </c>
      <c r="N486" s="3">
        <v>8</v>
      </c>
      <c r="O486" s="3">
        <v>4</v>
      </c>
    </row>
    <row r="487" spans="1:15" ht="20" customHeight="1">
      <c r="A487" s="3" t="s">
        <v>855</v>
      </c>
      <c r="B487" s="2">
        <v>46282</v>
      </c>
      <c r="C487" s="3">
        <v>7</v>
      </c>
      <c r="D487" s="3" t="s">
        <v>285</v>
      </c>
      <c r="E487" s="3" t="s">
        <v>91</v>
      </c>
      <c r="F487" s="3" t="s">
        <v>139</v>
      </c>
      <c r="G487" s="3" t="s">
        <v>93</v>
      </c>
      <c r="H487" s="3" t="s">
        <v>94</v>
      </c>
      <c r="I487" s="3">
        <v>3</v>
      </c>
      <c r="J487" s="11">
        <v>95</v>
      </c>
      <c r="K487" s="4">
        <v>0</v>
      </c>
      <c r="L487" s="3" t="s">
        <v>101</v>
      </c>
      <c r="M487" s="3"/>
      <c r="N487" s="3"/>
      <c r="O487" s="3"/>
    </row>
    <row r="488" spans="1:15" ht="20" customHeight="1">
      <c r="A488" s="3" t="s">
        <v>856</v>
      </c>
      <c r="B488" s="2">
        <v>46282</v>
      </c>
      <c r="C488" s="3">
        <v>12</v>
      </c>
      <c r="D488" s="3" t="s">
        <v>492</v>
      </c>
      <c r="E488" s="3" t="s">
        <v>91</v>
      </c>
      <c r="F488" s="3" t="s">
        <v>109</v>
      </c>
      <c r="G488" s="3" t="s">
        <v>110</v>
      </c>
      <c r="H488" s="3" t="s">
        <v>111</v>
      </c>
      <c r="I488" s="3">
        <v>2</v>
      </c>
      <c r="J488" s="11">
        <v>115</v>
      </c>
      <c r="K488" s="4">
        <v>0</v>
      </c>
      <c r="L488" s="3" t="s">
        <v>95</v>
      </c>
      <c r="M488" s="3">
        <v>34</v>
      </c>
      <c r="N488" s="3">
        <v>8</v>
      </c>
      <c r="O488" s="3">
        <v>5</v>
      </c>
    </row>
    <row r="489" spans="1:15" ht="20" customHeight="1">
      <c r="A489" s="3" t="s">
        <v>857</v>
      </c>
      <c r="B489" s="2">
        <v>46282</v>
      </c>
      <c r="C489" s="3">
        <v>11</v>
      </c>
      <c r="D489" s="3" t="s">
        <v>777</v>
      </c>
      <c r="E489" s="3" t="s">
        <v>91</v>
      </c>
      <c r="F489" s="3" t="s">
        <v>92</v>
      </c>
      <c r="G489" s="3" t="s">
        <v>135</v>
      </c>
      <c r="H489" s="3" t="s">
        <v>217</v>
      </c>
      <c r="I489" s="3">
        <v>4</v>
      </c>
      <c r="J489" s="11">
        <v>65</v>
      </c>
      <c r="K489" s="4">
        <v>0.05</v>
      </c>
      <c r="L489" s="3" t="s">
        <v>95</v>
      </c>
      <c r="M489" s="3">
        <v>17</v>
      </c>
      <c r="N489" s="3">
        <v>8</v>
      </c>
      <c r="O489" s="3">
        <v>4</v>
      </c>
    </row>
    <row r="490" spans="1:15" ht="20" customHeight="1">
      <c r="A490" s="3" t="s">
        <v>858</v>
      </c>
      <c r="B490" s="2">
        <v>46282</v>
      </c>
      <c r="C490" s="3">
        <v>15</v>
      </c>
      <c r="D490" s="3" t="s">
        <v>369</v>
      </c>
      <c r="E490" s="3" t="s">
        <v>91</v>
      </c>
      <c r="F490" s="3" t="s">
        <v>139</v>
      </c>
      <c r="G490" s="3" t="s">
        <v>110</v>
      </c>
      <c r="H490" s="3" t="s">
        <v>114</v>
      </c>
      <c r="I490" s="3">
        <v>6</v>
      </c>
      <c r="J490" s="11">
        <v>145</v>
      </c>
      <c r="K490" s="4">
        <v>0</v>
      </c>
      <c r="L490" s="3" t="s">
        <v>95</v>
      </c>
      <c r="M490" s="3">
        <v>18</v>
      </c>
      <c r="N490" s="3">
        <v>5</v>
      </c>
      <c r="O490" s="3">
        <v>5</v>
      </c>
    </row>
    <row r="491" spans="1:15" ht="20" customHeight="1">
      <c r="A491" s="3" t="s">
        <v>859</v>
      </c>
      <c r="B491" s="2">
        <v>46282</v>
      </c>
      <c r="C491" s="3">
        <v>17</v>
      </c>
      <c r="D491" s="3" t="s">
        <v>860</v>
      </c>
      <c r="E491" s="3" t="s">
        <v>91</v>
      </c>
      <c r="F491" s="3" t="s">
        <v>92</v>
      </c>
      <c r="G491" s="3" t="s">
        <v>174</v>
      </c>
      <c r="H491" s="3" t="s">
        <v>184</v>
      </c>
      <c r="I491" s="3">
        <v>3</v>
      </c>
      <c r="J491" s="11">
        <v>62</v>
      </c>
      <c r="K491" s="4">
        <v>0</v>
      </c>
      <c r="L491" s="3" t="s">
        <v>95</v>
      </c>
      <c r="M491" s="3">
        <v>21</v>
      </c>
      <c r="N491" s="3">
        <v>14</v>
      </c>
      <c r="O491" s="3">
        <v>4</v>
      </c>
    </row>
    <row r="492" spans="1:15" ht="20" customHeight="1">
      <c r="A492" s="3" t="s">
        <v>861</v>
      </c>
      <c r="B492" s="2">
        <v>46282</v>
      </c>
      <c r="C492" s="3">
        <v>17</v>
      </c>
      <c r="D492" s="3" t="s">
        <v>537</v>
      </c>
      <c r="E492" s="3" t="s">
        <v>91</v>
      </c>
      <c r="F492" s="3" t="s">
        <v>98</v>
      </c>
      <c r="G492" s="3" t="s">
        <v>122</v>
      </c>
      <c r="H492" s="3" t="s">
        <v>153</v>
      </c>
      <c r="I492" s="3">
        <v>3</v>
      </c>
      <c r="J492" s="11">
        <v>130</v>
      </c>
      <c r="K492" s="4">
        <v>0</v>
      </c>
      <c r="L492" s="3" t="s">
        <v>95</v>
      </c>
      <c r="M492" s="3">
        <v>12</v>
      </c>
      <c r="N492" s="3">
        <v>9</v>
      </c>
      <c r="O492" s="3">
        <v>3</v>
      </c>
    </row>
    <row r="493" spans="1:15" ht="20" customHeight="1">
      <c r="A493" s="3" t="s">
        <v>862</v>
      </c>
      <c r="B493" s="2">
        <v>46282</v>
      </c>
      <c r="C493" s="3">
        <v>9</v>
      </c>
      <c r="D493" s="3" t="s">
        <v>394</v>
      </c>
      <c r="E493" s="3" t="s">
        <v>91</v>
      </c>
      <c r="F493" s="3" t="s">
        <v>98</v>
      </c>
      <c r="G493" s="3" t="s">
        <v>110</v>
      </c>
      <c r="H493" s="3" t="s">
        <v>111</v>
      </c>
      <c r="I493" s="3">
        <v>3</v>
      </c>
      <c r="J493" s="11">
        <v>115</v>
      </c>
      <c r="K493" s="4">
        <v>0.15</v>
      </c>
      <c r="L493" s="3" t="s">
        <v>95</v>
      </c>
      <c r="M493" s="3">
        <v>14</v>
      </c>
      <c r="N493" s="3">
        <v>13</v>
      </c>
      <c r="O493" s="3">
        <v>5</v>
      </c>
    </row>
    <row r="494" spans="1:15" ht="20" customHeight="1">
      <c r="A494" s="3" t="s">
        <v>863</v>
      </c>
      <c r="B494" s="2">
        <v>46282</v>
      </c>
      <c r="C494" s="3">
        <v>11</v>
      </c>
      <c r="D494" s="3" t="s">
        <v>205</v>
      </c>
      <c r="E494" s="3" t="s">
        <v>91</v>
      </c>
      <c r="F494" s="3" t="s">
        <v>139</v>
      </c>
      <c r="G494" s="3" t="s">
        <v>174</v>
      </c>
      <c r="H494" s="3" t="s">
        <v>184</v>
      </c>
      <c r="I494" s="3">
        <v>4</v>
      </c>
      <c r="J494" s="11">
        <v>62</v>
      </c>
      <c r="K494" s="4">
        <v>0.15</v>
      </c>
      <c r="L494" s="3" t="s">
        <v>95</v>
      </c>
      <c r="M494" s="3">
        <v>21</v>
      </c>
      <c r="N494" s="3">
        <v>15</v>
      </c>
      <c r="O494" s="3">
        <v>3</v>
      </c>
    </row>
    <row r="495" spans="1:15" ht="20" customHeight="1">
      <c r="A495" s="3" t="s">
        <v>864</v>
      </c>
      <c r="B495" s="2">
        <v>46282</v>
      </c>
      <c r="C495" s="3">
        <v>11</v>
      </c>
      <c r="D495" s="3" t="s">
        <v>446</v>
      </c>
      <c r="E495" s="3" t="s">
        <v>91</v>
      </c>
      <c r="F495" s="3" t="s">
        <v>109</v>
      </c>
      <c r="G495" s="3" t="s">
        <v>122</v>
      </c>
      <c r="H495" s="3" t="s">
        <v>123</v>
      </c>
      <c r="I495" s="3">
        <v>2</v>
      </c>
      <c r="J495" s="11">
        <v>45</v>
      </c>
      <c r="K495" s="4">
        <v>0</v>
      </c>
      <c r="L495" s="3" t="s">
        <v>95</v>
      </c>
      <c r="M495" s="3">
        <v>18</v>
      </c>
      <c r="N495" s="3">
        <v>14</v>
      </c>
      <c r="O495" s="3">
        <v>4</v>
      </c>
    </row>
    <row r="496" spans="1:15" ht="20" customHeight="1">
      <c r="A496" s="3" t="s">
        <v>865</v>
      </c>
      <c r="B496" s="2">
        <v>46282</v>
      </c>
      <c r="C496" s="3">
        <v>9</v>
      </c>
      <c r="D496" s="3" t="s">
        <v>736</v>
      </c>
      <c r="E496" s="3" t="s">
        <v>117</v>
      </c>
      <c r="F496" s="3" t="s">
        <v>139</v>
      </c>
      <c r="G496" s="3" t="s">
        <v>110</v>
      </c>
      <c r="H496" s="3" t="s">
        <v>206</v>
      </c>
      <c r="I496" s="3">
        <v>4</v>
      </c>
      <c r="J496" s="11">
        <v>220</v>
      </c>
      <c r="K496" s="4">
        <v>0.05</v>
      </c>
      <c r="L496" s="3" t="s">
        <v>101</v>
      </c>
      <c r="M496" s="3"/>
      <c r="N496" s="3"/>
      <c r="O496" s="3"/>
    </row>
    <row r="497" spans="1:15" ht="20" customHeight="1">
      <c r="A497" s="3" t="s">
        <v>866</v>
      </c>
      <c r="B497" s="2">
        <v>46282</v>
      </c>
      <c r="C497" s="3">
        <v>16</v>
      </c>
      <c r="D497" s="3" t="s">
        <v>165</v>
      </c>
      <c r="E497" s="3" t="s">
        <v>91</v>
      </c>
      <c r="F497" s="3" t="s">
        <v>1310</v>
      </c>
      <c r="G497" s="3" t="s">
        <v>93</v>
      </c>
      <c r="H497" s="3" t="s">
        <v>118</v>
      </c>
      <c r="I497" s="3">
        <v>5</v>
      </c>
      <c r="J497" s="11">
        <v>45</v>
      </c>
      <c r="K497" s="4">
        <v>0</v>
      </c>
      <c r="L497" s="3" t="s">
        <v>101</v>
      </c>
      <c r="M497" s="3"/>
      <c r="N497" s="3"/>
      <c r="O497" s="3"/>
    </row>
    <row r="498" spans="1:15" ht="20" customHeight="1">
      <c r="A498" s="3" t="s">
        <v>867</v>
      </c>
      <c r="B498" s="2">
        <v>46282</v>
      </c>
      <c r="C498" s="3">
        <v>8</v>
      </c>
      <c r="D498" s="3" t="s">
        <v>624</v>
      </c>
      <c r="E498" s="3" t="s">
        <v>91</v>
      </c>
      <c r="F498" s="3" t="s">
        <v>121</v>
      </c>
      <c r="G498" s="3" t="s">
        <v>93</v>
      </c>
      <c r="H498" s="3" t="s">
        <v>118</v>
      </c>
      <c r="I498" s="3">
        <v>4</v>
      </c>
      <c r="J498" s="11">
        <v>45</v>
      </c>
      <c r="K498" s="4">
        <v>0.1</v>
      </c>
      <c r="L498" s="3" t="s">
        <v>95</v>
      </c>
      <c r="M498" s="3">
        <v>12</v>
      </c>
      <c r="N498" s="3">
        <v>6</v>
      </c>
      <c r="O498" s="3">
        <v>3</v>
      </c>
    </row>
    <row r="499" spans="1:15" ht="20" customHeight="1">
      <c r="A499" s="3" t="s">
        <v>868</v>
      </c>
      <c r="B499" s="2">
        <v>46282</v>
      </c>
      <c r="C499" s="3">
        <v>17</v>
      </c>
      <c r="D499" s="3" t="s">
        <v>356</v>
      </c>
      <c r="E499" s="3" t="s">
        <v>91</v>
      </c>
      <c r="F499" s="3" t="s">
        <v>92</v>
      </c>
      <c r="G499" s="3" t="s">
        <v>174</v>
      </c>
      <c r="H499" s="3" t="s">
        <v>175</v>
      </c>
      <c r="I499" s="3">
        <v>5</v>
      </c>
      <c r="J499" s="11">
        <v>155</v>
      </c>
      <c r="K499" s="4">
        <v>0</v>
      </c>
      <c r="L499" s="3" t="s">
        <v>95</v>
      </c>
      <c r="M499" s="3">
        <v>24</v>
      </c>
      <c r="N499" s="3">
        <v>8</v>
      </c>
      <c r="O499" s="3">
        <v>3</v>
      </c>
    </row>
    <row r="500" spans="1:15" ht="20" customHeight="1">
      <c r="A500" s="3" t="s">
        <v>869</v>
      </c>
      <c r="B500" s="2">
        <v>46282</v>
      </c>
      <c r="C500" s="3">
        <v>23</v>
      </c>
      <c r="D500" s="3" t="s">
        <v>589</v>
      </c>
      <c r="E500" s="3" t="s">
        <v>91</v>
      </c>
      <c r="F500" s="3" t="s">
        <v>121</v>
      </c>
      <c r="G500" s="3" t="s">
        <v>110</v>
      </c>
      <c r="H500" s="3" t="s">
        <v>206</v>
      </c>
      <c r="I500" s="3">
        <v>4</v>
      </c>
      <c r="J500" s="11">
        <v>220</v>
      </c>
      <c r="K500" s="4">
        <v>0.15</v>
      </c>
      <c r="L500" s="3" t="s">
        <v>95</v>
      </c>
      <c r="M500" s="3">
        <v>15</v>
      </c>
      <c r="N500" s="3">
        <v>8</v>
      </c>
      <c r="O500" s="3">
        <v>4</v>
      </c>
    </row>
    <row r="501" spans="1:15" ht="20" customHeight="1">
      <c r="A501" s="3" t="s">
        <v>870</v>
      </c>
      <c r="B501" s="2">
        <v>46282</v>
      </c>
      <c r="C501" s="3">
        <v>22</v>
      </c>
      <c r="D501" s="3" t="s">
        <v>626</v>
      </c>
      <c r="E501" s="3" t="s">
        <v>91</v>
      </c>
      <c r="F501" s="3" t="s">
        <v>92</v>
      </c>
      <c r="G501" s="3" t="s">
        <v>174</v>
      </c>
      <c r="H501" s="3" t="s">
        <v>184</v>
      </c>
      <c r="I501" s="3">
        <v>6</v>
      </c>
      <c r="J501" s="11">
        <v>62</v>
      </c>
      <c r="K501" s="4">
        <v>0.15</v>
      </c>
      <c r="L501" s="3" t="s">
        <v>95</v>
      </c>
      <c r="M501" s="3">
        <v>35</v>
      </c>
      <c r="N501" s="3">
        <v>7</v>
      </c>
      <c r="O501" s="3">
        <v>4</v>
      </c>
    </row>
    <row r="502" spans="1:15" ht="20" customHeight="1">
      <c r="A502" s="3" t="s">
        <v>871</v>
      </c>
      <c r="B502" s="2">
        <v>46282</v>
      </c>
      <c r="C502" s="3">
        <v>19</v>
      </c>
      <c r="D502" s="3" t="s">
        <v>279</v>
      </c>
      <c r="E502" s="3" t="s">
        <v>91</v>
      </c>
      <c r="F502" s="3" t="s">
        <v>109</v>
      </c>
      <c r="G502" s="3" t="s">
        <v>174</v>
      </c>
      <c r="H502" s="3" t="s">
        <v>175</v>
      </c>
      <c r="I502" s="3">
        <v>2</v>
      </c>
      <c r="J502" s="11">
        <v>155</v>
      </c>
      <c r="K502" s="4">
        <v>0.05</v>
      </c>
      <c r="L502" s="3" t="s">
        <v>95</v>
      </c>
      <c r="M502" s="3">
        <v>12</v>
      </c>
      <c r="N502" s="3">
        <v>9</v>
      </c>
      <c r="O502" s="3">
        <v>4</v>
      </c>
    </row>
    <row r="503" spans="1:15" ht="20" customHeight="1">
      <c r="A503" s="3" t="s">
        <v>872</v>
      </c>
      <c r="B503" s="2">
        <v>46282</v>
      </c>
      <c r="C503" s="3">
        <v>19</v>
      </c>
      <c r="D503" s="3" t="s">
        <v>363</v>
      </c>
      <c r="E503" s="3" t="s">
        <v>91</v>
      </c>
      <c r="F503" s="3" t="s">
        <v>109</v>
      </c>
      <c r="G503" s="3" t="s">
        <v>110</v>
      </c>
      <c r="H503" s="3" t="s">
        <v>114</v>
      </c>
      <c r="I503" s="3">
        <v>4</v>
      </c>
      <c r="J503" s="11">
        <v>145</v>
      </c>
      <c r="K503" s="4">
        <v>0.05</v>
      </c>
      <c r="L503" s="3" t="s">
        <v>95</v>
      </c>
      <c r="M503" s="3">
        <v>14</v>
      </c>
      <c r="N503" s="3">
        <v>14</v>
      </c>
      <c r="O503" s="3">
        <v>4</v>
      </c>
    </row>
    <row r="504" spans="1:15" ht="20" customHeight="1">
      <c r="A504" s="3" t="s">
        <v>873</v>
      </c>
      <c r="B504" s="2">
        <v>46282</v>
      </c>
      <c r="C504" s="3">
        <v>7</v>
      </c>
      <c r="D504" s="3" t="s">
        <v>376</v>
      </c>
      <c r="E504" s="3" t="s">
        <v>117</v>
      </c>
      <c r="F504" s="3" t="s">
        <v>98</v>
      </c>
      <c r="G504" s="3" t="s">
        <v>122</v>
      </c>
      <c r="H504" s="3" t="s">
        <v>123</v>
      </c>
      <c r="I504" s="3">
        <v>4</v>
      </c>
      <c r="J504" s="11">
        <v>45</v>
      </c>
      <c r="K504" s="4">
        <v>0.05</v>
      </c>
      <c r="L504" s="3" t="s">
        <v>95</v>
      </c>
      <c r="M504" s="3">
        <v>30</v>
      </c>
      <c r="N504" s="3">
        <v>13</v>
      </c>
      <c r="O504" s="3">
        <v>5</v>
      </c>
    </row>
    <row r="505" spans="1:15" ht="20" customHeight="1">
      <c r="A505" s="3" t="s">
        <v>874</v>
      </c>
      <c r="B505" s="2">
        <v>46282</v>
      </c>
      <c r="C505" s="3">
        <v>12</v>
      </c>
      <c r="D505" s="3" t="s">
        <v>125</v>
      </c>
      <c r="E505" s="3" t="s">
        <v>91</v>
      </c>
      <c r="F505" s="3" t="s">
        <v>109</v>
      </c>
      <c r="G505" s="3" t="s">
        <v>135</v>
      </c>
      <c r="H505" s="3" t="s">
        <v>162</v>
      </c>
      <c r="I505" s="3">
        <v>3</v>
      </c>
      <c r="J505" s="11">
        <v>180</v>
      </c>
      <c r="K505" s="4">
        <v>0.1</v>
      </c>
      <c r="L505" s="3" t="s">
        <v>95</v>
      </c>
      <c r="M505" s="3">
        <v>18</v>
      </c>
      <c r="N505" s="3">
        <v>12</v>
      </c>
      <c r="O505" s="3">
        <v>4</v>
      </c>
    </row>
    <row r="506" spans="1:15" ht="20" customHeight="1">
      <c r="A506" s="3" t="s">
        <v>875</v>
      </c>
      <c r="B506" s="2">
        <v>46282</v>
      </c>
      <c r="C506" s="3">
        <v>23</v>
      </c>
      <c r="D506" s="3" t="s">
        <v>155</v>
      </c>
      <c r="E506" s="3" t="s">
        <v>91</v>
      </c>
      <c r="F506" s="3" t="s">
        <v>139</v>
      </c>
      <c r="G506" s="3" t="s">
        <v>99</v>
      </c>
      <c r="H506" s="3" t="s">
        <v>130</v>
      </c>
      <c r="I506" s="3">
        <v>4</v>
      </c>
      <c r="J506" s="11">
        <v>85</v>
      </c>
      <c r="K506" s="4">
        <v>0.1</v>
      </c>
      <c r="L506" s="3" t="s">
        <v>95</v>
      </c>
      <c r="M506" s="3">
        <v>31</v>
      </c>
      <c r="N506" s="3">
        <v>9</v>
      </c>
      <c r="O506" s="3">
        <v>5</v>
      </c>
    </row>
    <row r="507" spans="1:15" ht="20" customHeight="1">
      <c r="A507" s="3" t="s">
        <v>876</v>
      </c>
      <c r="B507" s="2">
        <v>46282</v>
      </c>
      <c r="C507" s="3">
        <v>14</v>
      </c>
      <c r="D507" s="3" t="s">
        <v>262</v>
      </c>
      <c r="E507" s="3" t="s">
        <v>117</v>
      </c>
      <c r="F507" s="3" t="s">
        <v>121</v>
      </c>
      <c r="G507" s="3" t="s">
        <v>99</v>
      </c>
      <c r="H507" s="3" t="s">
        <v>100</v>
      </c>
      <c r="I507" s="3">
        <v>1</v>
      </c>
      <c r="J507" s="11">
        <v>120</v>
      </c>
      <c r="K507" s="4">
        <v>0.15</v>
      </c>
      <c r="L507" s="3" t="s">
        <v>95</v>
      </c>
      <c r="M507" s="3">
        <v>27</v>
      </c>
      <c r="N507" s="3">
        <v>5</v>
      </c>
      <c r="O507" s="3">
        <v>4</v>
      </c>
    </row>
    <row r="508" spans="1:15" ht="20" customHeight="1">
      <c r="A508" s="3" t="s">
        <v>877</v>
      </c>
      <c r="B508" s="2">
        <v>46282</v>
      </c>
      <c r="C508" s="3">
        <v>19</v>
      </c>
      <c r="D508" s="3" t="s">
        <v>201</v>
      </c>
      <c r="E508" s="3" t="s">
        <v>91</v>
      </c>
      <c r="F508" s="3" t="s">
        <v>121</v>
      </c>
      <c r="G508" s="3" t="s">
        <v>135</v>
      </c>
      <c r="H508" s="3" t="s">
        <v>217</v>
      </c>
      <c r="I508" s="3">
        <v>2</v>
      </c>
      <c r="J508" s="11">
        <v>65</v>
      </c>
      <c r="K508" s="4">
        <v>0.1</v>
      </c>
      <c r="L508" s="3" t="s">
        <v>95</v>
      </c>
      <c r="M508" s="3">
        <v>29</v>
      </c>
      <c r="N508" s="3">
        <v>12</v>
      </c>
      <c r="O508" s="3">
        <v>5</v>
      </c>
    </row>
    <row r="509" spans="1:15" ht="20" customHeight="1">
      <c r="A509" s="3" t="s">
        <v>878</v>
      </c>
      <c r="B509" s="2">
        <v>46282</v>
      </c>
      <c r="C509" s="3">
        <v>14</v>
      </c>
      <c r="D509" s="3" t="s">
        <v>833</v>
      </c>
      <c r="E509" s="3" t="s">
        <v>91</v>
      </c>
      <c r="F509" s="3" t="s">
        <v>109</v>
      </c>
      <c r="G509" s="3" t="s">
        <v>93</v>
      </c>
      <c r="H509" s="3" t="s">
        <v>118</v>
      </c>
      <c r="I509" s="3">
        <v>2</v>
      </c>
      <c r="J509" s="11">
        <v>45</v>
      </c>
      <c r="K509" s="4">
        <v>0.15</v>
      </c>
      <c r="L509" s="3" t="s">
        <v>101</v>
      </c>
      <c r="M509" s="3"/>
      <c r="N509" s="3"/>
      <c r="O509" s="3"/>
    </row>
    <row r="510" spans="1:15" ht="20" customHeight="1">
      <c r="A510" s="3" t="s">
        <v>879</v>
      </c>
      <c r="B510" s="2">
        <v>46282</v>
      </c>
      <c r="C510" s="3">
        <v>20</v>
      </c>
      <c r="D510" s="3" t="s">
        <v>401</v>
      </c>
      <c r="E510" s="3" t="s">
        <v>91</v>
      </c>
      <c r="F510" s="3" t="s">
        <v>98</v>
      </c>
      <c r="G510" s="3" t="s">
        <v>93</v>
      </c>
      <c r="H510" s="3" t="s">
        <v>118</v>
      </c>
      <c r="I510" s="3">
        <v>2</v>
      </c>
      <c r="J510" s="11">
        <v>45</v>
      </c>
      <c r="K510" s="4">
        <v>0.05</v>
      </c>
      <c r="L510" s="3" t="s">
        <v>95</v>
      </c>
      <c r="M510" s="3">
        <v>33</v>
      </c>
      <c r="N510" s="3">
        <v>7</v>
      </c>
      <c r="O510" s="3">
        <v>5</v>
      </c>
    </row>
    <row r="511" spans="1:15" ht="20" customHeight="1">
      <c r="A511" s="3" t="s">
        <v>880</v>
      </c>
      <c r="B511" s="2">
        <v>46282</v>
      </c>
      <c r="C511" s="3">
        <v>20</v>
      </c>
      <c r="D511" s="3" t="s">
        <v>881</v>
      </c>
      <c r="E511" s="3" t="s">
        <v>91</v>
      </c>
      <c r="F511" s="3" t="s">
        <v>121</v>
      </c>
      <c r="G511" s="3" t="s">
        <v>93</v>
      </c>
      <c r="H511" s="3" t="s">
        <v>146</v>
      </c>
      <c r="I511" s="3">
        <v>2</v>
      </c>
      <c r="J511" s="11">
        <v>110</v>
      </c>
      <c r="K511" s="4">
        <v>0</v>
      </c>
      <c r="L511" s="3" t="s">
        <v>95</v>
      </c>
      <c r="M511" s="3">
        <v>24</v>
      </c>
      <c r="N511" s="3">
        <v>11</v>
      </c>
      <c r="O511" s="3">
        <v>4</v>
      </c>
    </row>
    <row r="512" spans="1:15" ht="20" customHeight="1">
      <c r="A512" s="3" t="s">
        <v>882</v>
      </c>
      <c r="B512" s="2">
        <v>46283</v>
      </c>
      <c r="C512" s="3">
        <v>15</v>
      </c>
      <c r="D512" s="3" t="s">
        <v>242</v>
      </c>
      <c r="E512" s="3" t="s">
        <v>91</v>
      </c>
      <c r="F512" s="3" t="s">
        <v>139</v>
      </c>
      <c r="G512" s="3" t="s">
        <v>174</v>
      </c>
      <c r="H512" s="3" t="s">
        <v>175</v>
      </c>
      <c r="I512" s="3">
        <v>5</v>
      </c>
      <c r="J512" s="11">
        <v>155</v>
      </c>
      <c r="K512" s="4">
        <v>0</v>
      </c>
      <c r="L512" s="3" t="s">
        <v>95</v>
      </c>
      <c r="M512" s="3">
        <v>28</v>
      </c>
      <c r="N512" s="3">
        <v>6</v>
      </c>
      <c r="O512" s="3">
        <v>4</v>
      </c>
    </row>
    <row r="513" spans="1:15" ht="20" customHeight="1">
      <c r="A513" s="3" t="s">
        <v>883</v>
      </c>
      <c r="B513" s="2">
        <v>46283</v>
      </c>
      <c r="C513" s="3">
        <v>9</v>
      </c>
      <c r="D513" s="3" t="s">
        <v>411</v>
      </c>
      <c r="E513" s="3" t="s">
        <v>91</v>
      </c>
      <c r="F513" s="3" t="s">
        <v>109</v>
      </c>
      <c r="G513" s="3" t="s">
        <v>174</v>
      </c>
      <c r="H513" s="3" t="s">
        <v>175</v>
      </c>
      <c r="I513" s="3">
        <v>5</v>
      </c>
      <c r="J513" s="11">
        <v>155</v>
      </c>
      <c r="K513" s="4">
        <v>0.15</v>
      </c>
      <c r="L513" s="3" t="s">
        <v>95</v>
      </c>
      <c r="M513" s="3">
        <v>23</v>
      </c>
      <c r="N513" s="3">
        <v>10</v>
      </c>
      <c r="O513" s="3">
        <v>5</v>
      </c>
    </row>
    <row r="514" spans="1:15" ht="20" customHeight="1">
      <c r="A514" s="3" t="s">
        <v>884</v>
      </c>
      <c r="B514" s="2">
        <v>46283</v>
      </c>
      <c r="C514" s="3">
        <v>17</v>
      </c>
      <c r="D514" s="3" t="s">
        <v>689</v>
      </c>
      <c r="E514" s="3" t="s">
        <v>91</v>
      </c>
      <c r="F514" s="3" t="s">
        <v>109</v>
      </c>
      <c r="G514" s="3" t="s">
        <v>135</v>
      </c>
      <c r="H514" s="3" t="s">
        <v>136</v>
      </c>
      <c r="I514" s="3">
        <v>4</v>
      </c>
      <c r="J514" s="11">
        <v>40</v>
      </c>
      <c r="K514" s="4">
        <v>0</v>
      </c>
      <c r="L514" s="3" t="s">
        <v>95</v>
      </c>
      <c r="M514" s="3">
        <v>13</v>
      </c>
      <c r="N514" s="3">
        <v>4</v>
      </c>
      <c r="O514" s="3">
        <v>3</v>
      </c>
    </row>
    <row r="515" spans="1:15" ht="20" customHeight="1">
      <c r="A515" s="3" t="s">
        <v>885</v>
      </c>
      <c r="B515" s="2">
        <v>46283</v>
      </c>
      <c r="C515" s="3">
        <v>12</v>
      </c>
      <c r="D515" s="3" t="s">
        <v>886</v>
      </c>
      <c r="E515" s="3" t="s">
        <v>91</v>
      </c>
      <c r="F515" s="3" t="s">
        <v>92</v>
      </c>
      <c r="G515" s="3" t="s">
        <v>174</v>
      </c>
      <c r="H515" s="3" t="s">
        <v>175</v>
      </c>
      <c r="I515" s="3">
        <v>2</v>
      </c>
      <c r="J515" s="11">
        <v>155</v>
      </c>
      <c r="K515" s="4">
        <v>0.15</v>
      </c>
      <c r="L515" s="3" t="s">
        <v>95</v>
      </c>
      <c r="M515" s="3">
        <v>36</v>
      </c>
      <c r="N515" s="3">
        <v>14</v>
      </c>
      <c r="O515" s="3">
        <v>4</v>
      </c>
    </row>
    <row r="516" spans="1:15" ht="20" customHeight="1">
      <c r="A516" s="3" t="s">
        <v>887</v>
      </c>
      <c r="B516" s="2">
        <v>46283</v>
      </c>
      <c r="C516" s="3">
        <v>22</v>
      </c>
      <c r="D516" s="3" t="s">
        <v>888</v>
      </c>
      <c r="E516" s="3" t="s">
        <v>91</v>
      </c>
      <c r="F516" s="3" t="s">
        <v>92</v>
      </c>
      <c r="G516" s="3" t="s">
        <v>135</v>
      </c>
      <c r="H516" s="3" t="s">
        <v>136</v>
      </c>
      <c r="I516" s="3">
        <v>1</v>
      </c>
      <c r="J516" s="11">
        <v>40</v>
      </c>
      <c r="K516" s="4">
        <v>0</v>
      </c>
      <c r="L516" s="3" t="s">
        <v>95</v>
      </c>
      <c r="M516" s="3">
        <v>30</v>
      </c>
      <c r="N516" s="3">
        <v>10</v>
      </c>
      <c r="O516" s="3">
        <v>4</v>
      </c>
    </row>
    <row r="517" spans="1:15" ht="20" customHeight="1">
      <c r="A517" s="3" t="s">
        <v>889</v>
      </c>
      <c r="B517" s="2">
        <v>46283</v>
      </c>
      <c r="C517" s="3">
        <v>18</v>
      </c>
      <c r="D517" s="3" t="s">
        <v>850</v>
      </c>
      <c r="E517" s="3" t="s">
        <v>91</v>
      </c>
      <c r="F517" s="3" t="s">
        <v>92</v>
      </c>
      <c r="G517" s="3" t="s">
        <v>122</v>
      </c>
      <c r="H517" s="3" t="s">
        <v>153</v>
      </c>
      <c r="I517" s="3">
        <v>4</v>
      </c>
      <c r="J517" s="11">
        <v>130</v>
      </c>
      <c r="K517" s="4">
        <v>0.15</v>
      </c>
      <c r="L517" s="3" t="s">
        <v>95</v>
      </c>
      <c r="M517" s="3">
        <v>34</v>
      </c>
      <c r="N517" s="3">
        <v>11</v>
      </c>
      <c r="O517" s="3">
        <v>5</v>
      </c>
    </row>
    <row r="518" spans="1:15" ht="20" customHeight="1">
      <c r="A518" s="3" t="s">
        <v>890</v>
      </c>
      <c r="B518" s="2">
        <v>46283</v>
      </c>
      <c r="C518" s="3">
        <v>18</v>
      </c>
      <c r="D518" s="3" t="s">
        <v>520</v>
      </c>
      <c r="E518" s="3" t="s">
        <v>91</v>
      </c>
      <c r="F518" s="3" t="s">
        <v>98</v>
      </c>
      <c r="G518" s="3" t="s">
        <v>99</v>
      </c>
      <c r="H518" s="3" t="s">
        <v>104</v>
      </c>
      <c r="I518" s="3">
        <v>6</v>
      </c>
      <c r="J518" s="11">
        <v>240</v>
      </c>
      <c r="K518" s="4">
        <v>0</v>
      </c>
      <c r="L518" s="3" t="s">
        <v>95</v>
      </c>
      <c r="M518" s="3">
        <v>22</v>
      </c>
      <c r="N518" s="3">
        <v>8</v>
      </c>
      <c r="O518" s="3">
        <v>4</v>
      </c>
    </row>
    <row r="519" spans="1:15" ht="20" customHeight="1">
      <c r="A519" s="3" t="s">
        <v>891</v>
      </c>
      <c r="B519" s="2">
        <v>46283</v>
      </c>
      <c r="C519" s="3">
        <v>14</v>
      </c>
      <c r="D519" s="3" t="s">
        <v>805</v>
      </c>
      <c r="E519" s="3" t="s">
        <v>91</v>
      </c>
      <c r="F519" s="3" t="s">
        <v>92</v>
      </c>
      <c r="G519" s="3" t="s">
        <v>93</v>
      </c>
      <c r="H519" s="3" t="s">
        <v>118</v>
      </c>
      <c r="I519" s="3">
        <v>1</v>
      </c>
      <c r="J519" s="11">
        <v>45</v>
      </c>
      <c r="K519" s="4">
        <v>0.15</v>
      </c>
      <c r="L519" s="3" t="s">
        <v>95</v>
      </c>
      <c r="M519" s="3">
        <v>24</v>
      </c>
      <c r="N519" s="3">
        <v>6</v>
      </c>
      <c r="O519" s="3">
        <v>5</v>
      </c>
    </row>
    <row r="520" spans="1:15" ht="20" customHeight="1">
      <c r="A520" s="3" t="s">
        <v>892</v>
      </c>
      <c r="B520" s="2">
        <v>46283</v>
      </c>
      <c r="C520" s="3">
        <v>23</v>
      </c>
      <c r="D520" s="3" t="s">
        <v>677</v>
      </c>
      <c r="E520" s="3" t="s">
        <v>117</v>
      </c>
      <c r="F520" s="3" t="s">
        <v>121</v>
      </c>
      <c r="G520" s="3" t="s">
        <v>110</v>
      </c>
      <c r="H520" s="3" t="s">
        <v>206</v>
      </c>
      <c r="I520" s="3">
        <v>1</v>
      </c>
      <c r="J520" s="11">
        <v>220</v>
      </c>
      <c r="K520" s="4">
        <v>0.05</v>
      </c>
      <c r="L520" s="3" t="s">
        <v>95</v>
      </c>
      <c r="M520" s="3">
        <v>19</v>
      </c>
      <c r="N520" s="3">
        <v>12</v>
      </c>
      <c r="O520" s="3">
        <v>3</v>
      </c>
    </row>
    <row r="521" spans="1:15" ht="20" customHeight="1">
      <c r="A521" s="3" t="s">
        <v>893</v>
      </c>
      <c r="B521" s="2">
        <v>46283</v>
      </c>
      <c r="C521" s="3">
        <v>18</v>
      </c>
      <c r="D521" s="3" t="s">
        <v>894</v>
      </c>
      <c r="E521" s="3" t="s">
        <v>117</v>
      </c>
      <c r="F521" s="3" t="s">
        <v>92</v>
      </c>
      <c r="G521" s="3" t="s">
        <v>174</v>
      </c>
      <c r="H521" s="3" t="s">
        <v>175</v>
      </c>
      <c r="I521" s="3">
        <v>5</v>
      </c>
      <c r="J521" s="11">
        <v>155</v>
      </c>
      <c r="K521" s="4">
        <v>0.05</v>
      </c>
      <c r="L521" s="3" t="s">
        <v>95</v>
      </c>
      <c r="M521" s="3">
        <v>25</v>
      </c>
      <c r="N521" s="3">
        <v>9</v>
      </c>
      <c r="O521" s="3">
        <v>5</v>
      </c>
    </row>
    <row r="522" spans="1:15" ht="20" customHeight="1">
      <c r="A522" s="3" t="s">
        <v>895</v>
      </c>
      <c r="B522" s="2">
        <v>46283</v>
      </c>
      <c r="C522" s="3">
        <v>15</v>
      </c>
      <c r="D522" s="3" t="s">
        <v>739</v>
      </c>
      <c r="E522" s="3" t="s">
        <v>117</v>
      </c>
      <c r="F522" s="3" t="s">
        <v>109</v>
      </c>
      <c r="G522" s="3" t="s">
        <v>99</v>
      </c>
      <c r="H522" s="3" t="s">
        <v>100</v>
      </c>
      <c r="I522" s="3">
        <v>3</v>
      </c>
      <c r="J522" s="11">
        <v>120</v>
      </c>
      <c r="K522" s="4">
        <v>0.05</v>
      </c>
      <c r="L522" s="3" t="s">
        <v>101</v>
      </c>
      <c r="M522" s="3"/>
      <c r="N522" s="3"/>
      <c r="O522" s="3"/>
    </row>
    <row r="523" spans="1:15" ht="20" customHeight="1">
      <c r="A523" s="3" t="s">
        <v>896</v>
      </c>
      <c r="B523" s="2">
        <v>46283</v>
      </c>
      <c r="C523" s="3">
        <v>18</v>
      </c>
      <c r="D523" s="3" t="s">
        <v>608</v>
      </c>
      <c r="E523" s="3" t="s">
        <v>91</v>
      </c>
      <c r="F523" s="3" t="s">
        <v>109</v>
      </c>
      <c r="G523" s="3" t="s">
        <v>135</v>
      </c>
      <c r="H523" s="3" t="s">
        <v>162</v>
      </c>
      <c r="I523" s="3">
        <v>2</v>
      </c>
      <c r="J523" s="11">
        <v>180</v>
      </c>
      <c r="K523" s="4">
        <v>0</v>
      </c>
      <c r="L523" s="3" t="s">
        <v>95</v>
      </c>
      <c r="M523" s="3">
        <v>32</v>
      </c>
      <c r="N523" s="3">
        <v>13</v>
      </c>
      <c r="O523" s="3">
        <v>5</v>
      </c>
    </row>
    <row r="524" spans="1:15" ht="20" customHeight="1">
      <c r="A524" s="3" t="s">
        <v>897</v>
      </c>
      <c r="B524" s="2">
        <v>46283</v>
      </c>
      <c r="C524" s="3">
        <v>15</v>
      </c>
      <c r="D524" s="3" t="s">
        <v>630</v>
      </c>
      <c r="E524" s="3" t="s">
        <v>91</v>
      </c>
      <c r="F524" s="3" t="s">
        <v>139</v>
      </c>
      <c r="G524" s="3" t="s">
        <v>135</v>
      </c>
      <c r="H524" s="3" t="s">
        <v>217</v>
      </c>
      <c r="I524" s="3">
        <v>3</v>
      </c>
      <c r="J524" s="11">
        <v>65</v>
      </c>
      <c r="K524" s="4">
        <v>0</v>
      </c>
      <c r="L524" s="3" t="s">
        <v>95</v>
      </c>
      <c r="M524" s="3">
        <v>28</v>
      </c>
      <c r="N524" s="3">
        <v>14</v>
      </c>
      <c r="O524" s="3">
        <v>5</v>
      </c>
    </row>
    <row r="525" spans="1:15" ht="20" customHeight="1">
      <c r="A525" s="3" t="s">
        <v>898</v>
      </c>
      <c r="B525" s="2">
        <v>46283</v>
      </c>
      <c r="C525" s="3">
        <v>17</v>
      </c>
      <c r="D525" s="3" t="s">
        <v>103</v>
      </c>
      <c r="E525" s="3" t="s">
        <v>91</v>
      </c>
      <c r="F525" s="3" t="s">
        <v>121</v>
      </c>
      <c r="G525" s="3" t="s">
        <v>110</v>
      </c>
      <c r="H525" s="3" t="s">
        <v>206</v>
      </c>
      <c r="I525" s="3">
        <v>2</v>
      </c>
      <c r="J525" s="11">
        <v>220</v>
      </c>
      <c r="K525" s="4">
        <v>0</v>
      </c>
      <c r="L525" s="3" t="s">
        <v>95</v>
      </c>
      <c r="M525" s="3">
        <v>22</v>
      </c>
      <c r="N525" s="3">
        <v>6</v>
      </c>
      <c r="O525" s="3">
        <v>5</v>
      </c>
    </row>
    <row r="526" spans="1:15" ht="20" customHeight="1">
      <c r="A526" s="3" t="s">
        <v>899</v>
      </c>
      <c r="B526" s="2">
        <v>46283</v>
      </c>
      <c r="C526" s="3">
        <v>16</v>
      </c>
      <c r="D526" s="3" t="s">
        <v>703</v>
      </c>
      <c r="E526" s="3" t="s">
        <v>117</v>
      </c>
      <c r="F526" s="3" t="s">
        <v>109</v>
      </c>
      <c r="G526" s="3" t="s">
        <v>93</v>
      </c>
      <c r="H526" s="3" t="s">
        <v>118</v>
      </c>
      <c r="I526" s="3">
        <v>1</v>
      </c>
      <c r="J526" s="11">
        <v>45</v>
      </c>
      <c r="K526" s="4">
        <v>0.1</v>
      </c>
      <c r="L526" s="3" t="s">
        <v>101</v>
      </c>
      <c r="M526" s="3"/>
      <c r="N526" s="3"/>
      <c r="O526" s="3"/>
    </row>
    <row r="527" spans="1:15" ht="20" customHeight="1">
      <c r="A527" s="3" t="s">
        <v>900</v>
      </c>
      <c r="B527" s="2">
        <v>46283</v>
      </c>
      <c r="C527" s="3">
        <v>17</v>
      </c>
      <c r="D527" s="3" t="s">
        <v>901</v>
      </c>
      <c r="E527" s="3" t="s">
        <v>117</v>
      </c>
      <c r="F527" s="3" t="s">
        <v>109</v>
      </c>
      <c r="G527" s="3" t="s">
        <v>99</v>
      </c>
      <c r="H527" s="3" t="s">
        <v>100</v>
      </c>
      <c r="I527" s="3">
        <v>4</v>
      </c>
      <c r="J527" s="11">
        <v>120</v>
      </c>
      <c r="K527" s="4">
        <v>0</v>
      </c>
      <c r="L527" s="3" t="s">
        <v>95</v>
      </c>
      <c r="M527" s="3">
        <v>29</v>
      </c>
      <c r="N527" s="3">
        <v>10</v>
      </c>
      <c r="O527" s="3">
        <v>5</v>
      </c>
    </row>
    <row r="528" spans="1:15" ht="20" customHeight="1">
      <c r="A528" s="3" t="s">
        <v>902</v>
      </c>
      <c r="B528" s="2">
        <v>46283</v>
      </c>
      <c r="C528" s="3">
        <v>22</v>
      </c>
      <c r="D528" s="3" t="s">
        <v>444</v>
      </c>
      <c r="E528" s="3" t="s">
        <v>91</v>
      </c>
      <c r="F528" s="3" t="s">
        <v>98</v>
      </c>
      <c r="G528" s="3" t="s">
        <v>135</v>
      </c>
      <c r="H528" s="3" t="s">
        <v>136</v>
      </c>
      <c r="I528" s="3">
        <v>1</v>
      </c>
      <c r="J528" s="11">
        <v>40</v>
      </c>
      <c r="K528" s="4">
        <v>0</v>
      </c>
      <c r="L528" s="3" t="s">
        <v>101</v>
      </c>
      <c r="M528" s="3"/>
      <c r="N528" s="3"/>
      <c r="O528" s="3"/>
    </row>
    <row r="529" spans="1:15" ht="20" customHeight="1">
      <c r="A529" s="3" t="s">
        <v>903</v>
      </c>
      <c r="B529" s="2">
        <v>46283</v>
      </c>
      <c r="C529" s="3">
        <v>17</v>
      </c>
      <c r="D529" s="3" t="s">
        <v>230</v>
      </c>
      <c r="E529" s="3" t="s">
        <v>91</v>
      </c>
      <c r="F529" s="3" t="s">
        <v>139</v>
      </c>
      <c r="G529" s="3" t="s">
        <v>174</v>
      </c>
      <c r="H529" s="3" t="s">
        <v>175</v>
      </c>
      <c r="I529" s="3">
        <v>1</v>
      </c>
      <c r="J529" s="11">
        <v>155</v>
      </c>
      <c r="K529" s="4">
        <v>0.05</v>
      </c>
      <c r="L529" s="3" t="s">
        <v>95</v>
      </c>
      <c r="M529" s="3">
        <v>13</v>
      </c>
      <c r="N529" s="3">
        <v>5</v>
      </c>
      <c r="O529" s="3">
        <v>5</v>
      </c>
    </row>
    <row r="530" spans="1:15" ht="20" customHeight="1">
      <c r="A530" s="3" t="s">
        <v>904</v>
      </c>
      <c r="B530" s="2">
        <v>46283</v>
      </c>
      <c r="C530" s="3">
        <v>10</v>
      </c>
      <c r="D530" s="3" t="s">
        <v>444</v>
      </c>
      <c r="E530" s="3" t="s">
        <v>91</v>
      </c>
      <c r="F530" s="3" t="s">
        <v>98</v>
      </c>
      <c r="G530" s="3" t="s">
        <v>110</v>
      </c>
      <c r="H530" s="3" t="s">
        <v>114</v>
      </c>
      <c r="I530" s="3">
        <v>4</v>
      </c>
      <c r="J530" s="11">
        <v>145</v>
      </c>
      <c r="K530" s="4">
        <v>0.05</v>
      </c>
      <c r="L530" s="3" t="s">
        <v>95</v>
      </c>
      <c r="M530" s="3">
        <v>35</v>
      </c>
      <c r="N530" s="3">
        <v>9</v>
      </c>
      <c r="O530" s="3">
        <v>4</v>
      </c>
    </row>
    <row r="531" spans="1:15" ht="20" customHeight="1">
      <c r="A531" s="3" t="s">
        <v>905</v>
      </c>
      <c r="B531" s="2">
        <v>46283</v>
      </c>
      <c r="C531" s="3">
        <v>16</v>
      </c>
      <c r="D531" s="3" t="s">
        <v>219</v>
      </c>
      <c r="E531" s="3" t="s">
        <v>91</v>
      </c>
      <c r="F531" s="3" t="s">
        <v>92</v>
      </c>
      <c r="G531" s="3" t="s">
        <v>135</v>
      </c>
      <c r="H531" s="3" t="s">
        <v>162</v>
      </c>
      <c r="I531" s="3">
        <v>6</v>
      </c>
      <c r="J531" s="11">
        <v>180</v>
      </c>
      <c r="K531" s="4">
        <v>0.15</v>
      </c>
      <c r="L531" s="3" t="s">
        <v>95</v>
      </c>
      <c r="M531" s="3">
        <v>31</v>
      </c>
      <c r="N531" s="3">
        <v>6</v>
      </c>
      <c r="O531" s="3">
        <v>5</v>
      </c>
    </row>
    <row r="532" spans="1:15" ht="20" customHeight="1">
      <c r="A532" s="3" t="s">
        <v>906</v>
      </c>
      <c r="B532" s="2">
        <v>46283</v>
      </c>
      <c r="C532" s="3">
        <v>21</v>
      </c>
      <c r="D532" s="3" t="s">
        <v>628</v>
      </c>
      <c r="E532" s="3" t="s">
        <v>91</v>
      </c>
      <c r="F532" s="3" t="s">
        <v>92</v>
      </c>
      <c r="G532" s="3" t="s">
        <v>174</v>
      </c>
      <c r="H532" s="3" t="s">
        <v>175</v>
      </c>
      <c r="I532" s="3">
        <v>4</v>
      </c>
      <c r="J532" s="11">
        <v>155</v>
      </c>
      <c r="K532" s="4">
        <v>0.15</v>
      </c>
      <c r="L532" s="3" t="s">
        <v>95</v>
      </c>
      <c r="M532" s="3">
        <v>14</v>
      </c>
      <c r="N532" s="3">
        <v>9</v>
      </c>
      <c r="O532" s="3">
        <v>3</v>
      </c>
    </row>
    <row r="533" spans="1:15" ht="20" customHeight="1">
      <c r="A533" s="3" t="s">
        <v>907</v>
      </c>
      <c r="B533" s="2">
        <v>46283</v>
      </c>
      <c r="C533" s="3">
        <v>14</v>
      </c>
      <c r="D533" s="3" t="s">
        <v>452</v>
      </c>
      <c r="E533" s="3" t="s">
        <v>91</v>
      </c>
      <c r="F533" s="3" t="s">
        <v>139</v>
      </c>
      <c r="G533" s="3" t="s">
        <v>174</v>
      </c>
      <c r="H533" s="3" t="s">
        <v>274</v>
      </c>
      <c r="I533" s="3">
        <v>1</v>
      </c>
      <c r="J533" s="11">
        <v>90</v>
      </c>
      <c r="K533" s="4">
        <v>0</v>
      </c>
      <c r="L533" s="3" t="s">
        <v>95</v>
      </c>
      <c r="M533" s="3">
        <v>19</v>
      </c>
      <c r="N533" s="3">
        <v>8</v>
      </c>
      <c r="O533" s="3">
        <v>3</v>
      </c>
    </row>
    <row r="534" spans="1:15" ht="20" customHeight="1">
      <c r="A534" s="3" t="s">
        <v>908</v>
      </c>
      <c r="B534" s="2">
        <v>46283</v>
      </c>
      <c r="C534" s="3">
        <v>19</v>
      </c>
      <c r="D534" s="3" t="s">
        <v>909</v>
      </c>
      <c r="E534" s="3" t="s">
        <v>117</v>
      </c>
      <c r="F534" s="3" t="s">
        <v>98</v>
      </c>
      <c r="G534" s="3" t="s">
        <v>99</v>
      </c>
      <c r="H534" s="3" t="s">
        <v>100</v>
      </c>
      <c r="I534" s="3">
        <v>2</v>
      </c>
      <c r="J534" s="11">
        <v>120</v>
      </c>
      <c r="K534" s="4">
        <v>0.15</v>
      </c>
      <c r="L534" s="3" t="s">
        <v>95</v>
      </c>
      <c r="M534" s="3">
        <v>36</v>
      </c>
      <c r="N534" s="3">
        <v>8</v>
      </c>
      <c r="O534" s="3">
        <v>4</v>
      </c>
    </row>
    <row r="535" spans="1:15" ht="20" customHeight="1">
      <c r="A535" s="3" t="s">
        <v>910</v>
      </c>
      <c r="B535" s="2">
        <v>46283</v>
      </c>
      <c r="C535" s="3">
        <v>6</v>
      </c>
      <c r="D535" s="3" t="s">
        <v>754</v>
      </c>
      <c r="E535" s="3" t="s">
        <v>91</v>
      </c>
      <c r="F535" s="3" t="s">
        <v>109</v>
      </c>
      <c r="G535" s="3" t="s">
        <v>135</v>
      </c>
      <c r="H535" s="3" t="s">
        <v>136</v>
      </c>
      <c r="I535" s="3">
        <v>2</v>
      </c>
      <c r="J535" s="11">
        <v>40</v>
      </c>
      <c r="K535" s="4">
        <v>0.1</v>
      </c>
      <c r="L535" s="3" t="s">
        <v>95</v>
      </c>
      <c r="M535" s="3">
        <v>36</v>
      </c>
      <c r="N535" s="3">
        <v>13</v>
      </c>
      <c r="O535" s="3">
        <v>4</v>
      </c>
    </row>
    <row r="536" spans="1:15" ht="20" customHeight="1">
      <c r="A536" s="3" t="s">
        <v>911</v>
      </c>
      <c r="B536" s="2">
        <v>46283</v>
      </c>
      <c r="C536" s="3">
        <v>6</v>
      </c>
      <c r="D536" s="3" t="s">
        <v>901</v>
      </c>
      <c r="E536" s="3" t="s">
        <v>117</v>
      </c>
      <c r="F536" s="3" t="s">
        <v>92</v>
      </c>
      <c r="G536" s="3" t="s">
        <v>174</v>
      </c>
      <c r="H536" s="3" t="s">
        <v>184</v>
      </c>
      <c r="I536" s="3">
        <v>4</v>
      </c>
      <c r="J536" s="11">
        <v>62</v>
      </c>
      <c r="K536" s="4">
        <v>0.05</v>
      </c>
      <c r="L536" s="3" t="s">
        <v>95</v>
      </c>
      <c r="M536" s="3">
        <v>34</v>
      </c>
      <c r="N536" s="3">
        <v>6</v>
      </c>
      <c r="O536" s="3">
        <v>4</v>
      </c>
    </row>
    <row r="537" spans="1:15" ht="20" customHeight="1">
      <c r="A537" s="3" t="s">
        <v>912</v>
      </c>
      <c r="B537" s="2">
        <v>46283</v>
      </c>
      <c r="C537" s="3">
        <v>19</v>
      </c>
      <c r="D537" s="3" t="s">
        <v>913</v>
      </c>
      <c r="E537" s="3" t="s">
        <v>91</v>
      </c>
      <c r="F537" s="3" t="s">
        <v>92</v>
      </c>
      <c r="G537" s="3" t="s">
        <v>93</v>
      </c>
      <c r="H537" s="3" t="s">
        <v>94</v>
      </c>
      <c r="I537" s="3">
        <v>5</v>
      </c>
      <c r="J537" s="11">
        <v>95</v>
      </c>
      <c r="K537" s="4">
        <v>0</v>
      </c>
      <c r="L537" s="3" t="s">
        <v>95</v>
      </c>
      <c r="M537" s="3">
        <v>17</v>
      </c>
      <c r="N537" s="3">
        <v>7</v>
      </c>
      <c r="O537" s="3">
        <v>5</v>
      </c>
    </row>
    <row r="538" spans="1:15" ht="20" customHeight="1">
      <c r="A538" s="3" t="s">
        <v>914</v>
      </c>
      <c r="B538" s="2">
        <v>46283</v>
      </c>
      <c r="C538" s="3">
        <v>11</v>
      </c>
      <c r="D538" s="3" t="s">
        <v>236</v>
      </c>
      <c r="E538" s="3" t="s">
        <v>91</v>
      </c>
      <c r="F538" s="3" t="s">
        <v>121</v>
      </c>
      <c r="G538" s="3" t="s">
        <v>122</v>
      </c>
      <c r="H538" s="3" t="s">
        <v>153</v>
      </c>
      <c r="I538" s="3">
        <v>1</v>
      </c>
      <c r="J538" s="11">
        <v>130</v>
      </c>
      <c r="K538" s="4">
        <v>0</v>
      </c>
      <c r="L538" s="3" t="s">
        <v>95</v>
      </c>
      <c r="M538" s="3">
        <v>24</v>
      </c>
      <c r="N538" s="3">
        <v>7</v>
      </c>
      <c r="O538" s="3">
        <v>4</v>
      </c>
    </row>
    <row r="539" spans="1:15" ht="20" customHeight="1">
      <c r="A539" s="3" t="s">
        <v>915</v>
      </c>
      <c r="B539" s="2">
        <v>46283</v>
      </c>
      <c r="C539" s="3">
        <v>22</v>
      </c>
      <c r="D539" s="3" t="s">
        <v>421</v>
      </c>
      <c r="E539" s="3" t="s">
        <v>117</v>
      </c>
      <c r="F539" s="3" t="s">
        <v>139</v>
      </c>
      <c r="G539" s="3" t="s">
        <v>93</v>
      </c>
      <c r="H539" s="3" t="s">
        <v>94</v>
      </c>
      <c r="I539" s="3">
        <v>2</v>
      </c>
      <c r="J539" s="11">
        <v>95</v>
      </c>
      <c r="K539" s="4">
        <v>0</v>
      </c>
      <c r="L539" s="3" t="s">
        <v>95</v>
      </c>
      <c r="M539" s="3">
        <v>16</v>
      </c>
      <c r="N539" s="3">
        <v>12</v>
      </c>
      <c r="O539" s="3">
        <v>5</v>
      </c>
    </row>
    <row r="540" spans="1:15" ht="20" customHeight="1">
      <c r="A540" s="3" t="s">
        <v>916</v>
      </c>
      <c r="B540" s="2">
        <v>46283</v>
      </c>
      <c r="C540" s="3">
        <v>22</v>
      </c>
      <c r="D540" s="3" t="s">
        <v>460</v>
      </c>
      <c r="E540" s="3" t="s">
        <v>117</v>
      </c>
      <c r="F540" s="3" t="s">
        <v>98</v>
      </c>
      <c r="G540" s="3" t="s">
        <v>99</v>
      </c>
      <c r="H540" s="3" t="s">
        <v>100</v>
      </c>
      <c r="I540" s="3">
        <v>4</v>
      </c>
      <c r="J540" s="11">
        <v>120</v>
      </c>
      <c r="K540" s="4">
        <v>0</v>
      </c>
      <c r="L540" s="3" t="s">
        <v>95</v>
      </c>
      <c r="M540" s="3">
        <v>22</v>
      </c>
      <c r="N540" s="3">
        <v>11</v>
      </c>
      <c r="O540" s="3">
        <v>5</v>
      </c>
    </row>
    <row r="541" spans="1:15" ht="20" customHeight="1">
      <c r="A541" s="3" t="s">
        <v>917</v>
      </c>
      <c r="B541" s="2">
        <v>46283</v>
      </c>
      <c r="C541" s="3">
        <v>14</v>
      </c>
      <c r="D541" s="3" t="s">
        <v>479</v>
      </c>
      <c r="E541" s="3" t="s">
        <v>117</v>
      </c>
      <c r="F541" s="3" t="s">
        <v>121</v>
      </c>
      <c r="G541" s="3" t="s">
        <v>99</v>
      </c>
      <c r="H541" s="3" t="s">
        <v>130</v>
      </c>
      <c r="I541" s="3">
        <v>5</v>
      </c>
      <c r="J541" s="11">
        <v>85</v>
      </c>
      <c r="K541" s="4">
        <v>0</v>
      </c>
      <c r="L541" s="3" t="s">
        <v>95</v>
      </c>
      <c r="M541" s="3">
        <v>21</v>
      </c>
      <c r="N541" s="3">
        <v>7</v>
      </c>
      <c r="O541" s="3">
        <v>5</v>
      </c>
    </row>
    <row r="542" spans="1:15" ht="20" customHeight="1">
      <c r="A542" s="3" t="s">
        <v>918</v>
      </c>
      <c r="B542" s="2">
        <v>46284</v>
      </c>
      <c r="C542" s="3">
        <v>23</v>
      </c>
      <c r="D542" s="3" t="s">
        <v>576</v>
      </c>
      <c r="E542" s="3" t="s">
        <v>91</v>
      </c>
      <c r="F542" s="3" t="s">
        <v>1315</v>
      </c>
      <c r="G542" s="3" t="s">
        <v>110</v>
      </c>
      <c r="H542" s="3" t="s">
        <v>111</v>
      </c>
      <c r="I542" s="3">
        <v>3</v>
      </c>
      <c r="J542" s="11">
        <v>115</v>
      </c>
      <c r="K542" s="4">
        <v>0.05</v>
      </c>
      <c r="L542" s="3" t="s">
        <v>1311</v>
      </c>
      <c r="M542" s="3">
        <v>32</v>
      </c>
      <c r="N542" s="3">
        <v>10</v>
      </c>
      <c r="O542" s="3">
        <v>4</v>
      </c>
    </row>
    <row r="543" spans="1:15" ht="20" customHeight="1">
      <c r="A543" s="3" t="s">
        <v>919</v>
      </c>
      <c r="B543" s="2">
        <v>46284</v>
      </c>
      <c r="C543" s="3">
        <v>14</v>
      </c>
      <c r="D543" s="3" t="s">
        <v>337</v>
      </c>
      <c r="E543" s="3" t="s">
        <v>117</v>
      </c>
      <c r="F543" s="3" t="s">
        <v>92</v>
      </c>
      <c r="G543" s="3" t="s">
        <v>122</v>
      </c>
      <c r="H543" s="3" t="s">
        <v>214</v>
      </c>
      <c r="I543" s="3">
        <v>1</v>
      </c>
      <c r="J543" s="11">
        <v>55</v>
      </c>
      <c r="K543" s="4">
        <v>0.1</v>
      </c>
      <c r="L543" s="3" t="s">
        <v>95</v>
      </c>
      <c r="M543" s="3">
        <v>20</v>
      </c>
      <c r="N543" s="3">
        <v>13</v>
      </c>
      <c r="O543" s="3">
        <v>4</v>
      </c>
    </row>
    <row r="544" spans="1:15" ht="20" customHeight="1">
      <c r="A544" s="3" t="s">
        <v>920</v>
      </c>
      <c r="B544" s="2">
        <v>46284</v>
      </c>
      <c r="C544" s="3">
        <v>17</v>
      </c>
      <c r="D544" s="3" t="s">
        <v>921</v>
      </c>
      <c r="E544" s="3" t="s">
        <v>117</v>
      </c>
      <c r="F544" s="3" t="s">
        <v>109</v>
      </c>
      <c r="G544" s="3" t="s">
        <v>99</v>
      </c>
      <c r="H544" s="3" t="s">
        <v>104</v>
      </c>
      <c r="I544" s="3">
        <v>6</v>
      </c>
      <c r="J544" s="11">
        <v>240</v>
      </c>
      <c r="K544" s="4">
        <v>0</v>
      </c>
      <c r="L544" s="3" t="s">
        <v>95</v>
      </c>
      <c r="M544" s="3">
        <v>28</v>
      </c>
      <c r="N544" s="3">
        <v>13</v>
      </c>
      <c r="O544" s="3">
        <v>4</v>
      </c>
    </row>
    <row r="545" spans="1:15" ht="20" customHeight="1">
      <c r="A545" s="3" t="s">
        <v>922</v>
      </c>
      <c r="B545" s="2">
        <v>46284</v>
      </c>
      <c r="C545" s="3">
        <v>17</v>
      </c>
      <c r="D545" s="3" t="s">
        <v>742</v>
      </c>
      <c r="E545" s="3" t="s">
        <v>91</v>
      </c>
      <c r="F545" s="3" t="s">
        <v>121</v>
      </c>
      <c r="G545" s="3" t="s">
        <v>110</v>
      </c>
      <c r="H545" s="3" t="s">
        <v>114</v>
      </c>
      <c r="I545" s="3">
        <v>4</v>
      </c>
      <c r="J545" s="11">
        <v>145</v>
      </c>
      <c r="K545" s="4">
        <v>0</v>
      </c>
      <c r="L545" s="3" t="s">
        <v>95</v>
      </c>
      <c r="M545" s="3">
        <v>14</v>
      </c>
      <c r="N545" s="3">
        <v>4</v>
      </c>
      <c r="O545" s="3">
        <v>5</v>
      </c>
    </row>
    <row r="546" spans="1:15" ht="20" customHeight="1">
      <c r="A546" s="3" t="s">
        <v>923</v>
      </c>
      <c r="B546" s="2">
        <v>46284</v>
      </c>
      <c r="C546" s="3">
        <v>18</v>
      </c>
      <c r="D546" s="3" t="s">
        <v>267</v>
      </c>
      <c r="E546" s="3" t="s">
        <v>91</v>
      </c>
      <c r="F546" s="3" t="s">
        <v>139</v>
      </c>
      <c r="G546" s="3" t="s">
        <v>99</v>
      </c>
      <c r="H546" s="3" t="s">
        <v>104</v>
      </c>
      <c r="I546" s="3">
        <v>5</v>
      </c>
      <c r="J546" s="11">
        <v>240</v>
      </c>
      <c r="K546" s="4">
        <v>0.1</v>
      </c>
      <c r="L546" s="3" t="s">
        <v>95</v>
      </c>
      <c r="M546" s="3">
        <v>31</v>
      </c>
      <c r="N546" s="3">
        <v>10</v>
      </c>
      <c r="O546" s="3">
        <v>5</v>
      </c>
    </row>
    <row r="547" spans="1:15" ht="20" customHeight="1">
      <c r="A547" s="3" t="s">
        <v>924</v>
      </c>
      <c r="B547" s="2">
        <v>46284</v>
      </c>
      <c r="C547" s="3">
        <v>10</v>
      </c>
      <c r="D547" s="3" t="s">
        <v>689</v>
      </c>
      <c r="E547" s="3" t="s">
        <v>91</v>
      </c>
      <c r="F547" s="3" t="s">
        <v>98</v>
      </c>
      <c r="G547" s="3" t="s">
        <v>174</v>
      </c>
      <c r="H547" s="3" t="s">
        <v>175</v>
      </c>
      <c r="I547" s="3">
        <v>4</v>
      </c>
      <c r="J547" s="11">
        <v>155</v>
      </c>
      <c r="K547" s="4">
        <v>0</v>
      </c>
      <c r="L547" s="3" t="s">
        <v>95</v>
      </c>
      <c r="M547" s="3">
        <v>13</v>
      </c>
      <c r="N547" s="3">
        <v>11</v>
      </c>
      <c r="O547" s="3">
        <v>4</v>
      </c>
    </row>
    <row r="548" spans="1:15" ht="20" customHeight="1">
      <c r="A548" s="3" t="s">
        <v>925</v>
      </c>
      <c r="B548" s="2">
        <v>46284</v>
      </c>
      <c r="C548" s="3">
        <v>13</v>
      </c>
      <c r="D548" s="3" t="s">
        <v>926</v>
      </c>
      <c r="E548" s="3" t="s">
        <v>91</v>
      </c>
      <c r="F548" s="3" t="s">
        <v>139</v>
      </c>
      <c r="G548" s="3" t="s">
        <v>122</v>
      </c>
      <c r="H548" s="3" t="s">
        <v>214</v>
      </c>
      <c r="I548" s="3">
        <v>2</v>
      </c>
      <c r="J548" s="11">
        <v>55</v>
      </c>
      <c r="K548" s="4">
        <v>0</v>
      </c>
      <c r="L548" s="3" t="s">
        <v>95</v>
      </c>
      <c r="M548" s="3">
        <v>32</v>
      </c>
      <c r="N548" s="3">
        <v>6</v>
      </c>
      <c r="O548" s="3">
        <v>4</v>
      </c>
    </row>
    <row r="549" spans="1:15" ht="20" customHeight="1">
      <c r="A549" s="3" t="s">
        <v>927</v>
      </c>
      <c r="B549" s="2">
        <v>46284</v>
      </c>
      <c r="C549" s="3">
        <v>16</v>
      </c>
      <c r="D549" s="3" t="s">
        <v>671</v>
      </c>
      <c r="E549" s="3" t="s">
        <v>91</v>
      </c>
      <c r="F549" s="3" t="s">
        <v>109</v>
      </c>
      <c r="G549" s="3" t="s">
        <v>99</v>
      </c>
      <c r="H549" s="3" t="s">
        <v>104</v>
      </c>
      <c r="I549" s="3">
        <v>2</v>
      </c>
      <c r="J549" s="11">
        <v>240</v>
      </c>
      <c r="K549" s="4">
        <v>0.05</v>
      </c>
      <c r="L549" s="3" t="s">
        <v>95</v>
      </c>
      <c r="M549" s="3">
        <v>36</v>
      </c>
      <c r="N549" s="3">
        <v>7</v>
      </c>
      <c r="O549" s="3">
        <v>5</v>
      </c>
    </row>
    <row r="550" spans="1:15" ht="20" customHeight="1">
      <c r="A550" s="3" t="s">
        <v>928</v>
      </c>
      <c r="B550" s="2">
        <v>46284</v>
      </c>
      <c r="C550" s="3">
        <v>17</v>
      </c>
      <c r="D550" s="3" t="s">
        <v>276</v>
      </c>
      <c r="E550" s="3" t="s">
        <v>117</v>
      </c>
      <c r="F550" s="3" t="s">
        <v>109</v>
      </c>
      <c r="G550" s="3" t="s">
        <v>174</v>
      </c>
      <c r="H550" s="3" t="s">
        <v>175</v>
      </c>
      <c r="I550" s="3">
        <v>5</v>
      </c>
      <c r="J550" s="11">
        <v>155</v>
      </c>
      <c r="K550" s="4">
        <v>0.05</v>
      </c>
      <c r="L550" s="3" t="s">
        <v>95</v>
      </c>
      <c r="M550" s="3">
        <v>16</v>
      </c>
      <c r="N550" s="3">
        <v>6</v>
      </c>
      <c r="O550" s="3">
        <v>4</v>
      </c>
    </row>
    <row r="551" spans="1:15" ht="20" customHeight="1">
      <c r="A551" s="3" t="s">
        <v>929</v>
      </c>
      <c r="B551" s="2">
        <v>46284</v>
      </c>
      <c r="C551" s="3">
        <v>19</v>
      </c>
      <c r="D551" s="3" t="s">
        <v>930</v>
      </c>
      <c r="E551" s="3" t="s">
        <v>117</v>
      </c>
      <c r="F551" s="3" t="s">
        <v>121</v>
      </c>
      <c r="G551" s="3" t="s">
        <v>122</v>
      </c>
      <c r="H551" s="3" t="s">
        <v>123</v>
      </c>
      <c r="I551" s="3">
        <v>3</v>
      </c>
      <c r="J551" s="11">
        <v>45</v>
      </c>
      <c r="K551" s="4">
        <v>0</v>
      </c>
      <c r="L551" s="3" t="s">
        <v>95</v>
      </c>
      <c r="M551" s="3">
        <v>27</v>
      </c>
      <c r="N551" s="3">
        <v>9</v>
      </c>
      <c r="O551" s="3">
        <v>5</v>
      </c>
    </row>
    <row r="552" spans="1:15" ht="20" customHeight="1">
      <c r="A552" s="3" t="s">
        <v>931</v>
      </c>
      <c r="B552" s="2">
        <v>46284</v>
      </c>
      <c r="C552" s="3">
        <v>21</v>
      </c>
      <c r="D552" s="3" t="s">
        <v>777</v>
      </c>
      <c r="E552" s="3" t="s">
        <v>91</v>
      </c>
      <c r="F552" s="3" t="s">
        <v>109</v>
      </c>
      <c r="G552" s="3" t="s">
        <v>135</v>
      </c>
      <c r="H552" s="3" t="s">
        <v>162</v>
      </c>
      <c r="I552" s="3">
        <v>1</v>
      </c>
      <c r="J552" s="11">
        <v>180</v>
      </c>
      <c r="K552" s="4">
        <v>0</v>
      </c>
      <c r="L552" s="3" t="s">
        <v>95</v>
      </c>
      <c r="M552" s="3">
        <v>23</v>
      </c>
      <c r="N552" s="3">
        <v>14</v>
      </c>
      <c r="O552" s="3">
        <v>4</v>
      </c>
    </row>
    <row r="553" spans="1:15" ht="20" customHeight="1">
      <c r="A553" s="3" t="s">
        <v>932</v>
      </c>
      <c r="B553" s="2">
        <v>46284</v>
      </c>
      <c r="C553" s="3">
        <v>23</v>
      </c>
      <c r="D553" s="3" t="s">
        <v>933</v>
      </c>
      <c r="E553" s="3" t="s">
        <v>117</v>
      </c>
      <c r="F553" s="3" t="s">
        <v>139</v>
      </c>
      <c r="G553" s="3" t="s">
        <v>93</v>
      </c>
      <c r="H553" s="3" t="s">
        <v>146</v>
      </c>
      <c r="I553" s="3">
        <v>5</v>
      </c>
      <c r="J553" s="11">
        <v>110</v>
      </c>
      <c r="K553" s="4">
        <v>0</v>
      </c>
      <c r="L553" s="3" t="s">
        <v>95</v>
      </c>
      <c r="M553" s="3">
        <v>32</v>
      </c>
      <c r="N553" s="3">
        <v>6</v>
      </c>
      <c r="O553" s="3">
        <v>4</v>
      </c>
    </row>
    <row r="554" spans="1:15" ht="20" customHeight="1">
      <c r="A554" s="3" t="s">
        <v>934</v>
      </c>
      <c r="B554" s="2">
        <v>46284</v>
      </c>
      <c r="C554" s="3">
        <v>11</v>
      </c>
      <c r="D554" s="3" t="s">
        <v>485</v>
      </c>
      <c r="E554" s="3" t="s">
        <v>91</v>
      </c>
      <c r="F554" s="3" t="s">
        <v>98</v>
      </c>
      <c r="G554" s="3" t="s">
        <v>135</v>
      </c>
      <c r="H554" s="3" t="s">
        <v>162</v>
      </c>
      <c r="I554" s="3">
        <v>4</v>
      </c>
      <c r="J554" s="11">
        <v>180</v>
      </c>
      <c r="K554" s="4">
        <v>0.1</v>
      </c>
      <c r="L554" s="3" t="s">
        <v>95</v>
      </c>
      <c r="M554" s="3">
        <v>25</v>
      </c>
      <c r="N554" s="3">
        <v>14</v>
      </c>
      <c r="O554" s="3">
        <v>5</v>
      </c>
    </row>
    <row r="555" spans="1:15" ht="20" customHeight="1">
      <c r="A555" s="3" t="s">
        <v>935</v>
      </c>
      <c r="B555" s="2">
        <v>46284</v>
      </c>
      <c r="C555" s="3">
        <v>18</v>
      </c>
      <c r="D555" s="3" t="s">
        <v>167</v>
      </c>
      <c r="E555" s="3" t="s">
        <v>91</v>
      </c>
      <c r="F555" s="3" t="s">
        <v>98</v>
      </c>
      <c r="G555" s="3" t="s">
        <v>174</v>
      </c>
      <c r="H555" s="3" t="s">
        <v>274</v>
      </c>
      <c r="I555" s="3">
        <v>5</v>
      </c>
      <c r="J555" s="11">
        <v>90</v>
      </c>
      <c r="K555" s="4">
        <v>0</v>
      </c>
      <c r="L555" s="3" t="s">
        <v>95</v>
      </c>
      <c r="M555" s="3">
        <v>26</v>
      </c>
      <c r="N555" s="3">
        <v>15</v>
      </c>
      <c r="O555" s="3">
        <v>4</v>
      </c>
    </row>
    <row r="556" spans="1:15" ht="20" customHeight="1">
      <c r="A556" s="3" t="s">
        <v>936</v>
      </c>
      <c r="B556" s="2">
        <v>46284</v>
      </c>
      <c r="C556" s="3">
        <v>17</v>
      </c>
      <c r="D556" s="3" t="s">
        <v>257</v>
      </c>
      <c r="E556" s="3" t="s">
        <v>91</v>
      </c>
      <c r="F556" s="3" t="s">
        <v>98</v>
      </c>
      <c r="G556" s="3" t="s">
        <v>93</v>
      </c>
      <c r="H556" s="3" t="s">
        <v>118</v>
      </c>
      <c r="I556" s="3">
        <v>5</v>
      </c>
      <c r="J556" s="11">
        <v>45</v>
      </c>
      <c r="K556" s="4">
        <v>0</v>
      </c>
      <c r="L556" s="3" t="s">
        <v>95</v>
      </c>
      <c r="M556" s="3">
        <v>24</v>
      </c>
      <c r="N556" s="3">
        <v>6</v>
      </c>
      <c r="O556" s="3">
        <v>4</v>
      </c>
    </row>
    <row r="557" spans="1:15" ht="20" customHeight="1">
      <c r="A557" s="3" t="s">
        <v>937</v>
      </c>
      <c r="B557" s="2">
        <v>46284</v>
      </c>
      <c r="C557" s="3">
        <v>23</v>
      </c>
      <c r="D557" s="3" t="s">
        <v>436</v>
      </c>
      <c r="E557" s="3" t="s">
        <v>117</v>
      </c>
      <c r="F557" s="3" t="s">
        <v>98</v>
      </c>
      <c r="G557" s="3" t="s">
        <v>93</v>
      </c>
      <c r="H557" s="3" t="s">
        <v>146</v>
      </c>
      <c r="I557" s="3">
        <v>4</v>
      </c>
      <c r="J557" s="11">
        <v>110</v>
      </c>
      <c r="K557" s="4">
        <v>0.1</v>
      </c>
      <c r="L557" s="3" t="s">
        <v>95</v>
      </c>
      <c r="M557" s="3">
        <v>27</v>
      </c>
      <c r="N557" s="3">
        <v>12</v>
      </c>
      <c r="O557" s="3">
        <v>4</v>
      </c>
    </row>
    <row r="558" spans="1:15" ht="20" customHeight="1">
      <c r="A558" s="3" t="s">
        <v>938</v>
      </c>
      <c r="B558" s="2">
        <v>46284</v>
      </c>
      <c r="C558" s="3">
        <v>8</v>
      </c>
      <c r="D558" s="3" t="s">
        <v>939</v>
      </c>
      <c r="E558" s="3" t="s">
        <v>91</v>
      </c>
      <c r="F558" s="3" t="s">
        <v>139</v>
      </c>
      <c r="G558" s="3" t="s">
        <v>93</v>
      </c>
      <c r="H558" s="3" t="s">
        <v>94</v>
      </c>
      <c r="I558" s="3">
        <v>5</v>
      </c>
      <c r="J558" s="11">
        <v>95</v>
      </c>
      <c r="K558" s="4">
        <v>0</v>
      </c>
      <c r="L558" s="3" t="s">
        <v>95</v>
      </c>
      <c r="M558" s="3">
        <v>26</v>
      </c>
      <c r="N558" s="3">
        <v>9</v>
      </c>
      <c r="O558" s="3">
        <v>4</v>
      </c>
    </row>
    <row r="559" spans="1:15" ht="20" customHeight="1">
      <c r="A559" s="3" t="s">
        <v>940</v>
      </c>
      <c r="B559" s="2">
        <v>46284</v>
      </c>
      <c r="C559" s="3">
        <v>21</v>
      </c>
      <c r="D559" s="3" t="s">
        <v>527</v>
      </c>
      <c r="E559" s="3" t="s">
        <v>91</v>
      </c>
      <c r="F559" s="3" t="s">
        <v>121</v>
      </c>
      <c r="G559" s="3" t="s">
        <v>122</v>
      </c>
      <c r="H559" s="3" t="s">
        <v>123</v>
      </c>
      <c r="I559" s="3">
        <v>4</v>
      </c>
      <c r="J559" s="11">
        <v>45</v>
      </c>
      <c r="K559" s="4">
        <v>0</v>
      </c>
      <c r="L559" s="3" t="s">
        <v>95</v>
      </c>
      <c r="M559" s="3">
        <v>25</v>
      </c>
      <c r="N559" s="3">
        <v>13</v>
      </c>
      <c r="O559" s="3">
        <v>5</v>
      </c>
    </row>
    <row r="560" spans="1:15" ht="20" customHeight="1">
      <c r="A560" s="3" t="s">
        <v>941</v>
      </c>
      <c r="B560" s="2">
        <v>46284</v>
      </c>
      <c r="C560" s="3">
        <v>18</v>
      </c>
      <c r="D560" s="3" t="s">
        <v>289</v>
      </c>
      <c r="E560" s="3" t="s">
        <v>117</v>
      </c>
      <c r="F560" s="3" t="s">
        <v>109</v>
      </c>
      <c r="G560" s="3" t="s">
        <v>122</v>
      </c>
      <c r="H560" s="3" t="s">
        <v>153</v>
      </c>
      <c r="I560" s="3">
        <v>4</v>
      </c>
      <c r="J560" s="11">
        <v>130</v>
      </c>
      <c r="K560" s="4">
        <v>0</v>
      </c>
      <c r="L560" s="3" t="s">
        <v>95</v>
      </c>
      <c r="M560" s="3">
        <v>15</v>
      </c>
      <c r="N560" s="3">
        <v>5</v>
      </c>
      <c r="O560" s="3">
        <v>5</v>
      </c>
    </row>
    <row r="561" spans="1:15" ht="20" customHeight="1">
      <c r="A561" s="3" t="s">
        <v>942</v>
      </c>
      <c r="B561" s="2">
        <v>46284</v>
      </c>
      <c r="C561" s="3">
        <v>15</v>
      </c>
      <c r="D561" s="3" t="s">
        <v>195</v>
      </c>
      <c r="E561" s="3" t="s">
        <v>91</v>
      </c>
      <c r="F561" s="3" t="s">
        <v>109</v>
      </c>
      <c r="G561" s="3" t="s">
        <v>93</v>
      </c>
      <c r="H561" s="3" t="s">
        <v>118</v>
      </c>
      <c r="I561" s="3">
        <v>5</v>
      </c>
      <c r="J561" s="11">
        <v>45</v>
      </c>
      <c r="K561" s="4">
        <v>0</v>
      </c>
      <c r="L561" s="3" t="s">
        <v>95</v>
      </c>
      <c r="M561" s="3">
        <v>21</v>
      </c>
      <c r="N561" s="3">
        <v>12</v>
      </c>
      <c r="O561" s="3">
        <v>5</v>
      </c>
    </row>
    <row r="562" spans="1:15" ht="20" customHeight="1">
      <c r="A562" s="3" t="s">
        <v>943</v>
      </c>
      <c r="B562" s="2">
        <v>46284</v>
      </c>
      <c r="C562" s="3">
        <v>6</v>
      </c>
      <c r="D562" s="3" t="s">
        <v>944</v>
      </c>
      <c r="E562" s="3" t="s">
        <v>91</v>
      </c>
      <c r="F562" s="3" t="s">
        <v>139</v>
      </c>
      <c r="G562" s="3" t="s">
        <v>93</v>
      </c>
      <c r="H562" s="3" t="s">
        <v>94</v>
      </c>
      <c r="I562" s="3">
        <v>2</v>
      </c>
      <c r="J562" s="11">
        <v>95</v>
      </c>
      <c r="K562" s="4">
        <v>0.05</v>
      </c>
      <c r="L562" s="3" t="s">
        <v>95</v>
      </c>
      <c r="M562" s="3">
        <v>23</v>
      </c>
      <c r="N562" s="3">
        <v>9</v>
      </c>
      <c r="O562" s="3">
        <v>4</v>
      </c>
    </row>
    <row r="563" spans="1:15" ht="20" customHeight="1">
      <c r="A563" s="3" t="s">
        <v>945</v>
      </c>
      <c r="B563" s="2">
        <v>46284</v>
      </c>
      <c r="C563" s="3">
        <v>7</v>
      </c>
      <c r="D563" s="3" t="s">
        <v>687</v>
      </c>
      <c r="E563" s="3" t="s">
        <v>91</v>
      </c>
      <c r="F563" s="3" t="s">
        <v>98</v>
      </c>
      <c r="G563" s="3" t="s">
        <v>93</v>
      </c>
      <c r="H563" s="3" t="s">
        <v>118</v>
      </c>
      <c r="I563" s="3">
        <v>3</v>
      </c>
      <c r="J563" s="11">
        <v>45</v>
      </c>
      <c r="K563" s="4">
        <v>0</v>
      </c>
      <c r="L563" s="3" t="s">
        <v>95</v>
      </c>
      <c r="M563" s="3">
        <v>23</v>
      </c>
      <c r="N563" s="3">
        <v>13</v>
      </c>
      <c r="O563" s="3">
        <v>5</v>
      </c>
    </row>
    <row r="564" spans="1:15" ht="20" customHeight="1">
      <c r="A564" s="3" t="s">
        <v>946</v>
      </c>
      <c r="B564" s="2">
        <v>46284</v>
      </c>
      <c r="C564" s="3">
        <v>23</v>
      </c>
      <c r="D564" s="3" t="s">
        <v>579</v>
      </c>
      <c r="E564" s="3" t="s">
        <v>117</v>
      </c>
      <c r="F564" s="3" t="s">
        <v>121</v>
      </c>
      <c r="G564" s="3" t="s">
        <v>110</v>
      </c>
      <c r="H564" s="3" t="s">
        <v>111</v>
      </c>
      <c r="I564" s="3">
        <v>4</v>
      </c>
      <c r="J564" s="11">
        <v>115</v>
      </c>
      <c r="K564" s="4">
        <v>0</v>
      </c>
      <c r="L564" s="3" t="s">
        <v>95</v>
      </c>
      <c r="M564" s="3">
        <v>24</v>
      </c>
      <c r="N564" s="3">
        <v>8</v>
      </c>
      <c r="O564" s="3">
        <v>4</v>
      </c>
    </row>
    <row r="565" spans="1:15" ht="20" customHeight="1">
      <c r="A565" s="3" t="s">
        <v>947</v>
      </c>
      <c r="B565" s="2">
        <v>46284</v>
      </c>
      <c r="C565" s="3">
        <v>7</v>
      </c>
      <c r="D565" s="3" t="s">
        <v>238</v>
      </c>
      <c r="E565" s="3" t="s">
        <v>91</v>
      </c>
      <c r="F565" s="3" t="s">
        <v>92</v>
      </c>
      <c r="G565" s="3" t="s">
        <v>122</v>
      </c>
      <c r="H565" s="3" t="s">
        <v>123</v>
      </c>
      <c r="I565" s="3">
        <v>1</v>
      </c>
      <c r="J565" s="11">
        <v>45</v>
      </c>
      <c r="K565" s="4">
        <v>0.1</v>
      </c>
      <c r="L565" s="3" t="s">
        <v>95</v>
      </c>
      <c r="M565" s="3">
        <v>25</v>
      </c>
      <c r="N565" s="3">
        <v>8</v>
      </c>
      <c r="O565" s="3">
        <v>4</v>
      </c>
    </row>
    <row r="566" spans="1:15" ht="20" customHeight="1">
      <c r="A566" s="3" t="s">
        <v>948</v>
      </c>
      <c r="B566" s="2">
        <v>46284</v>
      </c>
      <c r="C566" s="3">
        <v>18</v>
      </c>
      <c r="D566" s="3" t="s">
        <v>713</v>
      </c>
      <c r="E566" s="3" t="s">
        <v>91</v>
      </c>
      <c r="F566" s="3" t="s">
        <v>109</v>
      </c>
      <c r="G566" s="3" t="s">
        <v>99</v>
      </c>
      <c r="H566" s="3" t="s">
        <v>130</v>
      </c>
      <c r="I566" s="3">
        <v>2</v>
      </c>
      <c r="J566" s="11">
        <v>85</v>
      </c>
      <c r="K566" s="4">
        <v>0.15</v>
      </c>
      <c r="L566" s="3" t="s">
        <v>95</v>
      </c>
      <c r="M566" s="3">
        <v>31</v>
      </c>
      <c r="N566" s="3">
        <v>12</v>
      </c>
      <c r="O566" s="3">
        <v>5</v>
      </c>
    </row>
    <row r="567" spans="1:15" ht="20" customHeight="1">
      <c r="A567" s="3" t="s">
        <v>949</v>
      </c>
      <c r="B567" s="2">
        <v>46284</v>
      </c>
      <c r="C567" s="3">
        <v>19</v>
      </c>
      <c r="D567" s="3" t="s">
        <v>492</v>
      </c>
      <c r="E567" s="3" t="s">
        <v>91</v>
      </c>
      <c r="F567" s="3" t="s">
        <v>121</v>
      </c>
      <c r="G567" s="3" t="s">
        <v>174</v>
      </c>
      <c r="H567" s="3" t="s">
        <v>175</v>
      </c>
      <c r="I567" s="3">
        <v>5</v>
      </c>
      <c r="J567" s="11">
        <v>155</v>
      </c>
      <c r="K567" s="4">
        <v>0.15</v>
      </c>
      <c r="L567" s="3" t="s">
        <v>95</v>
      </c>
      <c r="M567" s="3">
        <v>31</v>
      </c>
      <c r="N567" s="3">
        <v>10</v>
      </c>
      <c r="O567" s="3">
        <v>4</v>
      </c>
    </row>
    <row r="568" spans="1:15" ht="20" customHeight="1">
      <c r="A568" s="3" t="s">
        <v>950</v>
      </c>
      <c r="B568" s="2">
        <v>46284</v>
      </c>
      <c r="C568" s="3">
        <v>17</v>
      </c>
      <c r="D568" s="3" t="s">
        <v>448</v>
      </c>
      <c r="E568" s="3" t="s">
        <v>91</v>
      </c>
      <c r="F568" s="3" t="s">
        <v>98</v>
      </c>
      <c r="G568" s="3" t="s">
        <v>135</v>
      </c>
      <c r="H568" s="3" t="s">
        <v>136</v>
      </c>
      <c r="I568" s="3">
        <v>2</v>
      </c>
      <c r="J568" s="11">
        <v>40</v>
      </c>
      <c r="K568" s="4">
        <v>0.15</v>
      </c>
      <c r="L568" s="3" t="s">
        <v>95</v>
      </c>
      <c r="M568" s="3">
        <v>14</v>
      </c>
      <c r="N568" s="3">
        <v>8</v>
      </c>
      <c r="O568" s="3">
        <v>4</v>
      </c>
    </row>
    <row r="569" spans="1:15" ht="20" customHeight="1">
      <c r="A569" s="3" t="s">
        <v>951</v>
      </c>
      <c r="B569" s="2">
        <v>46284</v>
      </c>
      <c r="C569" s="3">
        <v>23</v>
      </c>
      <c r="D569" s="3" t="s">
        <v>157</v>
      </c>
      <c r="E569" s="3" t="s">
        <v>91</v>
      </c>
      <c r="F569" s="3" t="s">
        <v>98</v>
      </c>
      <c r="G569" s="3" t="s">
        <v>135</v>
      </c>
      <c r="H569" s="3" t="s">
        <v>162</v>
      </c>
      <c r="I569" s="3">
        <v>6</v>
      </c>
      <c r="J569" s="11">
        <v>180</v>
      </c>
      <c r="K569" s="4">
        <v>0</v>
      </c>
      <c r="L569" s="3" t="s">
        <v>95</v>
      </c>
      <c r="M569" s="3">
        <v>19</v>
      </c>
      <c r="N569" s="3">
        <v>12</v>
      </c>
      <c r="O569" s="3">
        <v>3</v>
      </c>
    </row>
    <row r="570" spans="1:15" ht="20" customHeight="1">
      <c r="A570" s="3" t="s">
        <v>952</v>
      </c>
      <c r="B570" s="2">
        <v>46284</v>
      </c>
      <c r="C570" s="3">
        <v>13</v>
      </c>
      <c r="D570" s="3" t="s">
        <v>794</v>
      </c>
      <c r="E570" s="3" t="s">
        <v>117</v>
      </c>
      <c r="F570" s="3" t="s">
        <v>92</v>
      </c>
      <c r="G570" s="3" t="s">
        <v>110</v>
      </c>
      <c r="H570" s="3" t="s">
        <v>114</v>
      </c>
      <c r="I570" s="3">
        <v>2</v>
      </c>
      <c r="J570" s="11">
        <v>145</v>
      </c>
      <c r="K570" s="4">
        <v>0.1</v>
      </c>
      <c r="L570" s="3" t="s">
        <v>95</v>
      </c>
      <c r="M570" s="3">
        <v>25</v>
      </c>
      <c r="N570" s="3">
        <v>7</v>
      </c>
      <c r="O570" s="3">
        <v>4</v>
      </c>
    </row>
    <row r="571" spans="1:15" ht="20" customHeight="1">
      <c r="A571" s="3" t="s">
        <v>953</v>
      </c>
      <c r="B571" s="2">
        <v>46284</v>
      </c>
      <c r="C571" s="3">
        <v>17</v>
      </c>
      <c r="D571" s="3" t="s">
        <v>831</v>
      </c>
      <c r="E571" s="3" t="s">
        <v>91</v>
      </c>
      <c r="F571" s="3" t="s">
        <v>121</v>
      </c>
      <c r="G571" s="3" t="s">
        <v>135</v>
      </c>
      <c r="H571" s="3" t="s">
        <v>217</v>
      </c>
      <c r="I571" s="3">
        <v>5</v>
      </c>
      <c r="J571" s="11">
        <v>65</v>
      </c>
      <c r="K571" s="4">
        <v>0.15</v>
      </c>
      <c r="L571" s="3" t="s">
        <v>95</v>
      </c>
      <c r="M571" s="3">
        <v>28</v>
      </c>
      <c r="N571" s="3">
        <v>9</v>
      </c>
      <c r="O571" s="3">
        <v>4</v>
      </c>
    </row>
    <row r="572" spans="1:15" ht="20" customHeight="1">
      <c r="A572" s="3" t="s">
        <v>954</v>
      </c>
      <c r="B572" s="2">
        <v>46285</v>
      </c>
      <c r="C572" s="3">
        <v>18</v>
      </c>
      <c r="D572" s="3" t="s">
        <v>295</v>
      </c>
      <c r="E572" s="3" t="s">
        <v>117</v>
      </c>
      <c r="F572" s="3" t="s">
        <v>109</v>
      </c>
      <c r="G572" s="3" t="s">
        <v>174</v>
      </c>
      <c r="H572" s="3" t="s">
        <v>184</v>
      </c>
      <c r="I572" s="3">
        <v>2</v>
      </c>
      <c r="J572" s="11">
        <v>62</v>
      </c>
      <c r="K572" s="4">
        <v>0.1</v>
      </c>
      <c r="L572" s="3" t="s">
        <v>95</v>
      </c>
      <c r="M572" s="3">
        <v>13</v>
      </c>
      <c r="N572" s="3">
        <v>13</v>
      </c>
      <c r="O572" s="3">
        <v>3</v>
      </c>
    </row>
    <row r="573" spans="1:15" ht="20" customHeight="1">
      <c r="A573" s="3" t="s">
        <v>955</v>
      </c>
      <c r="B573" s="2">
        <v>46285</v>
      </c>
      <c r="C573" s="3">
        <v>17</v>
      </c>
      <c r="D573" s="3" t="s">
        <v>236</v>
      </c>
      <c r="E573" s="3" t="s">
        <v>91</v>
      </c>
      <c r="F573" s="3" t="s">
        <v>92</v>
      </c>
      <c r="G573" s="3" t="s">
        <v>93</v>
      </c>
      <c r="H573" s="3" t="s">
        <v>146</v>
      </c>
      <c r="I573" s="3">
        <v>4</v>
      </c>
      <c r="J573" s="11">
        <v>110</v>
      </c>
      <c r="K573" s="4">
        <v>0</v>
      </c>
      <c r="L573" s="3" t="s">
        <v>95</v>
      </c>
      <c r="M573" s="3">
        <v>13</v>
      </c>
      <c r="N573" s="3">
        <v>6</v>
      </c>
      <c r="O573" s="3">
        <v>5</v>
      </c>
    </row>
    <row r="574" spans="1:15" ht="20" customHeight="1">
      <c r="A574" s="3" t="s">
        <v>956</v>
      </c>
      <c r="B574" s="2">
        <v>46285</v>
      </c>
      <c r="C574" s="3">
        <v>12</v>
      </c>
      <c r="D574" s="3" t="s">
        <v>155</v>
      </c>
      <c r="E574" s="3" t="s">
        <v>91</v>
      </c>
      <c r="F574" s="3" t="s">
        <v>139</v>
      </c>
      <c r="G574" s="3" t="s">
        <v>93</v>
      </c>
      <c r="H574" s="3" t="s">
        <v>146</v>
      </c>
      <c r="I574" s="3">
        <v>3</v>
      </c>
      <c r="J574" s="11">
        <v>110</v>
      </c>
      <c r="K574" s="4">
        <v>0</v>
      </c>
      <c r="L574" s="3" t="s">
        <v>101</v>
      </c>
      <c r="M574" s="3"/>
      <c r="N574" s="3"/>
      <c r="O574" s="3"/>
    </row>
    <row r="575" spans="1:15" ht="20" customHeight="1">
      <c r="A575" s="3" t="s">
        <v>957</v>
      </c>
      <c r="B575" s="2">
        <v>46285</v>
      </c>
      <c r="C575" s="3">
        <v>12</v>
      </c>
      <c r="D575" s="3" t="s">
        <v>777</v>
      </c>
      <c r="E575" s="3" t="s">
        <v>91</v>
      </c>
      <c r="F575" s="3" t="s">
        <v>92</v>
      </c>
      <c r="G575" s="3" t="s">
        <v>110</v>
      </c>
      <c r="H575" s="3" t="s">
        <v>206</v>
      </c>
      <c r="I575" s="3">
        <v>6</v>
      </c>
      <c r="J575" s="11">
        <v>220</v>
      </c>
      <c r="K575" s="4">
        <v>0.1</v>
      </c>
      <c r="L575" s="3" t="s">
        <v>95</v>
      </c>
      <c r="M575" s="3">
        <v>20</v>
      </c>
      <c r="N575" s="3">
        <v>8</v>
      </c>
      <c r="O575" s="3">
        <v>5</v>
      </c>
    </row>
    <row r="576" spans="1:15" ht="20" customHeight="1">
      <c r="A576" s="3" t="s">
        <v>958</v>
      </c>
      <c r="B576" s="2">
        <v>46285</v>
      </c>
      <c r="C576" s="3">
        <v>18</v>
      </c>
      <c r="D576" s="3" t="s">
        <v>959</v>
      </c>
      <c r="E576" s="3" t="s">
        <v>91</v>
      </c>
      <c r="F576" s="3" t="s">
        <v>98</v>
      </c>
      <c r="G576" s="3" t="s">
        <v>93</v>
      </c>
      <c r="H576" s="3" t="s">
        <v>146</v>
      </c>
      <c r="I576" s="3">
        <v>5</v>
      </c>
      <c r="J576" s="11">
        <v>110</v>
      </c>
      <c r="K576" s="4">
        <v>0</v>
      </c>
      <c r="L576" s="3" t="s">
        <v>95</v>
      </c>
      <c r="M576" s="3">
        <v>22</v>
      </c>
      <c r="N576" s="3">
        <v>10</v>
      </c>
      <c r="O576" s="3">
        <v>5</v>
      </c>
    </row>
    <row r="577" spans="1:15" ht="20" customHeight="1">
      <c r="A577" s="3" t="s">
        <v>960</v>
      </c>
      <c r="B577" s="2">
        <v>46285</v>
      </c>
      <c r="C577" s="3">
        <v>19</v>
      </c>
      <c r="D577" s="3" t="s">
        <v>788</v>
      </c>
      <c r="E577" s="3" t="s">
        <v>91</v>
      </c>
      <c r="F577" s="3" t="s">
        <v>98</v>
      </c>
      <c r="G577" s="3" t="s">
        <v>174</v>
      </c>
      <c r="H577" s="3" t="s">
        <v>175</v>
      </c>
      <c r="I577" s="3">
        <v>6</v>
      </c>
      <c r="J577" s="11">
        <v>155</v>
      </c>
      <c r="K577" s="4">
        <v>0</v>
      </c>
      <c r="L577" s="3" t="s">
        <v>95</v>
      </c>
      <c r="M577" s="3">
        <v>16</v>
      </c>
      <c r="N577" s="3">
        <v>10</v>
      </c>
      <c r="O577" s="3">
        <v>3</v>
      </c>
    </row>
    <row r="578" spans="1:15" ht="20" customHeight="1">
      <c r="A578" s="3" t="s">
        <v>961</v>
      </c>
      <c r="B578" s="2">
        <v>46285</v>
      </c>
      <c r="C578" s="3">
        <v>16</v>
      </c>
      <c r="D578" s="3" t="s">
        <v>106</v>
      </c>
      <c r="E578" s="3" t="s">
        <v>91</v>
      </c>
      <c r="F578" s="3" t="s">
        <v>109</v>
      </c>
      <c r="G578" s="3" t="s">
        <v>122</v>
      </c>
      <c r="H578" s="3" t="s">
        <v>214</v>
      </c>
      <c r="I578" s="3">
        <v>1</v>
      </c>
      <c r="J578" s="11">
        <v>55</v>
      </c>
      <c r="K578" s="4">
        <v>0</v>
      </c>
      <c r="L578" s="3" t="s">
        <v>95</v>
      </c>
      <c r="M578" s="3">
        <v>25</v>
      </c>
      <c r="N578" s="3">
        <v>11</v>
      </c>
      <c r="O578" s="3">
        <v>4</v>
      </c>
    </row>
    <row r="579" spans="1:15" ht="20" customHeight="1">
      <c r="A579" s="3" t="s">
        <v>962</v>
      </c>
      <c r="B579" s="2">
        <v>46285</v>
      </c>
      <c r="C579" s="3">
        <v>22</v>
      </c>
      <c r="D579" s="3" t="s">
        <v>963</v>
      </c>
      <c r="E579" s="3" t="s">
        <v>91</v>
      </c>
      <c r="F579" s="3" t="s">
        <v>109</v>
      </c>
      <c r="G579" s="3" t="s">
        <v>99</v>
      </c>
      <c r="H579" s="3" t="s">
        <v>130</v>
      </c>
      <c r="I579" s="3">
        <v>4</v>
      </c>
      <c r="J579" s="11">
        <v>85</v>
      </c>
      <c r="K579" s="4">
        <v>0.15</v>
      </c>
      <c r="L579" s="3" t="s">
        <v>95</v>
      </c>
      <c r="M579" s="3">
        <v>21</v>
      </c>
      <c r="N579" s="3">
        <v>9</v>
      </c>
      <c r="O579" s="3">
        <v>5</v>
      </c>
    </row>
    <row r="580" spans="1:15" ht="20" customHeight="1">
      <c r="A580" s="3" t="s">
        <v>964</v>
      </c>
      <c r="B580" s="2">
        <v>46285</v>
      </c>
      <c r="C580" s="3">
        <v>9</v>
      </c>
      <c r="D580" s="3" t="s">
        <v>610</v>
      </c>
      <c r="E580" s="3" t="s">
        <v>91</v>
      </c>
      <c r="F580" s="3" t="s">
        <v>109</v>
      </c>
      <c r="G580" s="3" t="s">
        <v>110</v>
      </c>
      <c r="H580" s="3" t="s">
        <v>114</v>
      </c>
      <c r="I580" s="3">
        <v>2</v>
      </c>
      <c r="J580" s="11">
        <v>145</v>
      </c>
      <c r="K580" s="4">
        <v>0.15</v>
      </c>
      <c r="L580" s="3" t="s">
        <v>95</v>
      </c>
      <c r="M580" s="3">
        <v>32</v>
      </c>
      <c r="N580" s="3">
        <v>7</v>
      </c>
      <c r="O580" s="3">
        <v>5</v>
      </c>
    </row>
    <row r="581" spans="1:15" ht="20" customHeight="1">
      <c r="A581" s="3" t="s">
        <v>965</v>
      </c>
      <c r="B581" s="2">
        <v>46285</v>
      </c>
      <c r="C581" s="3">
        <v>22</v>
      </c>
      <c r="D581" s="3" t="s">
        <v>881</v>
      </c>
      <c r="E581" s="3" t="s">
        <v>91</v>
      </c>
      <c r="F581" s="3" t="s">
        <v>92</v>
      </c>
      <c r="G581" s="3" t="s">
        <v>93</v>
      </c>
      <c r="H581" s="3" t="s">
        <v>94</v>
      </c>
      <c r="I581" s="3">
        <v>2</v>
      </c>
      <c r="J581" s="11">
        <v>95</v>
      </c>
      <c r="K581" s="4">
        <v>0</v>
      </c>
      <c r="L581" s="3" t="s">
        <v>95</v>
      </c>
      <c r="M581" s="3">
        <v>12</v>
      </c>
      <c r="N581" s="3">
        <v>7</v>
      </c>
      <c r="O581" s="3">
        <v>3</v>
      </c>
    </row>
    <row r="582" spans="1:15" ht="20" customHeight="1">
      <c r="A582" s="3" t="s">
        <v>966</v>
      </c>
      <c r="B582" s="2">
        <v>46285</v>
      </c>
      <c r="C582" s="3">
        <v>12</v>
      </c>
      <c r="D582" s="3" t="s">
        <v>257</v>
      </c>
      <c r="E582" s="3" t="s">
        <v>91</v>
      </c>
      <c r="F582" s="3" t="s">
        <v>109</v>
      </c>
      <c r="G582" s="3" t="s">
        <v>93</v>
      </c>
      <c r="H582" s="3" t="s">
        <v>118</v>
      </c>
      <c r="I582" s="3">
        <v>3</v>
      </c>
      <c r="J582" s="11">
        <v>45</v>
      </c>
      <c r="K582" s="4">
        <v>0</v>
      </c>
      <c r="L582" s="3" t="s">
        <v>95</v>
      </c>
      <c r="M582" s="3">
        <v>19</v>
      </c>
      <c r="N582" s="3">
        <v>10</v>
      </c>
      <c r="O582" s="3">
        <v>5</v>
      </c>
    </row>
    <row r="583" spans="1:15" ht="20" customHeight="1">
      <c r="A583" s="3" t="s">
        <v>967</v>
      </c>
      <c r="B583" s="2">
        <v>46285</v>
      </c>
      <c r="C583" s="3">
        <v>12</v>
      </c>
      <c r="D583" s="3" t="s">
        <v>944</v>
      </c>
      <c r="E583" s="3" t="s">
        <v>91</v>
      </c>
      <c r="F583" s="3" t="s">
        <v>109</v>
      </c>
      <c r="G583" s="3" t="s">
        <v>135</v>
      </c>
      <c r="H583" s="3" t="s">
        <v>136</v>
      </c>
      <c r="I583" s="3">
        <v>1</v>
      </c>
      <c r="J583" s="11">
        <v>40</v>
      </c>
      <c r="K583" s="4">
        <v>0</v>
      </c>
      <c r="L583" s="3" t="s">
        <v>95</v>
      </c>
      <c r="M583" s="3">
        <v>15</v>
      </c>
      <c r="N583" s="3">
        <v>11</v>
      </c>
      <c r="O583" s="3">
        <v>4</v>
      </c>
    </row>
    <row r="584" spans="1:15" ht="20" customHeight="1">
      <c r="A584" s="3" t="s">
        <v>968</v>
      </c>
      <c r="B584" s="2">
        <v>46285</v>
      </c>
      <c r="C584" s="3">
        <v>14</v>
      </c>
      <c r="D584" s="3" t="s">
        <v>353</v>
      </c>
      <c r="E584" s="3" t="s">
        <v>91</v>
      </c>
      <c r="F584" s="3" t="s">
        <v>98</v>
      </c>
      <c r="G584" s="3" t="s">
        <v>110</v>
      </c>
      <c r="H584" s="3" t="s">
        <v>111</v>
      </c>
      <c r="I584" s="3">
        <v>3</v>
      </c>
      <c r="J584" s="11">
        <v>115</v>
      </c>
      <c r="K584" s="4">
        <v>0</v>
      </c>
      <c r="L584" s="3" t="s">
        <v>95</v>
      </c>
      <c r="M584" s="3">
        <v>18</v>
      </c>
      <c r="N584" s="3">
        <v>13</v>
      </c>
      <c r="O584" s="3">
        <v>4</v>
      </c>
    </row>
    <row r="585" spans="1:15" ht="20" customHeight="1">
      <c r="A585" s="3" t="s">
        <v>969</v>
      </c>
      <c r="B585" s="2">
        <v>46285</v>
      </c>
      <c r="C585" s="3">
        <v>14</v>
      </c>
      <c r="D585" s="3" t="s">
        <v>148</v>
      </c>
      <c r="E585" s="3" t="s">
        <v>91</v>
      </c>
      <c r="F585" s="3" t="s">
        <v>92</v>
      </c>
      <c r="G585" s="3" t="s">
        <v>93</v>
      </c>
      <c r="H585" s="3" t="s">
        <v>94</v>
      </c>
      <c r="I585" s="3">
        <v>4</v>
      </c>
      <c r="J585" s="11">
        <v>95</v>
      </c>
      <c r="K585" s="4">
        <v>0.1</v>
      </c>
      <c r="L585" s="3" t="s">
        <v>95</v>
      </c>
      <c r="M585" s="3">
        <v>20</v>
      </c>
      <c r="N585" s="3">
        <v>4</v>
      </c>
      <c r="O585" s="3">
        <v>4</v>
      </c>
    </row>
    <row r="586" spans="1:15" ht="20" customHeight="1">
      <c r="A586" s="3" t="s">
        <v>970</v>
      </c>
      <c r="B586" s="2">
        <v>46285</v>
      </c>
      <c r="C586" s="3">
        <v>13</v>
      </c>
      <c r="D586" s="3" t="s">
        <v>971</v>
      </c>
      <c r="E586" s="3" t="s">
        <v>91</v>
      </c>
      <c r="F586" s="3" t="s">
        <v>121</v>
      </c>
      <c r="G586" s="3" t="s">
        <v>135</v>
      </c>
      <c r="H586" s="3" t="s">
        <v>162</v>
      </c>
      <c r="I586" s="3">
        <v>6</v>
      </c>
      <c r="J586" s="11">
        <v>180</v>
      </c>
      <c r="K586" s="4">
        <v>0</v>
      </c>
      <c r="L586" s="3" t="s">
        <v>95</v>
      </c>
      <c r="M586" s="3">
        <v>30</v>
      </c>
      <c r="N586" s="3">
        <v>9</v>
      </c>
      <c r="O586" s="3">
        <v>5</v>
      </c>
    </row>
    <row r="587" spans="1:15" ht="20" customHeight="1">
      <c r="A587" s="3" t="s">
        <v>972</v>
      </c>
      <c r="B587" s="2">
        <v>46285</v>
      </c>
      <c r="C587" s="3">
        <v>16</v>
      </c>
      <c r="D587" s="3" t="s">
        <v>181</v>
      </c>
      <c r="E587" s="3" t="s">
        <v>117</v>
      </c>
      <c r="F587" s="3" t="s">
        <v>1310</v>
      </c>
      <c r="G587" s="3" t="s">
        <v>122</v>
      </c>
      <c r="H587" s="3" t="s">
        <v>153</v>
      </c>
      <c r="I587" s="3">
        <v>5</v>
      </c>
      <c r="J587" s="11">
        <v>130</v>
      </c>
      <c r="K587" s="4">
        <v>0.1</v>
      </c>
      <c r="L587" s="3" t="s">
        <v>95</v>
      </c>
      <c r="M587" s="3">
        <v>23</v>
      </c>
      <c r="N587" s="3">
        <v>6</v>
      </c>
      <c r="O587" s="3">
        <v>5</v>
      </c>
    </row>
    <row r="588" spans="1:15" ht="20" customHeight="1">
      <c r="A588" s="3" t="s">
        <v>973</v>
      </c>
      <c r="B588" s="2">
        <v>46285</v>
      </c>
      <c r="C588" s="3">
        <v>9</v>
      </c>
      <c r="D588" s="3" t="s">
        <v>558</v>
      </c>
      <c r="E588" s="3" t="s">
        <v>91</v>
      </c>
      <c r="F588" s="3" t="s">
        <v>109</v>
      </c>
      <c r="G588" s="3" t="s">
        <v>122</v>
      </c>
      <c r="H588" s="3" t="s">
        <v>123</v>
      </c>
      <c r="I588" s="3">
        <v>4</v>
      </c>
      <c r="J588" s="11">
        <v>45</v>
      </c>
      <c r="K588" s="4">
        <v>0</v>
      </c>
      <c r="L588" s="3" t="s">
        <v>95</v>
      </c>
      <c r="M588" s="3">
        <v>13</v>
      </c>
      <c r="N588" s="3">
        <v>10</v>
      </c>
      <c r="O588" s="3">
        <v>4</v>
      </c>
    </row>
    <row r="589" spans="1:15" ht="20" customHeight="1">
      <c r="A589" s="3" t="s">
        <v>974</v>
      </c>
      <c r="B589" s="2">
        <v>46285</v>
      </c>
      <c r="C589" s="3">
        <v>23</v>
      </c>
      <c r="D589" s="3" t="s">
        <v>975</v>
      </c>
      <c r="E589" s="3" t="s">
        <v>117</v>
      </c>
      <c r="F589" s="3" t="s">
        <v>98</v>
      </c>
      <c r="G589" s="3" t="s">
        <v>174</v>
      </c>
      <c r="H589" s="3" t="s">
        <v>184</v>
      </c>
      <c r="I589" s="3">
        <v>5</v>
      </c>
      <c r="J589" s="11">
        <v>62</v>
      </c>
      <c r="K589" s="4">
        <v>0.15</v>
      </c>
      <c r="L589" s="3" t="s">
        <v>95</v>
      </c>
      <c r="M589" s="3">
        <v>14</v>
      </c>
      <c r="N589" s="3">
        <v>8</v>
      </c>
      <c r="O589" s="3">
        <v>4</v>
      </c>
    </row>
    <row r="590" spans="1:15" ht="20" customHeight="1">
      <c r="A590" s="3" t="s">
        <v>976</v>
      </c>
      <c r="B590" s="2">
        <v>46285</v>
      </c>
      <c r="C590" s="3">
        <v>10</v>
      </c>
      <c r="D590" s="3" t="s">
        <v>436</v>
      </c>
      <c r="E590" s="3" t="s">
        <v>117</v>
      </c>
      <c r="F590" s="3" t="s">
        <v>139</v>
      </c>
      <c r="G590" s="3" t="s">
        <v>122</v>
      </c>
      <c r="H590" s="3" t="s">
        <v>153</v>
      </c>
      <c r="I590" s="3">
        <v>1</v>
      </c>
      <c r="J590" s="11">
        <v>130</v>
      </c>
      <c r="K590" s="4">
        <v>0</v>
      </c>
      <c r="L590" s="3" t="s">
        <v>95</v>
      </c>
      <c r="M590" s="3">
        <v>32</v>
      </c>
      <c r="N590" s="3">
        <v>8</v>
      </c>
      <c r="O590" s="3">
        <v>5</v>
      </c>
    </row>
    <row r="591" spans="1:15" ht="20" customHeight="1">
      <c r="A591" s="3" t="s">
        <v>977</v>
      </c>
      <c r="B591" s="2">
        <v>46285</v>
      </c>
      <c r="C591" s="3">
        <v>17</v>
      </c>
      <c r="D591" s="3" t="s">
        <v>236</v>
      </c>
      <c r="E591" s="3" t="s">
        <v>91</v>
      </c>
      <c r="F591" s="3" t="s">
        <v>109</v>
      </c>
      <c r="G591" s="3" t="s">
        <v>99</v>
      </c>
      <c r="H591" s="3" t="s">
        <v>104</v>
      </c>
      <c r="I591" s="3">
        <v>4</v>
      </c>
      <c r="J591" s="11">
        <v>240</v>
      </c>
      <c r="K591" s="4">
        <v>0</v>
      </c>
      <c r="L591" s="3" t="s">
        <v>95</v>
      </c>
      <c r="M591" s="3">
        <v>24</v>
      </c>
      <c r="N591" s="3">
        <v>12</v>
      </c>
      <c r="O591" s="3">
        <v>3</v>
      </c>
    </row>
    <row r="592" spans="1:15" ht="20" customHeight="1">
      <c r="A592" s="3" t="s">
        <v>978</v>
      </c>
      <c r="B592" s="2">
        <v>46285</v>
      </c>
      <c r="C592" s="3">
        <v>18</v>
      </c>
      <c r="D592" s="3" t="s">
        <v>639</v>
      </c>
      <c r="E592" s="3" t="s">
        <v>91</v>
      </c>
      <c r="F592" s="3" t="s">
        <v>98</v>
      </c>
      <c r="G592" s="3" t="s">
        <v>135</v>
      </c>
      <c r="H592" s="3" t="s">
        <v>136</v>
      </c>
      <c r="I592" s="3">
        <v>5</v>
      </c>
      <c r="J592" s="11">
        <v>40</v>
      </c>
      <c r="K592" s="4">
        <v>0.15</v>
      </c>
      <c r="L592" s="3" t="s">
        <v>95</v>
      </c>
      <c r="M592" s="3">
        <v>23</v>
      </c>
      <c r="N592" s="3">
        <v>12</v>
      </c>
      <c r="O592" s="3">
        <v>5</v>
      </c>
    </row>
    <row r="593" spans="1:15" ht="20" customHeight="1">
      <c r="A593" s="3" t="s">
        <v>979</v>
      </c>
      <c r="B593" s="2">
        <v>46285</v>
      </c>
      <c r="C593" s="3">
        <v>11</v>
      </c>
      <c r="D593" s="3" t="s">
        <v>980</v>
      </c>
      <c r="E593" s="3" t="s">
        <v>117</v>
      </c>
      <c r="F593" s="3" t="s">
        <v>92</v>
      </c>
      <c r="G593" s="3" t="s">
        <v>99</v>
      </c>
      <c r="H593" s="3" t="s">
        <v>104</v>
      </c>
      <c r="I593" s="3">
        <v>2</v>
      </c>
      <c r="J593" s="11">
        <v>240</v>
      </c>
      <c r="K593" s="4">
        <v>0.1</v>
      </c>
      <c r="L593" s="3" t="s">
        <v>95</v>
      </c>
      <c r="M593" s="3">
        <v>16</v>
      </c>
      <c r="N593" s="3">
        <v>15</v>
      </c>
      <c r="O593" s="3">
        <v>4</v>
      </c>
    </row>
    <row r="594" spans="1:15" ht="20" customHeight="1">
      <c r="A594" s="3" t="s">
        <v>981</v>
      </c>
      <c r="B594" s="2">
        <v>46285</v>
      </c>
      <c r="C594" s="3">
        <v>23</v>
      </c>
      <c r="D594" s="3" t="s">
        <v>305</v>
      </c>
      <c r="E594" s="3" t="s">
        <v>91</v>
      </c>
      <c r="F594" s="3" t="s">
        <v>98</v>
      </c>
      <c r="G594" s="3" t="s">
        <v>174</v>
      </c>
      <c r="H594" s="3" t="s">
        <v>184</v>
      </c>
      <c r="I594" s="3">
        <v>6</v>
      </c>
      <c r="J594" s="11">
        <v>62</v>
      </c>
      <c r="K594" s="4">
        <v>0</v>
      </c>
      <c r="L594" s="3" t="s">
        <v>95</v>
      </c>
      <c r="M594" s="3">
        <v>30</v>
      </c>
      <c r="N594" s="3">
        <v>10</v>
      </c>
      <c r="O594" s="3">
        <v>3</v>
      </c>
    </row>
    <row r="595" spans="1:15" ht="20" customHeight="1">
      <c r="A595" s="3" t="s">
        <v>982</v>
      </c>
      <c r="B595" s="2">
        <v>46285</v>
      </c>
      <c r="C595" s="3">
        <v>8</v>
      </c>
      <c r="D595" s="3" t="s">
        <v>167</v>
      </c>
      <c r="E595" s="3" t="s">
        <v>91</v>
      </c>
      <c r="F595" s="3" t="s">
        <v>121</v>
      </c>
      <c r="G595" s="3" t="s">
        <v>99</v>
      </c>
      <c r="H595" s="3" t="s">
        <v>104</v>
      </c>
      <c r="I595" s="3">
        <v>1</v>
      </c>
      <c r="J595" s="11">
        <v>240</v>
      </c>
      <c r="K595" s="4">
        <v>0.15</v>
      </c>
      <c r="L595" s="3" t="s">
        <v>95</v>
      </c>
      <c r="M595" s="3">
        <v>22</v>
      </c>
      <c r="N595" s="3">
        <v>15</v>
      </c>
      <c r="O595" s="3">
        <v>4</v>
      </c>
    </row>
    <row r="596" spans="1:15" ht="20" customHeight="1">
      <c r="A596" s="3" t="s">
        <v>983</v>
      </c>
      <c r="B596" s="2">
        <v>46285</v>
      </c>
      <c r="C596" s="3">
        <v>19</v>
      </c>
      <c r="D596" s="3" t="s">
        <v>695</v>
      </c>
      <c r="E596" s="3" t="s">
        <v>117</v>
      </c>
      <c r="F596" s="3" t="s">
        <v>109</v>
      </c>
      <c r="G596" s="3" t="s">
        <v>93</v>
      </c>
      <c r="H596" s="3" t="s">
        <v>94</v>
      </c>
      <c r="I596" s="3">
        <v>4</v>
      </c>
      <c r="J596" s="11">
        <v>95</v>
      </c>
      <c r="K596" s="4">
        <v>0</v>
      </c>
      <c r="L596" s="3" t="s">
        <v>95</v>
      </c>
      <c r="M596" s="3">
        <v>16</v>
      </c>
      <c r="N596" s="3">
        <v>9</v>
      </c>
      <c r="O596" s="3">
        <v>4</v>
      </c>
    </row>
    <row r="597" spans="1:15" ht="20" customHeight="1">
      <c r="A597" s="3" t="s">
        <v>984</v>
      </c>
      <c r="B597" s="2">
        <v>46285</v>
      </c>
      <c r="C597" s="3">
        <v>12</v>
      </c>
      <c r="D597" s="3" t="s">
        <v>513</v>
      </c>
      <c r="E597" s="3" t="s">
        <v>117</v>
      </c>
      <c r="F597" s="3" t="s">
        <v>121</v>
      </c>
      <c r="G597" s="3" t="s">
        <v>99</v>
      </c>
      <c r="H597" s="3" t="s">
        <v>100</v>
      </c>
      <c r="I597" s="3">
        <v>4</v>
      </c>
      <c r="J597" s="11">
        <v>120</v>
      </c>
      <c r="K597" s="4">
        <v>0</v>
      </c>
      <c r="L597" s="3" t="s">
        <v>95</v>
      </c>
      <c r="M597" s="3">
        <v>22</v>
      </c>
      <c r="N597" s="3">
        <v>6</v>
      </c>
      <c r="O597" s="3">
        <v>4</v>
      </c>
    </row>
    <row r="598" spans="1:15" ht="20" customHeight="1">
      <c r="A598" s="3" t="s">
        <v>985</v>
      </c>
      <c r="B598" s="2">
        <v>46285</v>
      </c>
      <c r="C598" s="3">
        <v>8</v>
      </c>
      <c r="D598" s="3" t="s">
        <v>273</v>
      </c>
      <c r="E598" s="3" t="s">
        <v>117</v>
      </c>
      <c r="F598" s="3" t="s">
        <v>121</v>
      </c>
      <c r="G598" s="3" t="s">
        <v>135</v>
      </c>
      <c r="H598" s="3" t="s">
        <v>162</v>
      </c>
      <c r="I598" s="3">
        <v>4</v>
      </c>
      <c r="J598" s="11">
        <v>180</v>
      </c>
      <c r="K598" s="4">
        <v>0</v>
      </c>
      <c r="L598" s="3" t="s">
        <v>95</v>
      </c>
      <c r="M598" s="3">
        <v>26</v>
      </c>
      <c r="N598" s="3">
        <v>11</v>
      </c>
      <c r="O598" s="3">
        <v>4</v>
      </c>
    </row>
    <row r="599" spans="1:15" ht="20" customHeight="1">
      <c r="A599" s="3" t="s">
        <v>986</v>
      </c>
      <c r="B599" s="2">
        <v>46285</v>
      </c>
      <c r="C599" s="3">
        <v>18</v>
      </c>
      <c r="D599" s="3" t="s">
        <v>367</v>
      </c>
      <c r="E599" s="3" t="s">
        <v>117</v>
      </c>
      <c r="F599" s="3" t="s">
        <v>92</v>
      </c>
      <c r="G599" s="3" t="s">
        <v>93</v>
      </c>
      <c r="H599" s="3" t="s">
        <v>146</v>
      </c>
      <c r="I599" s="3">
        <v>4</v>
      </c>
      <c r="J599" s="11">
        <v>110</v>
      </c>
      <c r="K599" s="4">
        <v>0.15</v>
      </c>
      <c r="L599" s="3" t="s">
        <v>95</v>
      </c>
      <c r="M599" s="3">
        <v>27</v>
      </c>
      <c r="N599" s="3">
        <v>8</v>
      </c>
      <c r="O599" s="3">
        <v>3</v>
      </c>
    </row>
    <row r="600" spans="1:15" ht="20" customHeight="1">
      <c r="A600" s="3" t="s">
        <v>987</v>
      </c>
      <c r="B600" s="2">
        <v>46285</v>
      </c>
      <c r="C600" s="3">
        <v>7</v>
      </c>
      <c r="D600" s="3" t="s">
        <v>579</v>
      </c>
      <c r="E600" s="3" t="s">
        <v>117</v>
      </c>
      <c r="F600" s="3" t="s">
        <v>98</v>
      </c>
      <c r="G600" s="3" t="s">
        <v>110</v>
      </c>
      <c r="H600" s="3" t="s">
        <v>206</v>
      </c>
      <c r="I600" s="3">
        <v>5</v>
      </c>
      <c r="J600" s="11">
        <v>220</v>
      </c>
      <c r="K600" s="4">
        <v>0.15</v>
      </c>
      <c r="L600" s="3" t="s">
        <v>95</v>
      </c>
      <c r="M600" s="3">
        <v>19</v>
      </c>
      <c r="N600" s="3">
        <v>12</v>
      </c>
      <c r="O600" s="3">
        <v>4</v>
      </c>
    </row>
    <row r="601" spans="1:15" ht="20" customHeight="1">
      <c r="A601" s="3" t="s">
        <v>988</v>
      </c>
      <c r="B601" s="2">
        <v>46285</v>
      </c>
      <c r="C601" s="3">
        <v>12</v>
      </c>
      <c r="D601" s="3" t="s">
        <v>944</v>
      </c>
      <c r="E601" s="3" t="s">
        <v>91</v>
      </c>
      <c r="F601" s="3" t="s">
        <v>98</v>
      </c>
      <c r="G601" s="3" t="s">
        <v>135</v>
      </c>
      <c r="H601" s="3" t="s">
        <v>217</v>
      </c>
      <c r="I601" s="3">
        <v>2</v>
      </c>
      <c r="J601" s="11">
        <v>65</v>
      </c>
      <c r="K601" s="4">
        <v>0.15</v>
      </c>
      <c r="L601" s="3" t="s">
        <v>101</v>
      </c>
      <c r="M601" s="3"/>
      <c r="N601" s="3"/>
      <c r="O601" s="3"/>
    </row>
    <row r="602" spans="1:15" ht="20" customHeight="1">
      <c r="A602" s="3" t="s">
        <v>989</v>
      </c>
      <c r="B602" s="2">
        <v>46286</v>
      </c>
      <c r="C602" s="3">
        <v>19</v>
      </c>
      <c r="D602" s="3" t="s">
        <v>990</v>
      </c>
      <c r="E602" s="3" t="s">
        <v>91</v>
      </c>
      <c r="F602" s="3" t="s">
        <v>98</v>
      </c>
      <c r="G602" s="3" t="s">
        <v>135</v>
      </c>
      <c r="H602" s="3" t="s">
        <v>162</v>
      </c>
      <c r="I602" s="3">
        <v>3</v>
      </c>
      <c r="J602" s="11">
        <v>180</v>
      </c>
      <c r="K602" s="4">
        <v>0.05</v>
      </c>
      <c r="L602" s="3" t="s">
        <v>1316</v>
      </c>
      <c r="M602" s="3"/>
      <c r="N602" s="3"/>
      <c r="O602" s="3"/>
    </row>
    <row r="603" spans="1:15" ht="20" customHeight="1">
      <c r="A603" s="3" t="s">
        <v>991</v>
      </c>
      <c r="B603" s="2">
        <v>46286</v>
      </c>
      <c r="C603" s="3">
        <v>18</v>
      </c>
      <c r="D603" s="3" t="s">
        <v>992</v>
      </c>
      <c r="E603" s="3" t="s">
        <v>91</v>
      </c>
      <c r="F603" s="3" t="s">
        <v>139</v>
      </c>
      <c r="G603" s="3" t="s">
        <v>99</v>
      </c>
      <c r="H603" s="3" t="s">
        <v>100</v>
      </c>
      <c r="I603" s="3">
        <v>3</v>
      </c>
      <c r="J603" s="11">
        <v>120</v>
      </c>
      <c r="K603" s="4">
        <v>0.05</v>
      </c>
      <c r="L603" s="3" t="s">
        <v>95</v>
      </c>
      <c r="M603" s="3">
        <v>31</v>
      </c>
      <c r="N603" s="3">
        <v>13</v>
      </c>
      <c r="O603" s="3">
        <v>4</v>
      </c>
    </row>
    <row r="604" spans="1:15" ht="20" customHeight="1">
      <c r="A604" s="3" t="s">
        <v>993</v>
      </c>
      <c r="B604" s="2">
        <v>46286</v>
      </c>
      <c r="C604" s="3">
        <v>17</v>
      </c>
      <c r="D604" s="3" t="s">
        <v>761</v>
      </c>
      <c r="E604" s="3" t="s">
        <v>91</v>
      </c>
      <c r="F604" s="3" t="s">
        <v>109</v>
      </c>
      <c r="G604" s="3" t="s">
        <v>110</v>
      </c>
      <c r="H604" s="3" t="s">
        <v>206</v>
      </c>
      <c r="I604" s="3">
        <v>5</v>
      </c>
      <c r="J604" s="11">
        <v>220</v>
      </c>
      <c r="K604" s="4">
        <v>0</v>
      </c>
      <c r="L604" s="3" t="s">
        <v>95</v>
      </c>
      <c r="M604" s="3">
        <v>19</v>
      </c>
      <c r="N604" s="3">
        <v>12</v>
      </c>
      <c r="O604" s="3">
        <v>3</v>
      </c>
    </row>
    <row r="605" spans="1:15" ht="20" customHeight="1">
      <c r="A605" s="3" t="s">
        <v>994</v>
      </c>
      <c r="B605" s="2">
        <v>46286</v>
      </c>
      <c r="C605" s="3">
        <v>22</v>
      </c>
      <c r="D605" s="3" t="s">
        <v>742</v>
      </c>
      <c r="E605" s="3" t="s">
        <v>91</v>
      </c>
      <c r="F605" s="3" t="s">
        <v>139</v>
      </c>
      <c r="G605" s="3" t="s">
        <v>93</v>
      </c>
      <c r="H605" s="3" t="s">
        <v>146</v>
      </c>
      <c r="I605" s="3">
        <v>6</v>
      </c>
      <c r="J605" s="11">
        <v>110</v>
      </c>
      <c r="K605" s="4">
        <v>0.15</v>
      </c>
      <c r="L605" s="3" t="s">
        <v>101</v>
      </c>
      <c r="M605" s="3"/>
      <c r="N605" s="3"/>
      <c r="O605" s="3"/>
    </row>
    <row r="606" spans="1:15" ht="20" customHeight="1">
      <c r="A606" s="3" t="s">
        <v>995</v>
      </c>
      <c r="B606" s="2">
        <v>46286</v>
      </c>
      <c r="C606" s="3">
        <v>17</v>
      </c>
      <c r="D606" s="3" t="s">
        <v>881</v>
      </c>
      <c r="E606" s="3" t="s">
        <v>91</v>
      </c>
      <c r="F606" s="3" t="s">
        <v>109</v>
      </c>
      <c r="G606" s="3" t="s">
        <v>99</v>
      </c>
      <c r="H606" s="3" t="s">
        <v>104</v>
      </c>
      <c r="I606" s="3">
        <v>1</v>
      </c>
      <c r="J606" s="11">
        <v>240</v>
      </c>
      <c r="K606" s="4">
        <v>0.05</v>
      </c>
      <c r="L606" s="3" t="s">
        <v>95</v>
      </c>
      <c r="M606" s="3">
        <v>20</v>
      </c>
      <c r="N606" s="3">
        <v>11</v>
      </c>
      <c r="O606" s="3">
        <v>5</v>
      </c>
    </row>
    <row r="607" spans="1:15" ht="20" customHeight="1">
      <c r="A607" s="3" t="s">
        <v>996</v>
      </c>
      <c r="B607" s="2">
        <v>46286</v>
      </c>
      <c r="C607" s="3">
        <v>10</v>
      </c>
      <c r="D607" s="3" t="s">
        <v>252</v>
      </c>
      <c r="E607" s="3" t="s">
        <v>91</v>
      </c>
      <c r="F607" s="3" t="s">
        <v>98</v>
      </c>
      <c r="G607" s="3" t="s">
        <v>110</v>
      </c>
      <c r="H607" s="3" t="s">
        <v>114</v>
      </c>
      <c r="I607" s="3">
        <v>2</v>
      </c>
      <c r="J607" s="11">
        <v>145</v>
      </c>
      <c r="K607" s="4">
        <v>0</v>
      </c>
      <c r="L607" s="3" t="s">
        <v>95</v>
      </c>
      <c r="M607" s="3">
        <v>32</v>
      </c>
      <c r="N607" s="3">
        <v>11</v>
      </c>
      <c r="O607" s="3">
        <v>5</v>
      </c>
    </row>
    <row r="608" spans="1:15" ht="20" customHeight="1">
      <c r="A608" s="3" t="s">
        <v>997</v>
      </c>
      <c r="B608" s="2">
        <v>46286</v>
      </c>
      <c r="C608" s="3">
        <v>13</v>
      </c>
      <c r="D608" s="3" t="s">
        <v>992</v>
      </c>
      <c r="E608" s="3" t="s">
        <v>91</v>
      </c>
      <c r="F608" s="3" t="s">
        <v>139</v>
      </c>
      <c r="G608" s="3" t="s">
        <v>99</v>
      </c>
      <c r="H608" s="3" t="s">
        <v>104</v>
      </c>
      <c r="I608" s="3">
        <v>3</v>
      </c>
      <c r="J608" s="11">
        <v>240</v>
      </c>
      <c r="K608" s="4">
        <v>0</v>
      </c>
      <c r="L608" s="3" t="s">
        <v>95</v>
      </c>
      <c r="M608" s="3">
        <v>16</v>
      </c>
      <c r="N608" s="3">
        <v>14</v>
      </c>
      <c r="O608" s="3">
        <v>3</v>
      </c>
    </row>
    <row r="609" spans="1:15" ht="20" customHeight="1">
      <c r="A609" s="3" t="s">
        <v>998</v>
      </c>
      <c r="B609" s="2">
        <v>46286</v>
      </c>
      <c r="C609" s="3">
        <v>10</v>
      </c>
      <c r="D609" s="3" t="s">
        <v>219</v>
      </c>
      <c r="E609" s="3" t="s">
        <v>91</v>
      </c>
      <c r="F609" s="3" t="s">
        <v>121</v>
      </c>
      <c r="G609" s="3" t="s">
        <v>110</v>
      </c>
      <c r="H609" s="3" t="s">
        <v>111</v>
      </c>
      <c r="I609" s="3">
        <v>5</v>
      </c>
      <c r="J609" s="11">
        <v>115</v>
      </c>
      <c r="K609" s="4">
        <v>0</v>
      </c>
      <c r="L609" s="3" t="s">
        <v>95</v>
      </c>
      <c r="M609" s="3">
        <v>25</v>
      </c>
      <c r="N609" s="3">
        <v>14</v>
      </c>
      <c r="O609" s="3">
        <v>5</v>
      </c>
    </row>
    <row r="610" spans="1:15" ht="20" customHeight="1">
      <c r="A610" s="3" t="s">
        <v>999</v>
      </c>
      <c r="B610" s="2">
        <v>46286</v>
      </c>
      <c r="C610" s="3">
        <v>16</v>
      </c>
      <c r="D610" s="3" t="s">
        <v>803</v>
      </c>
      <c r="E610" s="3" t="s">
        <v>117</v>
      </c>
      <c r="F610" s="3" t="s">
        <v>92</v>
      </c>
      <c r="G610" s="3" t="s">
        <v>110</v>
      </c>
      <c r="H610" s="3" t="s">
        <v>206</v>
      </c>
      <c r="I610" s="3">
        <v>2</v>
      </c>
      <c r="J610" s="11">
        <v>220</v>
      </c>
      <c r="K610" s="4">
        <v>0.1</v>
      </c>
      <c r="L610" s="3" t="s">
        <v>95</v>
      </c>
      <c r="M610" s="3">
        <v>32</v>
      </c>
      <c r="N610" s="3">
        <v>15</v>
      </c>
      <c r="O610" s="3">
        <v>4</v>
      </c>
    </row>
    <row r="611" spans="1:15" ht="20" customHeight="1">
      <c r="A611" s="3" t="s">
        <v>1000</v>
      </c>
      <c r="B611" s="2">
        <v>46286</v>
      </c>
      <c r="C611" s="3">
        <v>6</v>
      </c>
      <c r="D611" s="3" t="s">
        <v>279</v>
      </c>
      <c r="E611" s="3" t="s">
        <v>91</v>
      </c>
      <c r="F611" s="3" t="s">
        <v>92</v>
      </c>
      <c r="G611" s="3" t="s">
        <v>99</v>
      </c>
      <c r="H611" s="3" t="s">
        <v>100</v>
      </c>
      <c r="I611" s="3">
        <v>2</v>
      </c>
      <c r="J611" s="11">
        <v>120</v>
      </c>
      <c r="K611" s="4">
        <v>0.15</v>
      </c>
      <c r="L611" s="3" t="s">
        <v>101</v>
      </c>
      <c r="M611" s="3"/>
      <c r="N611" s="3"/>
      <c r="O611" s="3"/>
    </row>
    <row r="612" spans="1:15" ht="20" customHeight="1">
      <c r="A612" s="3" t="s">
        <v>1001</v>
      </c>
      <c r="B612" s="2">
        <v>46286</v>
      </c>
      <c r="C612" s="3">
        <v>21</v>
      </c>
      <c r="D612" s="3" t="s">
        <v>367</v>
      </c>
      <c r="E612" s="3" t="s">
        <v>117</v>
      </c>
      <c r="F612" s="3" t="s">
        <v>92</v>
      </c>
      <c r="G612" s="3" t="s">
        <v>122</v>
      </c>
      <c r="H612" s="3" t="s">
        <v>123</v>
      </c>
      <c r="I612" s="3">
        <v>5</v>
      </c>
      <c r="J612" s="11">
        <v>45</v>
      </c>
      <c r="K612" s="4">
        <v>0</v>
      </c>
      <c r="L612" s="3" t="s">
        <v>95</v>
      </c>
      <c r="M612" s="3">
        <v>25</v>
      </c>
      <c r="N612" s="3">
        <v>13</v>
      </c>
      <c r="O612" s="3">
        <v>4</v>
      </c>
    </row>
    <row r="613" spans="1:15" ht="20" customHeight="1">
      <c r="A613" s="3" t="s">
        <v>1002</v>
      </c>
      <c r="B613" s="2">
        <v>46286</v>
      </c>
      <c r="C613" s="3">
        <v>16</v>
      </c>
      <c r="D613" s="3" t="s">
        <v>97</v>
      </c>
      <c r="E613" s="3" t="s">
        <v>91</v>
      </c>
      <c r="F613" s="3" t="s">
        <v>139</v>
      </c>
      <c r="G613" s="3" t="s">
        <v>93</v>
      </c>
      <c r="H613" s="3" t="s">
        <v>146</v>
      </c>
      <c r="I613" s="3">
        <v>6</v>
      </c>
      <c r="J613" s="11">
        <v>110</v>
      </c>
      <c r="K613" s="4">
        <v>0.05</v>
      </c>
      <c r="L613" s="3" t="s">
        <v>95</v>
      </c>
      <c r="M613" s="3">
        <v>18</v>
      </c>
      <c r="N613" s="3">
        <v>6</v>
      </c>
      <c r="O613" s="3">
        <v>4</v>
      </c>
    </row>
    <row r="614" spans="1:15" ht="20" customHeight="1">
      <c r="A614" s="3" t="s">
        <v>1003</v>
      </c>
      <c r="B614" s="2">
        <v>46286</v>
      </c>
      <c r="C614" s="3">
        <v>12</v>
      </c>
      <c r="D614" s="3" t="s">
        <v>369</v>
      </c>
      <c r="E614" s="3" t="s">
        <v>91</v>
      </c>
      <c r="F614" s="3" t="s">
        <v>139</v>
      </c>
      <c r="G614" s="3" t="s">
        <v>93</v>
      </c>
      <c r="H614" s="3" t="s">
        <v>146</v>
      </c>
      <c r="I614" s="3">
        <v>2</v>
      </c>
      <c r="J614" s="11">
        <v>110</v>
      </c>
      <c r="K614" s="4">
        <v>0</v>
      </c>
      <c r="L614" s="3" t="s">
        <v>95</v>
      </c>
      <c r="M614" s="3">
        <v>35</v>
      </c>
      <c r="N614" s="3">
        <v>15</v>
      </c>
      <c r="O614" s="3">
        <v>4</v>
      </c>
    </row>
    <row r="615" spans="1:15" ht="20" customHeight="1">
      <c r="A615" s="3" t="s">
        <v>1004</v>
      </c>
      <c r="B615" s="2">
        <v>46286</v>
      </c>
      <c r="C615" s="3">
        <v>18</v>
      </c>
      <c r="D615" s="3" t="s">
        <v>299</v>
      </c>
      <c r="E615" s="3" t="s">
        <v>91</v>
      </c>
      <c r="F615" s="3" t="s">
        <v>139</v>
      </c>
      <c r="G615" s="3" t="s">
        <v>93</v>
      </c>
      <c r="H615" s="3" t="s">
        <v>146</v>
      </c>
      <c r="I615" s="3">
        <v>2</v>
      </c>
      <c r="J615" s="11">
        <v>110</v>
      </c>
      <c r="K615" s="4">
        <v>0.05</v>
      </c>
      <c r="L615" s="3" t="s">
        <v>95</v>
      </c>
      <c r="M615" s="3">
        <v>33</v>
      </c>
      <c r="N615" s="3">
        <v>12</v>
      </c>
      <c r="O615" s="3">
        <v>4</v>
      </c>
    </row>
    <row r="616" spans="1:15" ht="20" customHeight="1">
      <c r="A616" s="3" t="s">
        <v>1005</v>
      </c>
      <c r="B616" s="2">
        <v>46286</v>
      </c>
      <c r="C616" s="3">
        <v>17</v>
      </c>
      <c r="D616" s="3" t="s">
        <v>626</v>
      </c>
      <c r="E616" s="3" t="s">
        <v>91</v>
      </c>
      <c r="F616" s="3" t="s">
        <v>109</v>
      </c>
      <c r="G616" s="3" t="s">
        <v>135</v>
      </c>
      <c r="H616" s="3" t="s">
        <v>136</v>
      </c>
      <c r="I616" s="3">
        <v>2</v>
      </c>
      <c r="J616" s="11">
        <v>40</v>
      </c>
      <c r="K616" s="4">
        <v>0.05</v>
      </c>
      <c r="L616" s="3" t="s">
        <v>95</v>
      </c>
      <c r="M616" s="3">
        <v>28</v>
      </c>
      <c r="N616" s="3">
        <v>14</v>
      </c>
      <c r="O616" s="3">
        <v>5</v>
      </c>
    </row>
    <row r="617" spans="1:15" ht="20" customHeight="1">
      <c r="A617" s="3" t="s">
        <v>1006</v>
      </c>
      <c r="B617" s="2">
        <v>46286</v>
      </c>
      <c r="C617" s="3">
        <v>9</v>
      </c>
      <c r="D617" s="3" t="s">
        <v>763</v>
      </c>
      <c r="E617" s="3" t="s">
        <v>91</v>
      </c>
      <c r="F617" s="3" t="s">
        <v>109</v>
      </c>
      <c r="G617" s="3" t="s">
        <v>110</v>
      </c>
      <c r="H617" s="3" t="s">
        <v>206</v>
      </c>
      <c r="I617" s="3">
        <v>4</v>
      </c>
      <c r="J617" s="11">
        <v>220</v>
      </c>
      <c r="K617" s="4">
        <v>0.05</v>
      </c>
      <c r="L617" s="3" t="s">
        <v>95</v>
      </c>
      <c r="M617" s="3">
        <v>35</v>
      </c>
      <c r="N617" s="3">
        <v>14</v>
      </c>
      <c r="O617" s="3">
        <v>5</v>
      </c>
    </row>
    <row r="618" spans="1:15" ht="20" customHeight="1">
      <c r="A618" s="3" t="s">
        <v>1007</v>
      </c>
      <c r="B618" s="2">
        <v>46286</v>
      </c>
      <c r="C618" s="3">
        <v>9</v>
      </c>
      <c r="D618" s="3" t="s">
        <v>432</v>
      </c>
      <c r="E618" s="3" t="s">
        <v>91</v>
      </c>
      <c r="F618" s="3" t="s">
        <v>121</v>
      </c>
      <c r="G618" s="3" t="s">
        <v>99</v>
      </c>
      <c r="H618" s="3" t="s">
        <v>100</v>
      </c>
      <c r="I618" s="3">
        <v>1</v>
      </c>
      <c r="J618" s="11">
        <v>120</v>
      </c>
      <c r="K618" s="4">
        <v>0.15</v>
      </c>
      <c r="L618" s="3" t="s">
        <v>95</v>
      </c>
      <c r="M618" s="3">
        <v>29</v>
      </c>
      <c r="N618" s="3">
        <v>5</v>
      </c>
      <c r="O618" s="3">
        <v>3</v>
      </c>
    </row>
    <row r="619" spans="1:15" ht="20" customHeight="1">
      <c r="A619" s="3" t="s">
        <v>1008</v>
      </c>
      <c r="B619" s="2">
        <v>46286</v>
      </c>
      <c r="C619" s="3">
        <v>12</v>
      </c>
      <c r="D619" s="3" t="s">
        <v>527</v>
      </c>
      <c r="E619" s="3" t="s">
        <v>91</v>
      </c>
      <c r="F619" s="3" t="s">
        <v>139</v>
      </c>
      <c r="G619" s="3" t="s">
        <v>99</v>
      </c>
      <c r="H619" s="3" t="s">
        <v>130</v>
      </c>
      <c r="I619" s="3">
        <v>3</v>
      </c>
      <c r="J619" s="11">
        <v>85</v>
      </c>
      <c r="K619" s="4">
        <v>0</v>
      </c>
      <c r="L619" s="3" t="s">
        <v>95</v>
      </c>
      <c r="M619" s="3">
        <v>17</v>
      </c>
      <c r="N619" s="3">
        <v>6</v>
      </c>
      <c r="O619" s="3">
        <v>4</v>
      </c>
    </row>
    <row r="620" spans="1:15" ht="20" customHeight="1">
      <c r="A620" s="3" t="s">
        <v>1009</v>
      </c>
      <c r="B620" s="2">
        <v>46286</v>
      </c>
      <c r="C620" s="3">
        <v>12</v>
      </c>
      <c r="D620" s="3" t="s">
        <v>881</v>
      </c>
      <c r="E620" s="3" t="s">
        <v>91</v>
      </c>
      <c r="F620" s="3" t="s">
        <v>109</v>
      </c>
      <c r="G620" s="3" t="s">
        <v>93</v>
      </c>
      <c r="H620" s="3" t="s">
        <v>146</v>
      </c>
      <c r="I620" s="3">
        <v>1</v>
      </c>
      <c r="J620" s="11">
        <v>110</v>
      </c>
      <c r="K620" s="4">
        <v>0</v>
      </c>
      <c r="L620" s="3" t="s">
        <v>95</v>
      </c>
      <c r="M620" s="3">
        <v>13</v>
      </c>
      <c r="N620" s="3">
        <v>14</v>
      </c>
      <c r="O620" s="3">
        <v>4</v>
      </c>
    </row>
    <row r="621" spans="1:15" ht="20" customHeight="1">
      <c r="A621" s="3" t="s">
        <v>1010</v>
      </c>
      <c r="B621" s="2">
        <v>46286</v>
      </c>
      <c r="C621" s="3">
        <v>20</v>
      </c>
      <c r="D621" s="3" t="s">
        <v>432</v>
      </c>
      <c r="E621" s="3" t="s">
        <v>91</v>
      </c>
      <c r="F621" s="3" t="s">
        <v>121</v>
      </c>
      <c r="G621" s="3" t="s">
        <v>122</v>
      </c>
      <c r="H621" s="3" t="s">
        <v>214</v>
      </c>
      <c r="I621" s="3">
        <v>3</v>
      </c>
      <c r="J621" s="11">
        <v>55</v>
      </c>
      <c r="K621" s="4">
        <v>0</v>
      </c>
      <c r="L621" s="3" t="s">
        <v>95</v>
      </c>
      <c r="M621" s="3">
        <v>29</v>
      </c>
      <c r="N621" s="3">
        <v>8</v>
      </c>
      <c r="O621" s="3">
        <v>4</v>
      </c>
    </row>
    <row r="622" spans="1:15" ht="20" customHeight="1">
      <c r="A622" s="3" t="s">
        <v>1011</v>
      </c>
      <c r="B622" s="2">
        <v>46286</v>
      </c>
      <c r="C622" s="3">
        <v>6</v>
      </c>
      <c r="D622" s="3" t="s">
        <v>120</v>
      </c>
      <c r="E622" s="3" t="s">
        <v>91</v>
      </c>
      <c r="F622" s="3" t="s">
        <v>121</v>
      </c>
      <c r="G622" s="3" t="s">
        <v>122</v>
      </c>
      <c r="H622" s="3" t="s">
        <v>153</v>
      </c>
      <c r="I622" s="3">
        <v>4</v>
      </c>
      <c r="J622" s="11">
        <v>130</v>
      </c>
      <c r="K622" s="4">
        <v>0</v>
      </c>
      <c r="L622" s="3" t="s">
        <v>95</v>
      </c>
      <c r="M622" s="3">
        <v>18</v>
      </c>
      <c r="N622" s="3">
        <v>8</v>
      </c>
      <c r="O622" s="3">
        <v>4</v>
      </c>
    </row>
    <row r="623" spans="1:15" ht="20" customHeight="1">
      <c r="A623" s="3" t="s">
        <v>1012</v>
      </c>
      <c r="B623" s="2">
        <v>46286</v>
      </c>
      <c r="C623" s="3">
        <v>18</v>
      </c>
      <c r="D623" s="3" t="s">
        <v>777</v>
      </c>
      <c r="E623" s="3" t="s">
        <v>91</v>
      </c>
      <c r="F623" s="3" t="s">
        <v>139</v>
      </c>
      <c r="G623" s="3" t="s">
        <v>99</v>
      </c>
      <c r="H623" s="3" t="s">
        <v>130</v>
      </c>
      <c r="I623" s="3">
        <v>1</v>
      </c>
      <c r="J623" s="11">
        <v>85</v>
      </c>
      <c r="K623" s="4">
        <v>0.1</v>
      </c>
      <c r="L623" s="3" t="s">
        <v>95</v>
      </c>
      <c r="M623" s="3">
        <v>26</v>
      </c>
      <c r="N623" s="3">
        <v>13</v>
      </c>
      <c r="O623" s="3">
        <v>4</v>
      </c>
    </row>
    <row r="624" spans="1:15" ht="20" customHeight="1">
      <c r="A624" s="3" t="s">
        <v>1013</v>
      </c>
      <c r="B624" s="2">
        <v>46286</v>
      </c>
      <c r="C624" s="3">
        <v>17</v>
      </c>
      <c r="D624" s="3" t="s">
        <v>677</v>
      </c>
      <c r="E624" s="3" t="s">
        <v>117</v>
      </c>
      <c r="F624" s="3" t="s">
        <v>92</v>
      </c>
      <c r="G624" s="3" t="s">
        <v>174</v>
      </c>
      <c r="H624" s="3" t="s">
        <v>184</v>
      </c>
      <c r="I624" s="3">
        <v>5</v>
      </c>
      <c r="J624" s="11">
        <v>62</v>
      </c>
      <c r="K624" s="4">
        <v>0.15</v>
      </c>
      <c r="L624" s="3" t="s">
        <v>95</v>
      </c>
      <c r="M624" s="3">
        <v>27</v>
      </c>
      <c r="N624" s="3">
        <v>13</v>
      </c>
      <c r="O624" s="3">
        <v>4</v>
      </c>
    </row>
    <row r="625" spans="1:15" ht="20" customHeight="1">
      <c r="A625" s="3" t="s">
        <v>1014</v>
      </c>
      <c r="B625" s="2">
        <v>46286</v>
      </c>
      <c r="C625" s="3">
        <v>19</v>
      </c>
      <c r="D625" s="3" t="s">
        <v>745</v>
      </c>
      <c r="E625" s="3" t="s">
        <v>117</v>
      </c>
      <c r="F625" s="3" t="s">
        <v>92</v>
      </c>
      <c r="G625" s="3" t="s">
        <v>93</v>
      </c>
      <c r="H625" s="3" t="s">
        <v>146</v>
      </c>
      <c r="I625" s="3">
        <v>5</v>
      </c>
      <c r="J625" s="11">
        <v>110</v>
      </c>
      <c r="K625" s="4">
        <v>0</v>
      </c>
      <c r="L625" s="3" t="s">
        <v>95</v>
      </c>
      <c r="M625" s="3">
        <v>33</v>
      </c>
      <c r="N625" s="3">
        <v>11</v>
      </c>
      <c r="O625" s="3">
        <v>5</v>
      </c>
    </row>
    <row r="626" spans="1:15" ht="20" customHeight="1">
      <c r="A626" s="3" t="s">
        <v>1015</v>
      </c>
      <c r="B626" s="2">
        <v>46286</v>
      </c>
      <c r="C626" s="3">
        <v>10</v>
      </c>
      <c r="D626" s="3" t="s">
        <v>353</v>
      </c>
      <c r="E626" s="3" t="s">
        <v>91</v>
      </c>
      <c r="F626" s="3" t="s">
        <v>139</v>
      </c>
      <c r="G626" s="3" t="s">
        <v>93</v>
      </c>
      <c r="H626" s="3" t="s">
        <v>94</v>
      </c>
      <c r="I626" s="3">
        <v>2</v>
      </c>
      <c r="J626" s="11">
        <v>95</v>
      </c>
      <c r="K626" s="4">
        <v>0</v>
      </c>
      <c r="L626" s="3" t="s">
        <v>95</v>
      </c>
      <c r="M626" s="3">
        <v>14</v>
      </c>
      <c r="N626" s="3">
        <v>10</v>
      </c>
      <c r="O626" s="3">
        <v>3</v>
      </c>
    </row>
    <row r="627" spans="1:15" ht="20" customHeight="1">
      <c r="A627" s="3" t="s">
        <v>1016</v>
      </c>
      <c r="B627" s="2">
        <v>46286</v>
      </c>
      <c r="C627" s="3">
        <v>12</v>
      </c>
      <c r="D627" s="3" t="s">
        <v>308</v>
      </c>
      <c r="E627" s="3" t="s">
        <v>91</v>
      </c>
      <c r="F627" s="3" t="s">
        <v>109</v>
      </c>
      <c r="G627" s="3" t="s">
        <v>99</v>
      </c>
      <c r="H627" s="3" t="s">
        <v>100</v>
      </c>
      <c r="I627" s="3">
        <v>5</v>
      </c>
      <c r="J627" s="11">
        <v>120</v>
      </c>
      <c r="K627" s="4">
        <v>0.15</v>
      </c>
      <c r="L627" s="3" t="s">
        <v>95</v>
      </c>
      <c r="M627" s="3">
        <v>14</v>
      </c>
      <c r="N627" s="3">
        <v>7</v>
      </c>
      <c r="O627" s="3">
        <v>5</v>
      </c>
    </row>
    <row r="628" spans="1:15" ht="20" customHeight="1">
      <c r="A628" s="3" t="s">
        <v>1017</v>
      </c>
      <c r="B628" s="2">
        <v>46286</v>
      </c>
      <c r="C628" s="3">
        <v>18</v>
      </c>
      <c r="D628" s="3" t="s">
        <v>279</v>
      </c>
      <c r="E628" s="3" t="s">
        <v>91</v>
      </c>
      <c r="F628" s="3" t="s">
        <v>98</v>
      </c>
      <c r="G628" s="3" t="s">
        <v>99</v>
      </c>
      <c r="H628" s="3" t="s">
        <v>100</v>
      </c>
      <c r="I628" s="3">
        <v>2</v>
      </c>
      <c r="J628" s="11">
        <v>120</v>
      </c>
      <c r="K628" s="4">
        <v>0.1</v>
      </c>
      <c r="L628" s="3" t="s">
        <v>95</v>
      </c>
      <c r="M628" s="3">
        <v>30</v>
      </c>
      <c r="N628" s="3">
        <v>14</v>
      </c>
      <c r="O628" s="3">
        <v>5</v>
      </c>
    </row>
    <row r="629" spans="1:15" ht="20" customHeight="1">
      <c r="A629" s="3" t="s">
        <v>1018</v>
      </c>
      <c r="B629" s="2">
        <v>46286</v>
      </c>
      <c r="C629" s="3">
        <v>17</v>
      </c>
      <c r="D629" s="3" t="s">
        <v>975</v>
      </c>
      <c r="E629" s="3" t="s">
        <v>117</v>
      </c>
      <c r="F629" s="3" t="s">
        <v>139</v>
      </c>
      <c r="G629" s="3" t="s">
        <v>135</v>
      </c>
      <c r="H629" s="3" t="s">
        <v>217</v>
      </c>
      <c r="I629" s="3">
        <v>6</v>
      </c>
      <c r="J629" s="11">
        <v>65</v>
      </c>
      <c r="K629" s="4">
        <v>0</v>
      </c>
      <c r="L629" s="3" t="s">
        <v>95</v>
      </c>
      <c r="M629" s="3">
        <v>15</v>
      </c>
      <c r="N629" s="3">
        <v>9</v>
      </c>
      <c r="O629" s="3">
        <v>4</v>
      </c>
    </row>
    <row r="630" spans="1:15" ht="20" customHeight="1">
      <c r="A630" s="3" t="s">
        <v>1019</v>
      </c>
      <c r="B630" s="2">
        <v>46286</v>
      </c>
      <c r="C630" s="3">
        <v>18</v>
      </c>
      <c r="D630" s="3" t="s">
        <v>388</v>
      </c>
      <c r="E630" s="3" t="s">
        <v>91</v>
      </c>
      <c r="F630" s="3" t="s">
        <v>109</v>
      </c>
      <c r="G630" s="3" t="s">
        <v>174</v>
      </c>
      <c r="H630" s="3" t="s">
        <v>175</v>
      </c>
      <c r="I630" s="3">
        <v>4</v>
      </c>
      <c r="J630" s="11">
        <v>155</v>
      </c>
      <c r="K630" s="4">
        <v>0</v>
      </c>
      <c r="L630" s="3" t="s">
        <v>95</v>
      </c>
      <c r="M630" s="3">
        <v>23</v>
      </c>
      <c r="N630" s="3">
        <v>10</v>
      </c>
      <c r="O630" s="3">
        <v>5</v>
      </c>
    </row>
    <row r="631" spans="1:15" ht="20" customHeight="1">
      <c r="A631" s="3" t="s">
        <v>1020</v>
      </c>
      <c r="B631" s="2">
        <v>46286</v>
      </c>
      <c r="C631" s="3">
        <v>17</v>
      </c>
      <c r="D631" s="3" t="s">
        <v>933</v>
      </c>
      <c r="E631" s="3" t="s">
        <v>117</v>
      </c>
      <c r="F631" s="3" t="s">
        <v>121</v>
      </c>
      <c r="G631" s="3" t="s">
        <v>174</v>
      </c>
      <c r="H631" s="3" t="s">
        <v>274</v>
      </c>
      <c r="I631" s="3">
        <v>5</v>
      </c>
      <c r="J631" s="11">
        <v>90</v>
      </c>
      <c r="K631" s="4">
        <v>0.1</v>
      </c>
      <c r="L631" s="3" t="s">
        <v>95</v>
      </c>
      <c r="M631" s="3">
        <v>30</v>
      </c>
      <c r="N631" s="3">
        <v>6</v>
      </c>
      <c r="O631" s="3">
        <v>4</v>
      </c>
    </row>
    <row r="632" spans="1:15" ht="20" customHeight="1">
      <c r="A632" s="3" t="s">
        <v>1021</v>
      </c>
      <c r="B632" s="2">
        <v>46287</v>
      </c>
      <c r="C632" s="3">
        <v>22</v>
      </c>
      <c r="D632" s="3" t="s">
        <v>244</v>
      </c>
      <c r="E632" s="3" t="s">
        <v>117</v>
      </c>
      <c r="F632" s="3" t="s">
        <v>1314</v>
      </c>
      <c r="G632" s="3" t="s">
        <v>93</v>
      </c>
      <c r="H632" s="3" t="s">
        <v>94</v>
      </c>
      <c r="I632" s="3">
        <v>6</v>
      </c>
      <c r="J632" s="11">
        <v>95</v>
      </c>
      <c r="K632" s="4">
        <v>0</v>
      </c>
      <c r="L632" s="3" t="s">
        <v>95</v>
      </c>
      <c r="M632" s="3">
        <v>35</v>
      </c>
      <c r="N632" s="3">
        <v>8</v>
      </c>
      <c r="O632" s="3">
        <v>5</v>
      </c>
    </row>
    <row r="633" spans="1:15" ht="20" customHeight="1">
      <c r="A633" s="3" t="s">
        <v>1022</v>
      </c>
      <c r="B633" s="2">
        <v>46287</v>
      </c>
      <c r="C633" s="3">
        <v>20</v>
      </c>
      <c r="D633" s="3" t="s">
        <v>150</v>
      </c>
      <c r="E633" s="3" t="s">
        <v>91</v>
      </c>
      <c r="F633" s="3" t="s">
        <v>92</v>
      </c>
      <c r="G633" s="3" t="s">
        <v>174</v>
      </c>
      <c r="H633" s="3" t="s">
        <v>184</v>
      </c>
      <c r="I633" s="3">
        <v>5</v>
      </c>
      <c r="J633" s="11">
        <v>62</v>
      </c>
      <c r="K633" s="4">
        <v>0.1</v>
      </c>
      <c r="L633" s="3" t="s">
        <v>101</v>
      </c>
      <c r="M633" s="3"/>
      <c r="N633" s="3"/>
      <c r="O633" s="3"/>
    </row>
    <row r="634" spans="1:15" ht="20" customHeight="1">
      <c r="A634" s="3" t="s">
        <v>1023</v>
      </c>
      <c r="B634" s="2">
        <v>46287</v>
      </c>
      <c r="C634" s="3">
        <v>11</v>
      </c>
      <c r="D634" s="3" t="s">
        <v>460</v>
      </c>
      <c r="E634" s="3" t="s">
        <v>117</v>
      </c>
      <c r="F634" s="3" t="s">
        <v>98</v>
      </c>
      <c r="G634" s="3" t="s">
        <v>99</v>
      </c>
      <c r="H634" s="3" t="s">
        <v>104</v>
      </c>
      <c r="I634" s="3">
        <v>2</v>
      </c>
      <c r="J634" s="11">
        <v>240</v>
      </c>
      <c r="K634" s="4">
        <v>0.15</v>
      </c>
      <c r="L634" s="3" t="s">
        <v>95</v>
      </c>
      <c r="M634" s="3">
        <v>18</v>
      </c>
      <c r="N634" s="3">
        <v>15</v>
      </c>
      <c r="O634" s="3">
        <v>5</v>
      </c>
    </row>
    <row r="635" spans="1:15" ht="20" customHeight="1">
      <c r="A635" s="3" t="s">
        <v>1024</v>
      </c>
      <c r="B635" s="2">
        <v>46287</v>
      </c>
      <c r="C635" s="3">
        <v>19</v>
      </c>
      <c r="D635" s="3" t="s">
        <v>301</v>
      </c>
      <c r="E635" s="3" t="s">
        <v>91</v>
      </c>
      <c r="F635" s="3" t="s">
        <v>121</v>
      </c>
      <c r="G635" s="3" t="s">
        <v>99</v>
      </c>
      <c r="H635" s="3" t="s">
        <v>100</v>
      </c>
      <c r="I635" s="3">
        <v>5</v>
      </c>
      <c r="J635" s="11">
        <v>120</v>
      </c>
      <c r="K635" s="4">
        <v>0.05</v>
      </c>
      <c r="L635" s="3" t="s">
        <v>95</v>
      </c>
      <c r="M635" s="3">
        <v>27</v>
      </c>
      <c r="N635" s="3">
        <v>8</v>
      </c>
      <c r="O635" s="3">
        <v>4</v>
      </c>
    </row>
    <row r="636" spans="1:15" ht="20" customHeight="1">
      <c r="A636" s="3" t="s">
        <v>1025</v>
      </c>
      <c r="B636" s="2">
        <v>46287</v>
      </c>
      <c r="C636" s="3">
        <v>10</v>
      </c>
      <c r="D636" s="3" t="s">
        <v>1026</v>
      </c>
      <c r="E636" s="3" t="s">
        <v>91</v>
      </c>
      <c r="F636" s="3" t="s">
        <v>121</v>
      </c>
      <c r="G636" s="3" t="s">
        <v>135</v>
      </c>
      <c r="H636" s="3" t="s">
        <v>217</v>
      </c>
      <c r="I636" s="3">
        <v>5</v>
      </c>
      <c r="J636" s="11">
        <v>65</v>
      </c>
      <c r="K636" s="4">
        <v>0.1</v>
      </c>
      <c r="L636" s="3" t="s">
        <v>95</v>
      </c>
      <c r="M636" s="3">
        <v>30</v>
      </c>
      <c r="N636" s="3">
        <v>10</v>
      </c>
      <c r="O636" s="3">
        <v>3</v>
      </c>
    </row>
    <row r="637" spans="1:15" ht="20" customHeight="1">
      <c r="A637" s="3" t="s">
        <v>1027</v>
      </c>
      <c r="B637" s="2">
        <v>46287</v>
      </c>
      <c r="C637" s="3">
        <v>13</v>
      </c>
      <c r="D637" s="3" t="s">
        <v>1028</v>
      </c>
      <c r="E637" s="3" t="s">
        <v>91</v>
      </c>
      <c r="F637" s="3" t="s">
        <v>139</v>
      </c>
      <c r="G637" s="3" t="s">
        <v>135</v>
      </c>
      <c r="H637" s="3" t="s">
        <v>217</v>
      </c>
      <c r="I637" s="3">
        <v>2</v>
      </c>
      <c r="J637" s="11">
        <v>65</v>
      </c>
      <c r="K637" s="4">
        <v>0</v>
      </c>
      <c r="L637" s="3" t="s">
        <v>95</v>
      </c>
      <c r="M637" s="3">
        <v>30</v>
      </c>
      <c r="N637" s="3">
        <v>12</v>
      </c>
      <c r="O637" s="3">
        <v>4</v>
      </c>
    </row>
    <row r="638" spans="1:15" ht="20" customHeight="1">
      <c r="A638" s="3" t="s">
        <v>1029</v>
      </c>
      <c r="B638" s="2">
        <v>46287</v>
      </c>
      <c r="C638" s="3">
        <v>19</v>
      </c>
      <c r="D638" s="3" t="s">
        <v>788</v>
      </c>
      <c r="E638" s="3" t="s">
        <v>91</v>
      </c>
      <c r="F638" s="3" t="s">
        <v>109</v>
      </c>
      <c r="G638" s="3" t="s">
        <v>93</v>
      </c>
      <c r="H638" s="3" t="s">
        <v>146</v>
      </c>
      <c r="I638" s="3">
        <v>2</v>
      </c>
      <c r="J638" s="11">
        <v>110</v>
      </c>
      <c r="K638" s="4">
        <v>0.1</v>
      </c>
      <c r="L638" s="3" t="s">
        <v>95</v>
      </c>
      <c r="M638" s="3">
        <v>18</v>
      </c>
      <c r="N638" s="3">
        <v>6</v>
      </c>
      <c r="O638" s="3">
        <v>4</v>
      </c>
    </row>
    <row r="639" spans="1:15" ht="20" customHeight="1">
      <c r="A639" s="3" t="s">
        <v>1030</v>
      </c>
      <c r="B639" s="2">
        <v>46287</v>
      </c>
      <c r="C639" s="3">
        <v>13</v>
      </c>
      <c r="D639" s="3" t="s">
        <v>255</v>
      </c>
      <c r="E639" s="3" t="s">
        <v>91</v>
      </c>
      <c r="F639" s="3" t="s">
        <v>109</v>
      </c>
      <c r="G639" s="3" t="s">
        <v>122</v>
      </c>
      <c r="H639" s="3" t="s">
        <v>214</v>
      </c>
      <c r="I639" s="3">
        <v>4</v>
      </c>
      <c r="J639" s="11">
        <v>55</v>
      </c>
      <c r="K639" s="4">
        <v>0.15</v>
      </c>
      <c r="L639" s="3" t="s">
        <v>95</v>
      </c>
      <c r="M639" s="3">
        <v>31</v>
      </c>
      <c r="N639" s="3">
        <v>11</v>
      </c>
      <c r="O639" s="3">
        <v>5</v>
      </c>
    </row>
    <row r="640" spans="1:15" ht="20" customHeight="1">
      <c r="A640" s="3" t="s">
        <v>1031</v>
      </c>
      <c r="B640" s="2">
        <v>46287</v>
      </c>
      <c r="C640" s="3">
        <v>21</v>
      </c>
      <c r="D640" s="3" t="s">
        <v>975</v>
      </c>
      <c r="E640" s="3" t="s">
        <v>117</v>
      </c>
      <c r="F640" s="3" t="s">
        <v>109</v>
      </c>
      <c r="G640" s="3" t="s">
        <v>93</v>
      </c>
      <c r="H640" s="3" t="s">
        <v>146</v>
      </c>
      <c r="I640" s="3">
        <v>2</v>
      </c>
      <c r="J640" s="11">
        <v>110</v>
      </c>
      <c r="K640" s="4">
        <v>0</v>
      </c>
      <c r="L640" s="3" t="s">
        <v>95</v>
      </c>
      <c r="M640" s="3">
        <v>20</v>
      </c>
      <c r="N640" s="3">
        <v>7</v>
      </c>
      <c r="O640" s="3">
        <v>4</v>
      </c>
    </row>
    <row r="641" spans="1:15" ht="20" customHeight="1">
      <c r="A641" s="3" t="s">
        <v>1032</v>
      </c>
      <c r="B641" s="2">
        <v>46287</v>
      </c>
      <c r="C641" s="3">
        <v>15</v>
      </c>
      <c r="D641" s="3" t="s">
        <v>930</v>
      </c>
      <c r="E641" s="3" t="s">
        <v>117</v>
      </c>
      <c r="F641" s="3" t="s">
        <v>98</v>
      </c>
      <c r="G641" s="3" t="s">
        <v>174</v>
      </c>
      <c r="H641" s="3" t="s">
        <v>184</v>
      </c>
      <c r="I641" s="3">
        <v>4</v>
      </c>
      <c r="J641" s="11">
        <v>62</v>
      </c>
      <c r="K641" s="4">
        <v>0.15</v>
      </c>
      <c r="L641" s="3" t="s">
        <v>95</v>
      </c>
      <c r="M641" s="3">
        <v>22</v>
      </c>
      <c r="N641" s="3">
        <v>10</v>
      </c>
      <c r="O641" s="3">
        <v>5</v>
      </c>
    </row>
    <row r="642" spans="1:15" ht="20" customHeight="1">
      <c r="A642" s="3" t="s">
        <v>1033</v>
      </c>
      <c r="B642" s="2">
        <v>46287</v>
      </c>
      <c r="C642" s="3">
        <v>15</v>
      </c>
      <c r="D642" s="3" t="s">
        <v>291</v>
      </c>
      <c r="E642" s="3" t="s">
        <v>91</v>
      </c>
      <c r="F642" s="3" t="s">
        <v>109</v>
      </c>
      <c r="G642" s="3" t="s">
        <v>110</v>
      </c>
      <c r="H642" s="3" t="s">
        <v>114</v>
      </c>
      <c r="I642" s="3">
        <v>5</v>
      </c>
      <c r="J642" s="11">
        <v>145</v>
      </c>
      <c r="K642" s="4">
        <v>0</v>
      </c>
      <c r="L642" s="3" t="s">
        <v>95</v>
      </c>
      <c r="M642" s="3">
        <v>35</v>
      </c>
      <c r="N642" s="3">
        <v>12</v>
      </c>
      <c r="O642" s="3">
        <v>4</v>
      </c>
    </row>
    <row r="643" spans="1:15" ht="20" customHeight="1">
      <c r="A643" s="3" t="s">
        <v>1034</v>
      </c>
      <c r="B643" s="2">
        <v>46287</v>
      </c>
      <c r="C643" s="3">
        <v>9</v>
      </c>
      <c r="D643" s="3" t="s">
        <v>291</v>
      </c>
      <c r="E643" s="3" t="s">
        <v>91</v>
      </c>
      <c r="F643" s="3" t="s">
        <v>139</v>
      </c>
      <c r="G643" s="3" t="s">
        <v>110</v>
      </c>
      <c r="H643" s="3" t="s">
        <v>111</v>
      </c>
      <c r="I643" s="3">
        <v>2</v>
      </c>
      <c r="J643" s="11">
        <v>115</v>
      </c>
      <c r="K643" s="4">
        <v>0</v>
      </c>
      <c r="L643" s="3" t="s">
        <v>95</v>
      </c>
      <c r="M643" s="3">
        <v>30</v>
      </c>
      <c r="N643" s="3">
        <v>14</v>
      </c>
      <c r="O643" s="3">
        <v>5</v>
      </c>
    </row>
    <row r="644" spans="1:15" ht="20" customHeight="1">
      <c r="A644" s="3" t="s">
        <v>1035</v>
      </c>
      <c r="B644" s="2">
        <v>46287</v>
      </c>
      <c r="C644" s="3">
        <v>13</v>
      </c>
      <c r="D644" s="3" t="s">
        <v>933</v>
      </c>
      <c r="E644" s="3" t="s">
        <v>117</v>
      </c>
      <c r="F644" s="3" t="s">
        <v>121</v>
      </c>
      <c r="G644" s="3" t="s">
        <v>122</v>
      </c>
      <c r="H644" s="3" t="s">
        <v>214</v>
      </c>
      <c r="I644" s="3">
        <v>3</v>
      </c>
      <c r="J644" s="11">
        <v>55</v>
      </c>
      <c r="K644" s="4">
        <v>0</v>
      </c>
      <c r="L644" s="3" t="s">
        <v>101</v>
      </c>
      <c r="M644" s="3"/>
      <c r="N644" s="3"/>
      <c r="O644" s="3"/>
    </row>
    <row r="645" spans="1:15" ht="20" customHeight="1">
      <c r="A645" s="3" t="s">
        <v>1036</v>
      </c>
      <c r="B645" s="2">
        <v>46287</v>
      </c>
      <c r="C645" s="3">
        <v>19</v>
      </c>
      <c r="D645" s="3" t="s">
        <v>825</v>
      </c>
      <c r="E645" s="3" t="s">
        <v>117</v>
      </c>
      <c r="F645" s="3" t="s">
        <v>121</v>
      </c>
      <c r="G645" s="3" t="s">
        <v>93</v>
      </c>
      <c r="H645" s="3" t="s">
        <v>94</v>
      </c>
      <c r="I645" s="3">
        <v>5</v>
      </c>
      <c r="J645" s="11">
        <v>95</v>
      </c>
      <c r="K645" s="4">
        <v>0</v>
      </c>
      <c r="L645" s="3" t="s">
        <v>95</v>
      </c>
      <c r="M645" s="3">
        <v>17</v>
      </c>
      <c r="N645" s="3">
        <v>12</v>
      </c>
      <c r="O645" s="3">
        <v>4</v>
      </c>
    </row>
    <row r="646" spans="1:15" ht="20" customHeight="1">
      <c r="A646" s="3" t="s">
        <v>1037</v>
      </c>
      <c r="B646" s="2">
        <v>46287</v>
      </c>
      <c r="C646" s="3">
        <v>19</v>
      </c>
      <c r="D646" s="3" t="s">
        <v>337</v>
      </c>
      <c r="E646" s="3" t="s">
        <v>117</v>
      </c>
      <c r="F646" s="3" t="s">
        <v>139</v>
      </c>
      <c r="G646" s="3" t="s">
        <v>122</v>
      </c>
      <c r="H646" s="3" t="s">
        <v>153</v>
      </c>
      <c r="I646" s="3">
        <v>4</v>
      </c>
      <c r="J646" s="11">
        <v>130</v>
      </c>
      <c r="K646" s="4">
        <v>0.1</v>
      </c>
      <c r="L646" s="3" t="s">
        <v>95</v>
      </c>
      <c r="M646" s="3">
        <v>25</v>
      </c>
      <c r="N646" s="3">
        <v>11</v>
      </c>
      <c r="O646" s="3">
        <v>4</v>
      </c>
    </row>
    <row r="647" spans="1:15" ht="20" customHeight="1">
      <c r="A647" s="3" t="s">
        <v>1038</v>
      </c>
      <c r="B647" s="2">
        <v>46287</v>
      </c>
      <c r="C647" s="3">
        <v>11</v>
      </c>
      <c r="D647" s="3" t="s">
        <v>1039</v>
      </c>
      <c r="E647" s="3" t="s">
        <v>91</v>
      </c>
      <c r="F647" s="3" t="s">
        <v>109</v>
      </c>
      <c r="G647" s="3" t="s">
        <v>110</v>
      </c>
      <c r="H647" s="3" t="s">
        <v>114</v>
      </c>
      <c r="I647" s="3">
        <v>6</v>
      </c>
      <c r="J647" s="11">
        <v>145</v>
      </c>
      <c r="K647" s="4">
        <v>0</v>
      </c>
      <c r="L647" s="3" t="s">
        <v>95</v>
      </c>
      <c r="M647" s="3">
        <v>15</v>
      </c>
      <c r="N647" s="3">
        <v>7</v>
      </c>
      <c r="O647" s="3">
        <v>4</v>
      </c>
    </row>
    <row r="648" spans="1:15" ht="20" customHeight="1">
      <c r="A648" s="3" t="s">
        <v>1040</v>
      </c>
      <c r="B648" s="2">
        <v>46287</v>
      </c>
      <c r="C648" s="3">
        <v>16</v>
      </c>
      <c r="D648" s="3" t="s">
        <v>454</v>
      </c>
      <c r="E648" s="3" t="s">
        <v>91</v>
      </c>
      <c r="F648" s="3" t="s">
        <v>92</v>
      </c>
      <c r="G648" s="3" t="s">
        <v>99</v>
      </c>
      <c r="H648" s="3" t="s">
        <v>100</v>
      </c>
      <c r="I648" s="3">
        <v>1</v>
      </c>
      <c r="J648" s="11">
        <v>120</v>
      </c>
      <c r="K648" s="4">
        <v>0.05</v>
      </c>
      <c r="L648" s="3" t="s">
        <v>95</v>
      </c>
      <c r="M648" s="3">
        <v>22</v>
      </c>
      <c r="N648" s="3">
        <v>8</v>
      </c>
      <c r="O648" s="3">
        <v>3</v>
      </c>
    </row>
    <row r="649" spans="1:15" ht="20" customHeight="1">
      <c r="A649" s="3" t="s">
        <v>1041</v>
      </c>
      <c r="B649" s="2">
        <v>46287</v>
      </c>
      <c r="C649" s="3">
        <v>10</v>
      </c>
      <c r="D649" s="3" t="s">
        <v>579</v>
      </c>
      <c r="E649" s="3" t="s">
        <v>117</v>
      </c>
      <c r="F649" s="3" t="s">
        <v>109</v>
      </c>
      <c r="G649" s="3" t="s">
        <v>174</v>
      </c>
      <c r="H649" s="3" t="s">
        <v>274</v>
      </c>
      <c r="I649" s="3">
        <v>1</v>
      </c>
      <c r="J649" s="11">
        <v>90</v>
      </c>
      <c r="K649" s="4">
        <v>0</v>
      </c>
      <c r="L649" s="3" t="s">
        <v>95</v>
      </c>
      <c r="M649" s="3">
        <v>27</v>
      </c>
      <c r="N649" s="3">
        <v>12</v>
      </c>
      <c r="O649" s="3">
        <v>4</v>
      </c>
    </row>
    <row r="650" spans="1:15" ht="20" customHeight="1">
      <c r="A650" s="3" t="s">
        <v>1042</v>
      </c>
      <c r="B650" s="2">
        <v>46287</v>
      </c>
      <c r="C650" s="3">
        <v>19</v>
      </c>
      <c r="D650" s="3" t="s">
        <v>188</v>
      </c>
      <c r="E650" s="3" t="s">
        <v>117</v>
      </c>
      <c r="F650" s="3" t="s">
        <v>92</v>
      </c>
      <c r="G650" s="3" t="s">
        <v>122</v>
      </c>
      <c r="H650" s="3" t="s">
        <v>214</v>
      </c>
      <c r="I650" s="3">
        <v>3</v>
      </c>
      <c r="J650" s="11">
        <v>55</v>
      </c>
      <c r="K650" s="4">
        <v>0</v>
      </c>
      <c r="L650" s="3" t="s">
        <v>95</v>
      </c>
      <c r="M650" s="3">
        <v>27</v>
      </c>
      <c r="N650" s="3">
        <v>7</v>
      </c>
      <c r="O650" s="3">
        <v>4</v>
      </c>
    </row>
    <row r="651" spans="1:15" ht="20" customHeight="1">
      <c r="A651" s="3" t="s">
        <v>1043</v>
      </c>
      <c r="B651" s="2">
        <v>46287</v>
      </c>
      <c r="C651" s="3">
        <v>23</v>
      </c>
      <c r="D651" s="3" t="s">
        <v>97</v>
      </c>
      <c r="E651" s="3" t="s">
        <v>91</v>
      </c>
      <c r="F651" s="3" t="s">
        <v>109</v>
      </c>
      <c r="G651" s="3" t="s">
        <v>122</v>
      </c>
      <c r="H651" s="3" t="s">
        <v>123</v>
      </c>
      <c r="I651" s="3">
        <v>3</v>
      </c>
      <c r="J651" s="11">
        <v>45</v>
      </c>
      <c r="K651" s="4">
        <v>0.15</v>
      </c>
      <c r="L651" s="3" t="s">
        <v>95</v>
      </c>
      <c r="M651" s="3">
        <v>36</v>
      </c>
      <c r="N651" s="3">
        <v>15</v>
      </c>
      <c r="O651" s="3">
        <v>4</v>
      </c>
    </row>
    <row r="652" spans="1:15" ht="20" customHeight="1">
      <c r="A652" s="3" t="s">
        <v>1044</v>
      </c>
      <c r="B652" s="2">
        <v>46287</v>
      </c>
      <c r="C652" s="3">
        <v>17</v>
      </c>
      <c r="D652" s="3" t="s">
        <v>219</v>
      </c>
      <c r="E652" s="3" t="s">
        <v>91</v>
      </c>
      <c r="F652" s="3" t="s">
        <v>121</v>
      </c>
      <c r="G652" s="3" t="s">
        <v>110</v>
      </c>
      <c r="H652" s="3" t="s">
        <v>206</v>
      </c>
      <c r="I652" s="3">
        <v>4</v>
      </c>
      <c r="J652" s="11">
        <v>220</v>
      </c>
      <c r="K652" s="4">
        <v>0.15</v>
      </c>
      <c r="L652" s="3" t="s">
        <v>95</v>
      </c>
      <c r="M652" s="3">
        <v>36</v>
      </c>
      <c r="N652" s="3">
        <v>12</v>
      </c>
      <c r="O652" s="3">
        <v>3</v>
      </c>
    </row>
    <row r="653" spans="1:15" ht="20" customHeight="1">
      <c r="A653" s="3" t="s">
        <v>1045</v>
      </c>
      <c r="B653" s="2">
        <v>46287</v>
      </c>
      <c r="C653" s="3">
        <v>8</v>
      </c>
      <c r="D653" s="3" t="s">
        <v>361</v>
      </c>
      <c r="E653" s="3" t="s">
        <v>91</v>
      </c>
      <c r="F653" s="3" t="s">
        <v>109</v>
      </c>
      <c r="G653" s="3" t="s">
        <v>174</v>
      </c>
      <c r="H653" s="3" t="s">
        <v>274</v>
      </c>
      <c r="I653" s="3">
        <v>1</v>
      </c>
      <c r="J653" s="11">
        <v>90</v>
      </c>
      <c r="K653" s="4">
        <v>0</v>
      </c>
      <c r="L653" s="3" t="s">
        <v>95</v>
      </c>
      <c r="M653" s="3">
        <v>30</v>
      </c>
      <c r="N653" s="3">
        <v>6</v>
      </c>
      <c r="O653" s="3">
        <v>5</v>
      </c>
    </row>
    <row r="654" spans="1:15" ht="20" customHeight="1">
      <c r="A654" s="3" t="s">
        <v>1046</v>
      </c>
      <c r="B654" s="2">
        <v>46287</v>
      </c>
      <c r="C654" s="3">
        <v>17</v>
      </c>
      <c r="D654" s="3" t="s">
        <v>359</v>
      </c>
      <c r="E654" s="3" t="s">
        <v>91</v>
      </c>
      <c r="F654" s="3" t="s">
        <v>92</v>
      </c>
      <c r="G654" s="3" t="s">
        <v>135</v>
      </c>
      <c r="H654" s="3" t="s">
        <v>136</v>
      </c>
      <c r="I654" s="3">
        <v>4</v>
      </c>
      <c r="J654" s="11">
        <v>40</v>
      </c>
      <c r="K654" s="4">
        <v>0</v>
      </c>
      <c r="L654" s="3" t="s">
        <v>101</v>
      </c>
      <c r="M654" s="3"/>
      <c r="N654" s="3"/>
      <c r="O654" s="3"/>
    </row>
    <row r="655" spans="1:15" ht="20" customHeight="1">
      <c r="A655" s="3" t="s">
        <v>1047</v>
      </c>
      <c r="B655" s="2">
        <v>46287</v>
      </c>
      <c r="C655" s="3">
        <v>19</v>
      </c>
      <c r="D655" s="3" t="s">
        <v>1048</v>
      </c>
      <c r="E655" s="3" t="s">
        <v>91</v>
      </c>
      <c r="F655" s="3" t="s">
        <v>121</v>
      </c>
      <c r="G655" s="3" t="s">
        <v>99</v>
      </c>
      <c r="H655" s="3" t="s">
        <v>100</v>
      </c>
      <c r="I655" s="3">
        <v>4</v>
      </c>
      <c r="J655" s="11">
        <v>120</v>
      </c>
      <c r="K655" s="4">
        <v>0</v>
      </c>
      <c r="L655" s="3" t="s">
        <v>95</v>
      </c>
      <c r="M655" s="3">
        <v>23</v>
      </c>
      <c r="N655" s="3">
        <v>6</v>
      </c>
      <c r="O655" s="3">
        <v>4</v>
      </c>
    </row>
    <row r="656" spans="1:15" ht="20" customHeight="1">
      <c r="A656" s="3" t="s">
        <v>1049</v>
      </c>
      <c r="B656" s="2">
        <v>46287</v>
      </c>
      <c r="C656" s="3">
        <v>14</v>
      </c>
      <c r="D656" s="3" t="s">
        <v>417</v>
      </c>
      <c r="E656" s="3" t="s">
        <v>91</v>
      </c>
      <c r="F656" s="3" t="s">
        <v>92</v>
      </c>
      <c r="G656" s="3" t="s">
        <v>174</v>
      </c>
      <c r="H656" s="3" t="s">
        <v>175</v>
      </c>
      <c r="I656" s="3">
        <v>5</v>
      </c>
      <c r="J656" s="11">
        <v>155</v>
      </c>
      <c r="K656" s="4">
        <v>0.05</v>
      </c>
      <c r="L656" s="3" t="s">
        <v>95</v>
      </c>
      <c r="M656" s="3">
        <v>14</v>
      </c>
      <c r="N656" s="3">
        <v>14</v>
      </c>
      <c r="O656" s="3">
        <v>4</v>
      </c>
    </row>
    <row r="657" spans="1:15" ht="20" customHeight="1">
      <c r="A657" s="3" t="s">
        <v>1050</v>
      </c>
      <c r="B657" s="2">
        <v>46287</v>
      </c>
      <c r="C657" s="3">
        <v>13</v>
      </c>
      <c r="D657" s="3" t="s">
        <v>267</v>
      </c>
      <c r="E657" s="3" t="s">
        <v>91</v>
      </c>
      <c r="F657" s="3" t="s">
        <v>109</v>
      </c>
      <c r="G657" s="3" t="s">
        <v>99</v>
      </c>
      <c r="H657" s="3" t="s">
        <v>130</v>
      </c>
      <c r="I657" s="3">
        <v>3</v>
      </c>
      <c r="J657" s="11">
        <v>85</v>
      </c>
      <c r="K657" s="4">
        <v>0</v>
      </c>
      <c r="L657" s="3" t="s">
        <v>95</v>
      </c>
      <c r="M657" s="3">
        <v>32</v>
      </c>
      <c r="N657" s="3">
        <v>5</v>
      </c>
      <c r="O657" s="3">
        <v>4</v>
      </c>
    </row>
    <row r="658" spans="1:15" ht="20" customHeight="1">
      <c r="A658" s="3" t="s">
        <v>1051</v>
      </c>
      <c r="B658" s="2">
        <v>46287</v>
      </c>
      <c r="C658" s="3">
        <v>17</v>
      </c>
      <c r="D658" s="3" t="s">
        <v>474</v>
      </c>
      <c r="E658" s="3" t="s">
        <v>91</v>
      </c>
      <c r="F658" s="3" t="s">
        <v>92</v>
      </c>
      <c r="G658" s="3" t="s">
        <v>110</v>
      </c>
      <c r="H658" s="3" t="s">
        <v>111</v>
      </c>
      <c r="I658" s="3">
        <v>2</v>
      </c>
      <c r="J658" s="11">
        <v>115</v>
      </c>
      <c r="K658" s="4">
        <v>0.05</v>
      </c>
      <c r="L658" s="3" t="s">
        <v>95</v>
      </c>
      <c r="M658" s="3">
        <v>35</v>
      </c>
      <c r="N658" s="3">
        <v>14</v>
      </c>
      <c r="O658" s="3">
        <v>5</v>
      </c>
    </row>
    <row r="659" spans="1:15" ht="20" customHeight="1">
      <c r="A659" s="3" t="s">
        <v>1052</v>
      </c>
      <c r="B659" s="2">
        <v>46287</v>
      </c>
      <c r="C659" s="3">
        <v>19</v>
      </c>
      <c r="D659" s="3" t="s">
        <v>489</v>
      </c>
      <c r="E659" s="3" t="s">
        <v>117</v>
      </c>
      <c r="F659" s="3" t="s">
        <v>139</v>
      </c>
      <c r="G659" s="3" t="s">
        <v>135</v>
      </c>
      <c r="H659" s="3" t="s">
        <v>136</v>
      </c>
      <c r="I659" s="3">
        <v>4</v>
      </c>
      <c r="J659" s="11">
        <v>40</v>
      </c>
      <c r="K659" s="4">
        <v>0</v>
      </c>
      <c r="L659" s="3" t="s">
        <v>95</v>
      </c>
      <c r="M659" s="3">
        <v>36</v>
      </c>
      <c r="N659" s="3">
        <v>13</v>
      </c>
      <c r="O659" s="3">
        <v>3</v>
      </c>
    </row>
    <row r="660" spans="1:15" ht="20" customHeight="1">
      <c r="A660" s="3" t="s">
        <v>1053</v>
      </c>
      <c r="B660" s="2">
        <v>46287</v>
      </c>
      <c r="C660" s="3">
        <v>8</v>
      </c>
      <c r="D660" s="3" t="s">
        <v>930</v>
      </c>
      <c r="E660" s="3" t="s">
        <v>117</v>
      </c>
      <c r="F660" s="3" t="s">
        <v>139</v>
      </c>
      <c r="G660" s="3" t="s">
        <v>93</v>
      </c>
      <c r="H660" s="3" t="s">
        <v>94</v>
      </c>
      <c r="I660" s="3">
        <v>1</v>
      </c>
      <c r="J660" s="11">
        <v>95</v>
      </c>
      <c r="K660" s="4">
        <v>0</v>
      </c>
      <c r="L660" s="3" t="s">
        <v>95</v>
      </c>
      <c r="M660" s="3">
        <v>33</v>
      </c>
      <c r="N660" s="3">
        <v>6</v>
      </c>
      <c r="O660" s="3">
        <v>4</v>
      </c>
    </row>
    <row r="661" spans="1:15" ht="20" customHeight="1">
      <c r="A661" s="3" t="s">
        <v>1054</v>
      </c>
      <c r="B661" s="2">
        <v>46287</v>
      </c>
      <c r="C661" s="3">
        <v>16</v>
      </c>
      <c r="D661" s="3" t="s">
        <v>1048</v>
      </c>
      <c r="E661" s="3" t="s">
        <v>91</v>
      </c>
      <c r="F661" s="3" t="s">
        <v>121</v>
      </c>
      <c r="G661" s="3" t="s">
        <v>110</v>
      </c>
      <c r="H661" s="3" t="s">
        <v>206</v>
      </c>
      <c r="I661" s="3">
        <v>2</v>
      </c>
      <c r="J661" s="11">
        <v>220</v>
      </c>
      <c r="K661" s="4">
        <v>0</v>
      </c>
      <c r="L661" s="3" t="s">
        <v>95</v>
      </c>
      <c r="M661" s="3">
        <v>22</v>
      </c>
      <c r="N661" s="3">
        <v>9</v>
      </c>
      <c r="O661" s="3">
        <v>5</v>
      </c>
    </row>
    <row r="662" spans="1:15" ht="20" customHeight="1">
      <c r="A662" s="3" t="s">
        <v>1055</v>
      </c>
      <c r="B662" s="2">
        <v>46288</v>
      </c>
      <c r="C662" s="3">
        <v>19</v>
      </c>
      <c r="D662" s="3" t="s">
        <v>513</v>
      </c>
      <c r="E662" s="3" t="s">
        <v>117</v>
      </c>
      <c r="F662" s="3" t="s">
        <v>121</v>
      </c>
      <c r="G662" s="3" t="s">
        <v>99</v>
      </c>
      <c r="H662" s="3" t="s">
        <v>104</v>
      </c>
      <c r="I662" s="3">
        <v>5</v>
      </c>
      <c r="J662" s="11">
        <v>240</v>
      </c>
      <c r="K662" s="4">
        <v>0</v>
      </c>
      <c r="L662" s="3" t="s">
        <v>1311</v>
      </c>
      <c r="M662" s="3">
        <v>18</v>
      </c>
      <c r="N662" s="3">
        <v>9</v>
      </c>
      <c r="O662" s="3">
        <v>4</v>
      </c>
    </row>
    <row r="663" spans="1:15" ht="20" customHeight="1">
      <c r="A663" s="3" t="s">
        <v>1056</v>
      </c>
      <c r="B663" s="2">
        <v>46288</v>
      </c>
      <c r="C663" s="3">
        <v>9</v>
      </c>
      <c r="D663" s="3" t="s">
        <v>499</v>
      </c>
      <c r="E663" s="3" t="s">
        <v>91</v>
      </c>
      <c r="F663" s="3" t="s">
        <v>92</v>
      </c>
      <c r="G663" s="3" t="s">
        <v>93</v>
      </c>
      <c r="H663" s="3" t="s">
        <v>94</v>
      </c>
      <c r="I663" s="3">
        <v>1</v>
      </c>
      <c r="J663" s="11">
        <v>95</v>
      </c>
      <c r="K663" s="4">
        <v>0.15</v>
      </c>
      <c r="L663" s="3" t="s">
        <v>95</v>
      </c>
      <c r="M663" s="3">
        <v>35</v>
      </c>
      <c r="N663" s="3">
        <v>7</v>
      </c>
      <c r="O663" s="3">
        <v>5</v>
      </c>
    </row>
    <row r="664" spans="1:15" ht="20" customHeight="1">
      <c r="A664" s="3" t="s">
        <v>1057</v>
      </c>
      <c r="B664" s="2">
        <v>46288</v>
      </c>
      <c r="C664" s="3">
        <v>10</v>
      </c>
      <c r="D664" s="3" t="s">
        <v>143</v>
      </c>
      <c r="E664" s="3" t="s">
        <v>91</v>
      </c>
      <c r="F664" s="3" t="s">
        <v>109</v>
      </c>
      <c r="G664" s="3" t="s">
        <v>122</v>
      </c>
      <c r="H664" s="3" t="s">
        <v>123</v>
      </c>
      <c r="I664" s="3">
        <v>2</v>
      </c>
      <c r="J664" s="11">
        <v>45</v>
      </c>
      <c r="K664" s="4">
        <v>0</v>
      </c>
      <c r="L664" s="3" t="s">
        <v>95</v>
      </c>
      <c r="M664" s="3">
        <v>32</v>
      </c>
      <c r="N664" s="3">
        <v>13</v>
      </c>
      <c r="O664" s="3">
        <v>3</v>
      </c>
    </row>
    <row r="665" spans="1:15" ht="20" customHeight="1">
      <c r="A665" s="3" t="s">
        <v>1058</v>
      </c>
      <c r="B665" s="2">
        <v>46288</v>
      </c>
      <c r="C665" s="3">
        <v>18</v>
      </c>
      <c r="D665" s="3" t="s">
        <v>894</v>
      </c>
      <c r="E665" s="3" t="s">
        <v>117</v>
      </c>
      <c r="F665" s="3" t="s">
        <v>98</v>
      </c>
      <c r="G665" s="3" t="s">
        <v>174</v>
      </c>
      <c r="H665" s="3" t="s">
        <v>175</v>
      </c>
      <c r="I665" s="3">
        <v>4</v>
      </c>
      <c r="J665" s="11">
        <v>155</v>
      </c>
      <c r="K665" s="4">
        <v>0</v>
      </c>
      <c r="L665" s="3" t="s">
        <v>95</v>
      </c>
      <c r="M665" s="3">
        <v>28</v>
      </c>
      <c r="N665" s="3">
        <v>13</v>
      </c>
      <c r="O665" s="3">
        <v>5</v>
      </c>
    </row>
    <row r="666" spans="1:15" ht="20" customHeight="1">
      <c r="A666" s="3" t="s">
        <v>1059</v>
      </c>
      <c r="B666" s="2">
        <v>46288</v>
      </c>
      <c r="C666" s="3">
        <v>11</v>
      </c>
      <c r="D666" s="3" t="s">
        <v>516</v>
      </c>
      <c r="E666" s="3" t="s">
        <v>117</v>
      </c>
      <c r="F666" s="3" t="s">
        <v>139</v>
      </c>
      <c r="G666" s="3" t="s">
        <v>122</v>
      </c>
      <c r="H666" s="3" t="s">
        <v>214</v>
      </c>
      <c r="I666" s="3">
        <v>2</v>
      </c>
      <c r="J666" s="11">
        <v>55</v>
      </c>
      <c r="K666" s="4">
        <v>0</v>
      </c>
      <c r="L666" s="3" t="s">
        <v>95</v>
      </c>
      <c r="M666" s="3">
        <v>25</v>
      </c>
      <c r="N666" s="3">
        <v>14</v>
      </c>
      <c r="O666" s="3">
        <v>4</v>
      </c>
    </row>
    <row r="667" spans="1:15" ht="20" customHeight="1">
      <c r="A667" s="3" t="s">
        <v>1060</v>
      </c>
      <c r="B667" s="2">
        <v>46288</v>
      </c>
      <c r="C667" s="3">
        <v>21</v>
      </c>
      <c r="D667" s="3" t="s">
        <v>1061</v>
      </c>
      <c r="E667" s="3" t="s">
        <v>91</v>
      </c>
      <c r="F667" s="3" t="s">
        <v>92</v>
      </c>
      <c r="G667" s="3" t="s">
        <v>93</v>
      </c>
      <c r="H667" s="3" t="s">
        <v>146</v>
      </c>
      <c r="I667" s="3">
        <v>2</v>
      </c>
      <c r="J667" s="11">
        <v>110</v>
      </c>
      <c r="K667" s="4">
        <v>0.1</v>
      </c>
      <c r="L667" s="3" t="s">
        <v>95</v>
      </c>
      <c r="M667" s="3">
        <v>15</v>
      </c>
      <c r="N667" s="3">
        <v>11</v>
      </c>
      <c r="O667" s="3">
        <v>5</v>
      </c>
    </row>
    <row r="668" spans="1:15" ht="20" customHeight="1">
      <c r="A668" s="3" t="s">
        <v>1062</v>
      </c>
      <c r="B668" s="2">
        <v>46288</v>
      </c>
      <c r="C668" s="3">
        <v>10</v>
      </c>
      <c r="D668" s="3" t="s">
        <v>511</v>
      </c>
      <c r="E668" s="3" t="s">
        <v>91</v>
      </c>
      <c r="F668" s="3" t="s">
        <v>121</v>
      </c>
      <c r="G668" s="3" t="s">
        <v>135</v>
      </c>
      <c r="H668" s="3" t="s">
        <v>136</v>
      </c>
      <c r="I668" s="3">
        <v>2</v>
      </c>
      <c r="J668" s="11">
        <v>40</v>
      </c>
      <c r="K668" s="4">
        <v>0</v>
      </c>
      <c r="L668" s="3" t="s">
        <v>95</v>
      </c>
      <c r="M668" s="3">
        <v>35</v>
      </c>
      <c r="N668" s="3">
        <v>12</v>
      </c>
      <c r="O668" s="3">
        <v>5</v>
      </c>
    </row>
    <row r="669" spans="1:15" ht="20" customHeight="1">
      <c r="A669" s="3" t="s">
        <v>1063</v>
      </c>
      <c r="B669" s="2">
        <v>46288</v>
      </c>
      <c r="C669" s="3">
        <v>19</v>
      </c>
      <c r="D669" s="3" t="s">
        <v>1064</v>
      </c>
      <c r="E669" s="3" t="s">
        <v>91</v>
      </c>
      <c r="F669" s="3" t="s">
        <v>121</v>
      </c>
      <c r="G669" s="3" t="s">
        <v>99</v>
      </c>
      <c r="H669" s="3" t="s">
        <v>104</v>
      </c>
      <c r="I669" s="3">
        <v>6</v>
      </c>
      <c r="J669" s="11">
        <v>240</v>
      </c>
      <c r="K669" s="4">
        <v>0.15</v>
      </c>
      <c r="L669" s="3" t="s">
        <v>95</v>
      </c>
      <c r="M669" s="3">
        <v>31</v>
      </c>
      <c r="N669" s="3">
        <v>6</v>
      </c>
      <c r="O669" s="3">
        <v>5</v>
      </c>
    </row>
    <row r="670" spans="1:15" ht="20" customHeight="1">
      <c r="A670" s="3" t="s">
        <v>1065</v>
      </c>
      <c r="B670" s="2">
        <v>46288</v>
      </c>
      <c r="C670" s="3">
        <v>15</v>
      </c>
      <c r="D670" s="3" t="s">
        <v>799</v>
      </c>
      <c r="E670" s="3" t="s">
        <v>91</v>
      </c>
      <c r="F670" s="3" t="s">
        <v>98</v>
      </c>
      <c r="G670" s="3" t="s">
        <v>174</v>
      </c>
      <c r="H670" s="3" t="s">
        <v>184</v>
      </c>
      <c r="I670" s="3">
        <v>5</v>
      </c>
      <c r="J670" s="11">
        <v>62</v>
      </c>
      <c r="K670" s="4">
        <v>0</v>
      </c>
      <c r="L670" s="3" t="s">
        <v>95</v>
      </c>
      <c r="M670" s="3">
        <v>21</v>
      </c>
      <c r="N670" s="3">
        <v>9</v>
      </c>
      <c r="O670" s="3">
        <v>5</v>
      </c>
    </row>
    <row r="671" spans="1:15" ht="20" customHeight="1">
      <c r="A671" s="3" t="s">
        <v>1066</v>
      </c>
      <c r="B671" s="2">
        <v>46288</v>
      </c>
      <c r="C671" s="3">
        <v>7</v>
      </c>
      <c r="D671" s="3" t="s">
        <v>367</v>
      </c>
      <c r="E671" s="3" t="s">
        <v>117</v>
      </c>
      <c r="F671" s="3" t="s">
        <v>109</v>
      </c>
      <c r="G671" s="3" t="s">
        <v>174</v>
      </c>
      <c r="H671" s="3" t="s">
        <v>175</v>
      </c>
      <c r="I671" s="3">
        <v>2</v>
      </c>
      <c r="J671" s="11">
        <v>155</v>
      </c>
      <c r="K671" s="4">
        <v>0</v>
      </c>
      <c r="L671" s="3" t="s">
        <v>95</v>
      </c>
      <c r="M671" s="3">
        <v>25</v>
      </c>
      <c r="N671" s="3">
        <v>6</v>
      </c>
      <c r="O671" s="3">
        <v>4</v>
      </c>
    </row>
    <row r="672" spans="1:15" ht="20" customHeight="1">
      <c r="A672" s="3" t="s">
        <v>1067</v>
      </c>
      <c r="B672" s="2">
        <v>46288</v>
      </c>
      <c r="C672" s="3">
        <v>19</v>
      </c>
      <c r="D672" s="3" t="s">
        <v>438</v>
      </c>
      <c r="E672" s="3" t="s">
        <v>91</v>
      </c>
      <c r="F672" s="3" t="s">
        <v>92</v>
      </c>
      <c r="G672" s="3" t="s">
        <v>110</v>
      </c>
      <c r="H672" s="3" t="s">
        <v>111</v>
      </c>
      <c r="I672" s="3">
        <v>2</v>
      </c>
      <c r="J672" s="11">
        <v>115</v>
      </c>
      <c r="K672" s="4">
        <v>0</v>
      </c>
      <c r="L672" s="3" t="s">
        <v>95</v>
      </c>
      <c r="M672" s="3">
        <v>24</v>
      </c>
      <c r="N672" s="3">
        <v>8</v>
      </c>
      <c r="O672" s="3">
        <v>4</v>
      </c>
    </row>
    <row r="673" spans="1:15" ht="20" customHeight="1">
      <c r="A673" s="3" t="s">
        <v>1068</v>
      </c>
      <c r="B673" s="2">
        <v>46288</v>
      </c>
      <c r="C673" s="3">
        <v>18</v>
      </c>
      <c r="D673" s="3" t="s">
        <v>1039</v>
      </c>
      <c r="E673" s="3" t="s">
        <v>91</v>
      </c>
      <c r="F673" s="3" t="s">
        <v>109</v>
      </c>
      <c r="G673" s="3" t="s">
        <v>93</v>
      </c>
      <c r="H673" s="3" t="s">
        <v>94</v>
      </c>
      <c r="I673" s="3">
        <v>2</v>
      </c>
      <c r="J673" s="11">
        <v>95</v>
      </c>
      <c r="K673" s="4">
        <v>0</v>
      </c>
      <c r="L673" s="3" t="s">
        <v>95</v>
      </c>
      <c r="M673" s="3">
        <v>23</v>
      </c>
      <c r="N673" s="3">
        <v>5</v>
      </c>
      <c r="O673" s="3">
        <v>4</v>
      </c>
    </row>
    <row r="674" spans="1:15" ht="20" customHeight="1">
      <c r="A674" s="3" t="s">
        <v>1069</v>
      </c>
      <c r="B674" s="2">
        <v>46288</v>
      </c>
      <c r="C674" s="3">
        <v>18</v>
      </c>
      <c r="D674" s="3" t="s">
        <v>886</v>
      </c>
      <c r="E674" s="3" t="s">
        <v>91</v>
      </c>
      <c r="F674" s="3" t="s">
        <v>92</v>
      </c>
      <c r="G674" s="3" t="s">
        <v>174</v>
      </c>
      <c r="H674" s="3" t="s">
        <v>274</v>
      </c>
      <c r="I674" s="3">
        <v>2</v>
      </c>
      <c r="J674" s="11">
        <v>90</v>
      </c>
      <c r="K674" s="4">
        <v>0.15</v>
      </c>
      <c r="L674" s="3" t="s">
        <v>95</v>
      </c>
      <c r="M674" s="3">
        <v>24</v>
      </c>
      <c r="N674" s="3">
        <v>8</v>
      </c>
      <c r="O674" s="3">
        <v>4</v>
      </c>
    </row>
    <row r="675" spans="1:15" ht="20" customHeight="1">
      <c r="A675" s="3" t="s">
        <v>1070</v>
      </c>
      <c r="B675" s="2">
        <v>46288</v>
      </c>
      <c r="C675" s="3">
        <v>6</v>
      </c>
      <c r="D675" s="3" t="s">
        <v>1026</v>
      </c>
      <c r="E675" s="3" t="s">
        <v>91</v>
      </c>
      <c r="F675" s="3" t="s">
        <v>139</v>
      </c>
      <c r="G675" s="3" t="s">
        <v>99</v>
      </c>
      <c r="H675" s="3" t="s">
        <v>130</v>
      </c>
      <c r="I675" s="3">
        <v>4</v>
      </c>
      <c r="J675" s="11">
        <v>85</v>
      </c>
      <c r="K675" s="4">
        <v>0</v>
      </c>
      <c r="L675" s="3" t="s">
        <v>101</v>
      </c>
      <c r="M675" s="3"/>
      <c r="N675" s="3"/>
      <c r="O675" s="3"/>
    </row>
    <row r="676" spans="1:15" ht="20" customHeight="1">
      <c r="A676" s="3" t="s">
        <v>1071</v>
      </c>
      <c r="B676" s="2">
        <v>46288</v>
      </c>
      <c r="C676" s="3">
        <v>19</v>
      </c>
      <c r="D676" s="3" t="s">
        <v>303</v>
      </c>
      <c r="E676" s="3" t="s">
        <v>91</v>
      </c>
      <c r="F676" s="3" t="s">
        <v>92</v>
      </c>
      <c r="G676" s="3" t="s">
        <v>110</v>
      </c>
      <c r="H676" s="3" t="s">
        <v>206</v>
      </c>
      <c r="I676" s="3">
        <v>3</v>
      </c>
      <c r="J676" s="11">
        <v>220</v>
      </c>
      <c r="K676" s="4">
        <v>0.05</v>
      </c>
      <c r="L676" s="3" t="s">
        <v>95</v>
      </c>
      <c r="M676" s="3">
        <v>30</v>
      </c>
      <c r="N676" s="3">
        <v>14</v>
      </c>
      <c r="O676" s="3">
        <v>5</v>
      </c>
    </row>
    <row r="677" spans="1:15" ht="20" customHeight="1">
      <c r="A677" s="3" t="s">
        <v>1072</v>
      </c>
      <c r="B677" s="2">
        <v>46288</v>
      </c>
      <c r="C677" s="3">
        <v>7</v>
      </c>
      <c r="D677" s="3" t="s">
        <v>242</v>
      </c>
      <c r="E677" s="3" t="s">
        <v>91</v>
      </c>
      <c r="F677" s="3" t="s">
        <v>1312</v>
      </c>
      <c r="G677" s="3" t="s">
        <v>122</v>
      </c>
      <c r="H677" s="3" t="s">
        <v>153</v>
      </c>
      <c r="I677" s="3">
        <v>6</v>
      </c>
      <c r="J677" s="11">
        <v>130</v>
      </c>
      <c r="K677" s="4">
        <v>0</v>
      </c>
      <c r="L677" s="3" t="s">
        <v>95</v>
      </c>
      <c r="M677" s="3">
        <v>29</v>
      </c>
      <c r="N677" s="3">
        <v>10</v>
      </c>
      <c r="O677" s="3">
        <v>5</v>
      </c>
    </row>
    <row r="678" spans="1:15" ht="20" customHeight="1">
      <c r="A678" s="3" t="s">
        <v>1073</v>
      </c>
      <c r="B678" s="2">
        <v>46288</v>
      </c>
      <c r="C678" s="3">
        <v>23</v>
      </c>
      <c r="D678" s="3" t="s">
        <v>242</v>
      </c>
      <c r="E678" s="3" t="s">
        <v>91</v>
      </c>
      <c r="F678" s="3" t="s">
        <v>139</v>
      </c>
      <c r="G678" s="3" t="s">
        <v>93</v>
      </c>
      <c r="H678" s="3" t="s">
        <v>94</v>
      </c>
      <c r="I678" s="3">
        <v>6</v>
      </c>
      <c r="J678" s="11">
        <v>95</v>
      </c>
      <c r="K678" s="4">
        <v>0</v>
      </c>
      <c r="L678" s="3" t="s">
        <v>95</v>
      </c>
      <c r="M678" s="3">
        <v>24</v>
      </c>
      <c r="N678" s="3">
        <v>11</v>
      </c>
      <c r="O678" s="3">
        <v>3</v>
      </c>
    </row>
    <row r="679" spans="1:15" ht="20" customHeight="1">
      <c r="A679" s="3" t="s">
        <v>1074</v>
      </c>
      <c r="B679" s="2">
        <v>46288</v>
      </c>
      <c r="C679" s="3">
        <v>21</v>
      </c>
      <c r="D679" s="3" t="s">
        <v>613</v>
      </c>
      <c r="E679" s="3" t="s">
        <v>91</v>
      </c>
      <c r="F679" s="3" t="s">
        <v>121</v>
      </c>
      <c r="G679" s="3" t="s">
        <v>122</v>
      </c>
      <c r="H679" s="3" t="s">
        <v>214</v>
      </c>
      <c r="I679" s="3">
        <v>5</v>
      </c>
      <c r="J679" s="11">
        <v>55</v>
      </c>
      <c r="K679" s="4">
        <v>0.1</v>
      </c>
      <c r="L679" s="3" t="s">
        <v>101</v>
      </c>
      <c r="M679" s="3"/>
      <c r="N679" s="3"/>
      <c r="O679" s="3"/>
    </row>
    <row r="680" spans="1:15" ht="20" customHeight="1">
      <c r="A680" s="3" t="s">
        <v>1075</v>
      </c>
      <c r="B680" s="2">
        <v>46288</v>
      </c>
      <c r="C680" s="3">
        <v>23</v>
      </c>
      <c r="D680" s="3" t="s">
        <v>365</v>
      </c>
      <c r="E680" s="3" t="s">
        <v>91</v>
      </c>
      <c r="F680" s="3" t="s">
        <v>121</v>
      </c>
      <c r="G680" s="3" t="s">
        <v>99</v>
      </c>
      <c r="H680" s="3" t="s">
        <v>104</v>
      </c>
      <c r="I680" s="3">
        <v>2</v>
      </c>
      <c r="J680" s="11">
        <v>240</v>
      </c>
      <c r="K680" s="4">
        <v>0</v>
      </c>
      <c r="L680" s="3" t="s">
        <v>95</v>
      </c>
      <c r="M680" s="3">
        <v>22</v>
      </c>
      <c r="N680" s="3">
        <v>14</v>
      </c>
      <c r="O680" s="3">
        <v>4</v>
      </c>
    </row>
    <row r="681" spans="1:15" ht="20" customHeight="1">
      <c r="A681" s="3" t="s">
        <v>1076</v>
      </c>
      <c r="B681" s="2">
        <v>46288</v>
      </c>
      <c r="C681" s="3">
        <v>8</v>
      </c>
      <c r="D681" s="3" t="s">
        <v>597</v>
      </c>
      <c r="E681" s="3" t="s">
        <v>117</v>
      </c>
      <c r="F681" s="3" t="s">
        <v>139</v>
      </c>
      <c r="G681" s="3" t="s">
        <v>135</v>
      </c>
      <c r="H681" s="3" t="s">
        <v>162</v>
      </c>
      <c r="I681" s="3">
        <v>3</v>
      </c>
      <c r="J681" s="11">
        <v>180</v>
      </c>
      <c r="K681" s="4">
        <v>0.1</v>
      </c>
      <c r="L681" s="3" t="s">
        <v>95</v>
      </c>
      <c r="M681" s="3">
        <v>14</v>
      </c>
      <c r="N681" s="3">
        <v>9</v>
      </c>
      <c r="O681" s="3">
        <v>3</v>
      </c>
    </row>
    <row r="682" spans="1:15" ht="20" customHeight="1">
      <c r="A682" s="3" t="s">
        <v>1077</v>
      </c>
      <c r="B682" s="2">
        <v>46288</v>
      </c>
      <c r="C682" s="3">
        <v>19</v>
      </c>
      <c r="D682" s="3" t="s">
        <v>226</v>
      </c>
      <c r="E682" s="3" t="s">
        <v>91</v>
      </c>
      <c r="F682" s="3" t="s">
        <v>121</v>
      </c>
      <c r="G682" s="3" t="s">
        <v>174</v>
      </c>
      <c r="H682" s="3" t="s">
        <v>274</v>
      </c>
      <c r="I682" s="3">
        <v>2</v>
      </c>
      <c r="J682" s="11">
        <v>90</v>
      </c>
      <c r="K682" s="4">
        <v>0</v>
      </c>
      <c r="L682" s="3" t="s">
        <v>95</v>
      </c>
      <c r="M682" s="3">
        <v>25</v>
      </c>
      <c r="N682" s="3">
        <v>7</v>
      </c>
      <c r="O682" s="3">
        <v>5</v>
      </c>
    </row>
    <row r="683" spans="1:15" ht="20" customHeight="1">
      <c r="A683" s="3" t="s">
        <v>1078</v>
      </c>
      <c r="B683" s="2">
        <v>46288</v>
      </c>
      <c r="C683" s="3">
        <v>12</v>
      </c>
      <c r="D683" s="3" t="s">
        <v>777</v>
      </c>
      <c r="E683" s="3" t="s">
        <v>91</v>
      </c>
      <c r="F683" s="3" t="s">
        <v>121</v>
      </c>
      <c r="G683" s="3" t="s">
        <v>93</v>
      </c>
      <c r="H683" s="3" t="s">
        <v>146</v>
      </c>
      <c r="I683" s="3">
        <v>1</v>
      </c>
      <c r="J683" s="11">
        <v>110</v>
      </c>
      <c r="K683" s="4">
        <v>0</v>
      </c>
      <c r="L683" s="3" t="s">
        <v>95</v>
      </c>
      <c r="M683" s="3">
        <v>35</v>
      </c>
      <c r="N683" s="3">
        <v>14</v>
      </c>
      <c r="O683" s="3">
        <v>5</v>
      </c>
    </row>
    <row r="684" spans="1:15" ht="20" customHeight="1">
      <c r="A684" s="3" t="s">
        <v>1079</v>
      </c>
      <c r="B684" s="2">
        <v>46288</v>
      </c>
      <c r="C684" s="3">
        <v>20</v>
      </c>
      <c r="D684" s="3" t="s">
        <v>347</v>
      </c>
      <c r="E684" s="3" t="s">
        <v>91</v>
      </c>
      <c r="F684" s="3" t="s">
        <v>139</v>
      </c>
      <c r="G684" s="3" t="s">
        <v>174</v>
      </c>
      <c r="H684" s="3" t="s">
        <v>175</v>
      </c>
      <c r="I684" s="3">
        <v>6</v>
      </c>
      <c r="J684" s="11">
        <v>155</v>
      </c>
      <c r="K684" s="4">
        <v>0.15</v>
      </c>
      <c r="L684" s="3" t="s">
        <v>95</v>
      </c>
      <c r="M684" s="3">
        <v>22</v>
      </c>
      <c r="N684" s="3">
        <v>7</v>
      </c>
      <c r="O684" s="3">
        <v>5</v>
      </c>
    </row>
    <row r="685" spans="1:15" ht="20" customHeight="1">
      <c r="A685" s="3" t="s">
        <v>1080</v>
      </c>
      <c r="B685" s="2">
        <v>46288</v>
      </c>
      <c r="C685" s="3">
        <v>8</v>
      </c>
      <c r="D685" s="3" t="s">
        <v>794</v>
      </c>
      <c r="E685" s="3" t="s">
        <v>117</v>
      </c>
      <c r="F685" s="3" t="s">
        <v>98</v>
      </c>
      <c r="G685" s="3" t="s">
        <v>135</v>
      </c>
      <c r="H685" s="3" t="s">
        <v>136</v>
      </c>
      <c r="I685" s="3">
        <v>4</v>
      </c>
      <c r="J685" s="11">
        <v>40</v>
      </c>
      <c r="K685" s="4">
        <v>0.15</v>
      </c>
      <c r="L685" s="3" t="s">
        <v>95</v>
      </c>
      <c r="M685" s="3">
        <v>32</v>
      </c>
      <c r="N685" s="3">
        <v>10</v>
      </c>
      <c r="O685" s="3">
        <v>4</v>
      </c>
    </row>
    <row r="686" spans="1:15" ht="20" customHeight="1">
      <c r="A686" s="3" t="s">
        <v>1081</v>
      </c>
      <c r="B686" s="2">
        <v>46288</v>
      </c>
      <c r="C686" s="3">
        <v>12</v>
      </c>
      <c r="D686" s="3" t="s">
        <v>558</v>
      </c>
      <c r="E686" s="3" t="s">
        <v>91</v>
      </c>
      <c r="F686" s="3" t="s">
        <v>121</v>
      </c>
      <c r="G686" s="3" t="s">
        <v>110</v>
      </c>
      <c r="H686" s="3" t="s">
        <v>114</v>
      </c>
      <c r="I686" s="3">
        <v>2</v>
      </c>
      <c r="J686" s="11">
        <v>145</v>
      </c>
      <c r="K686" s="4">
        <v>0.1</v>
      </c>
      <c r="L686" s="3" t="s">
        <v>95</v>
      </c>
      <c r="M686" s="3">
        <v>14</v>
      </c>
      <c r="N686" s="3">
        <v>12</v>
      </c>
      <c r="O686" s="3">
        <v>5</v>
      </c>
    </row>
    <row r="687" spans="1:15" ht="20" customHeight="1">
      <c r="A687" s="3" t="s">
        <v>1082</v>
      </c>
      <c r="B687" s="2">
        <v>46288</v>
      </c>
      <c r="C687" s="3">
        <v>20</v>
      </c>
      <c r="D687" s="3" t="s">
        <v>592</v>
      </c>
      <c r="E687" s="3" t="s">
        <v>91</v>
      </c>
      <c r="F687" s="3" t="s">
        <v>109</v>
      </c>
      <c r="G687" s="3" t="s">
        <v>110</v>
      </c>
      <c r="H687" s="3" t="s">
        <v>114</v>
      </c>
      <c r="I687" s="3">
        <v>5</v>
      </c>
      <c r="J687" s="11">
        <v>145</v>
      </c>
      <c r="K687" s="4">
        <v>0.05</v>
      </c>
      <c r="L687" s="3" t="s">
        <v>95</v>
      </c>
      <c r="M687" s="3">
        <v>35</v>
      </c>
      <c r="N687" s="3">
        <v>9</v>
      </c>
      <c r="O687" s="3">
        <v>5</v>
      </c>
    </row>
    <row r="688" spans="1:15" ht="20" customHeight="1">
      <c r="A688" s="3" t="s">
        <v>1083</v>
      </c>
      <c r="B688" s="2">
        <v>46288</v>
      </c>
      <c r="C688" s="3">
        <v>14</v>
      </c>
      <c r="D688" s="3" t="s">
        <v>624</v>
      </c>
      <c r="E688" s="3" t="s">
        <v>91</v>
      </c>
      <c r="F688" s="3" t="s">
        <v>98</v>
      </c>
      <c r="G688" s="3" t="s">
        <v>122</v>
      </c>
      <c r="H688" s="3" t="s">
        <v>214</v>
      </c>
      <c r="I688" s="3">
        <v>4</v>
      </c>
      <c r="J688" s="11">
        <v>55</v>
      </c>
      <c r="K688" s="4">
        <v>0</v>
      </c>
      <c r="L688" s="3" t="s">
        <v>95</v>
      </c>
      <c r="M688" s="3">
        <v>13</v>
      </c>
      <c r="N688" s="3">
        <v>9</v>
      </c>
      <c r="O688" s="3">
        <v>5</v>
      </c>
    </row>
    <row r="689" spans="1:15" ht="20" customHeight="1">
      <c r="A689" s="3" t="s">
        <v>1084</v>
      </c>
      <c r="B689" s="2">
        <v>46288</v>
      </c>
      <c r="C689" s="3">
        <v>18</v>
      </c>
      <c r="D689" s="3" t="s">
        <v>369</v>
      </c>
      <c r="E689" s="3" t="s">
        <v>91</v>
      </c>
      <c r="F689" s="3" t="s">
        <v>139</v>
      </c>
      <c r="G689" s="3" t="s">
        <v>110</v>
      </c>
      <c r="H689" s="3" t="s">
        <v>206</v>
      </c>
      <c r="I689" s="3">
        <v>2</v>
      </c>
      <c r="J689" s="11">
        <v>220</v>
      </c>
      <c r="K689" s="4">
        <v>0</v>
      </c>
      <c r="L689" s="3" t="s">
        <v>95</v>
      </c>
      <c r="M689" s="3">
        <v>22</v>
      </c>
      <c r="N689" s="3">
        <v>4</v>
      </c>
      <c r="O689" s="3">
        <v>4</v>
      </c>
    </row>
    <row r="690" spans="1:15" ht="20" customHeight="1">
      <c r="A690" s="3" t="s">
        <v>1085</v>
      </c>
      <c r="B690" s="2">
        <v>46288</v>
      </c>
      <c r="C690" s="3">
        <v>18</v>
      </c>
      <c r="D690" s="3" t="s">
        <v>768</v>
      </c>
      <c r="E690" s="3" t="s">
        <v>91</v>
      </c>
      <c r="F690" s="3" t="s">
        <v>92</v>
      </c>
      <c r="G690" s="3" t="s">
        <v>135</v>
      </c>
      <c r="H690" s="3" t="s">
        <v>162</v>
      </c>
      <c r="I690" s="3">
        <v>3</v>
      </c>
      <c r="J690" s="11">
        <v>180</v>
      </c>
      <c r="K690" s="4">
        <v>0</v>
      </c>
      <c r="L690" s="3" t="s">
        <v>95</v>
      </c>
      <c r="M690" s="3">
        <v>33</v>
      </c>
      <c r="N690" s="3">
        <v>12</v>
      </c>
      <c r="O690" s="3">
        <v>5</v>
      </c>
    </row>
    <row r="691" spans="1:15" ht="20" customHeight="1">
      <c r="A691" s="3" t="s">
        <v>1086</v>
      </c>
      <c r="B691" s="2">
        <v>46288</v>
      </c>
      <c r="C691" s="3">
        <v>15</v>
      </c>
      <c r="D691" s="3" t="s">
        <v>195</v>
      </c>
      <c r="E691" s="3" t="s">
        <v>91</v>
      </c>
      <c r="F691" s="3" t="s">
        <v>98</v>
      </c>
      <c r="G691" s="3" t="s">
        <v>174</v>
      </c>
      <c r="H691" s="3" t="s">
        <v>184</v>
      </c>
      <c r="I691" s="3">
        <v>4</v>
      </c>
      <c r="J691" s="11">
        <v>62</v>
      </c>
      <c r="K691" s="4">
        <v>0.05</v>
      </c>
      <c r="L691" s="3" t="s">
        <v>95</v>
      </c>
      <c r="M691" s="3">
        <v>16</v>
      </c>
      <c r="N691" s="3">
        <v>8</v>
      </c>
      <c r="O691" s="3">
        <v>3</v>
      </c>
    </row>
    <row r="692" spans="1:15" ht="20" customHeight="1">
      <c r="A692" s="3" t="s">
        <v>1087</v>
      </c>
      <c r="B692" s="2">
        <v>46289</v>
      </c>
      <c r="C692" s="3">
        <v>16</v>
      </c>
      <c r="D692" s="3" t="s">
        <v>777</v>
      </c>
      <c r="E692" s="3" t="s">
        <v>91</v>
      </c>
      <c r="F692" s="3" t="s">
        <v>121</v>
      </c>
      <c r="G692" s="3" t="s">
        <v>122</v>
      </c>
      <c r="H692" s="3" t="s">
        <v>153</v>
      </c>
      <c r="I692" s="3">
        <v>2</v>
      </c>
      <c r="J692" s="11">
        <v>130</v>
      </c>
      <c r="K692" s="4">
        <v>0</v>
      </c>
      <c r="L692" s="3" t="s">
        <v>95</v>
      </c>
      <c r="M692" s="3">
        <v>35</v>
      </c>
      <c r="N692" s="3">
        <v>7</v>
      </c>
      <c r="O692" s="3">
        <v>5</v>
      </c>
    </row>
    <row r="693" spans="1:15" ht="20" customHeight="1">
      <c r="A693" s="3" t="s">
        <v>1088</v>
      </c>
      <c r="B693" s="2">
        <v>46289</v>
      </c>
      <c r="C693" s="3">
        <v>21</v>
      </c>
      <c r="D693" s="3" t="s">
        <v>301</v>
      </c>
      <c r="E693" s="3" t="s">
        <v>91</v>
      </c>
      <c r="F693" s="3" t="s">
        <v>92</v>
      </c>
      <c r="G693" s="3" t="s">
        <v>99</v>
      </c>
      <c r="H693" s="3" t="s">
        <v>100</v>
      </c>
      <c r="I693" s="3">
        <v>1</v>
      </c>
      <c r="J693" s="11">
        <v>120</v>
      </c>
      <c r="K693" s="4">
        <v>0</v>
      </c>
      <c r="L693" s="3" t="s">
        <v>95</v>
      </c>
      <c r="M693" s="3">
        <v>23</v>
      </c>
      <c r="N693" s="3">
        <v>7</v>
      </c>
      <c r="O693" s="3">
        <v>4</v>
      </c>
    </row>
    <row r="694" spans="1:15" ht="20" customHeight="1">
      <c r="A694" s="3" t="s">
        <v>1089</v>
      </c>
      <c r="B694" s="2">
        <v>46289</v>
      </c>
      <c r="C694" s="3">
        <v>19</v>
      </c>
      <c r="D694" s="3" t="s">
        <v>1090</v>
      </c>
      <c r="E694" s="3" t="s">
        <v>117</v>
      </c>
      <c r="F694" s="3" t="s">
        <v>121</v>
      </c>
      <c r="G694" s="3" t="s">
        <v>122</v>
      </c>
      <c r="H694" s="3" t="s">
        <v>214</v>
      </c>
      <c r="I694" s="3">
        <v>4</v>
      </c>
      <c r="J694" s="11">
        <v>55</v>
      </c>
      <c r="K694" s="4">
        <v>0</v>
      </c>
      <c r="L694" s="3" t="s">
        <v>95</v>
      </c>
      <c r="M694" s="3">
        <v>26</v>
      </c>
      <c r="N694" s="3">
        <v>5</v>
      </c>
      <c r="O694" s="3">
        <v>5</v>
      </c>
    </row>
    <row r="695" spans="1:15" ht="20" customHeight="1">
      <c r="A695" s="3" t="s">
        <v>1091</v>
      </c>
      <c r="B695" s="2">
        <v>46289</v>
      </c>
      <c r="C695" s="3">
        <v>11</v>
      </c>
      <c r="D695" s="3" t="s">
        <v>555</v>
      </c>
      <c r="E695" s="3" t="s">
        <v>117</v>
      </c>
      <c r="F695" s="3" t="s">
        <v>121</v>
      </c>
      <c r="G695" s="3" t="s">
        <v>110</v>
      </c>
      <c r="H695" s="3" t="s">
        <v>206</v>
      </c>
      <c r="I695" s="3">
        <v>5</v>
      </c>
      <c r="J695" s="11">
        <v>220</v>
      </c>
      <c r="K695" s="4">
        <v>0</v>
      </c>
      <c r="L695" s="3" t="s">
        <v>95</v>
      </c>
      <c r="M695" s="3">
        <v>22</v>
      </c>
      <c r="N695" s="3">
        <v>10</v>
      </c>
      <c r="O695" s="3">
        <v>4</v>
      </c>
    </row>
    <row r="696" spans="1:15" ht="20" customHeight="1">
      <c r="A696" s="3" t="s">
        <v>1092</v>
      </c>
      <c r="B696" s="2">
        <v>46289</v>
      </c>
      <c r="C696" s="3">
        <v>22</v>
      </c>
      <c r="D696" s="3" t="s">
        <v>613</v>
      </c>
      <c r="E696" s="3" t="s">
        <v>91</v>
      </c>
      <c r="F696" s="3" t="s">
        <v>139</v>
      </c>
      <c r="G696" s="3" t="s">
        <v>93</v>
      </c>
      <c r="H696" s="3" t="s">
        <v>94</v>
      </c>
      <c r="I696" s="3">
        <v>2</v>
      </c>
      <c r="J696" s="11">
        <v>95</v>
      </c>
      <c r="K696" s="4">
        <v>0.15</v>
      </c>
      <c r="L696" s="3" t="s">
        <v>95</v>
      </c>
      <c r="M696" s="3">
        <v>29</v>
      </c>
      <c r="N696" s="3">
        <v>11</v>
      </c>
      <c r="O696" s="3">
        <v>4</v>
      </c>
    </row>
    <row r="697" spans="1:15" ht="20" customHeight="1">
      <c r="A697" s="3" t="s">
        <v>1093</v>
      </c>
      <c r="B697" s="2">
        <v>46289</v>
      </c>
      <c r="C697" s="3">
        <v>19</v>
      </c>
      <c r="D697" s="3" t="s">
        <v>383</v>
      </c>
      <c r="E697" s="3" t="s">
        <v>91</v>
      </c>
      <c r="F697" s="3" t="s">
        <v>139</v>
      </c>
      <c r="G697" s="3" t="s">
        <v>110</v>
      </c>
      <c r="H697" s="3" t="s">
        <v>111</v>
      </c>
      <c r="I697" s="3">
        <v>1</v>
      </c>
      <c r="J697" s="11">
        <v>115</v>
      </c>
      <c r="K697" s="4">
        <v>0</v>
      </c>
      <c r="L697" s="3" t="s">
        <v>95</v>
      </c>
      <c r="M697" s="3">
        <v>35</v>
      </c>
      <c r="N697" s="3">
        <v>12</v>
      </c>
      <c r="O697" s="3">
        <v>5</v>
      </c>
    </row>
    <row r="698" spans="1:15" ht="20" customHeight="1">
      <c r="A698" s="3" t="s">
        <v>1094</v>
      </c>
      <c r="B698" s="2">
        <v>46289</v>
      </c>
      <c r="C698" s="3">
        <v>6</v>
      </c>
      <c r="D698" s="3" t="s">
        <v>295</v>
      </c>
      <c r="E698" s="3" t="s">
        <v>117</v>
      </c>
      <c r="F698" s="3" t="s">
        <v>121</v>
      </c>
      <c r="G698" s="3" t="s">
        <v>99</v>
      </c>
      <c r="H698" s="3" t="s">
        <v>100</v>
      </c>
      <c r="I698" s="3">
        <v>2</v>
      </c>
      <c r="J698" s="11">
        <v>120</v>
      </c>
      <c r="K698" s="4">
        <v>0</v>
      </c>
      <c r="L698" s="3" t="s">
        <v>95</v>
      </c>
      <c r="M698" s="3">
        <v>35</v>
      </c>
      <c r="N698" s="3">
        <v>12</v>
      </c>
      <c r="O698" s="3">
        <v>5</v>
      </c>
    </row>
    <row r="699" spans="1:15" ht="20" customHeight="1">
      <c r="A699" s="3" t="s">
        <v>1095</v>
      </c>
      <c r="B699" s="2">
        <v>46289</v>
      </c>
      <c r="C699" s="3">
        <v>11</v>
      </c>
      <c r="D699" s="3" t="s">
        <v>361</v>
      </c>
      <c r="E699" s="3" t="s">
        <v>91</v>
      </c>
      <c r="F699" s="3" t="s">
        <v>92</v>
      </c>
      <c r="G699" s="3" t="s">
        <v>122</v>
      </c>
      <c r="H699" s="3" t="s">
        <v>153</v>
      </c>
      <c r="I699" s="3">
        <v>1</v>
      </c>
      <c r="J699" s="11">
        <v>130</v>
      </c>
      <c r="K699" s="4">
        <v>0</v>
      </c>
      <c r="L699" s="3" t="s">
        <v>95</v>
      </c>
      <c r="M699" s="3">
        <v>34</v>
      </c>
      <c r="N699" s="3">
        <v>12</v>
      </c>
      <c r="O699" s="3">
        <v>4</v>
      </c>
    </row>
    <row r="700" spans="1:15" ht="20" customHeight="1">
      <c r="A700" s="3" t="s">
        <v>1096</v>
      </c>
      <c r="B700" s="2">
        <v>46289</v>
      </c>
      <c r="C700" s="3">
        <v>21</v>
      </c>
      <c r="D700" s="3" t="s">
        <v>143</v>
      </c>
      <c r="E700" s="3" t="s">
        <v>91</v>
      </c>
      <c r="F700" s="3" t="s">
        <v>139</v>
      </c>
      <c r="G700" s="3" t="s">
        <v>122</v>
      </c>
      <c r="H700" s="3" t="s">
        <v>153</v>
      </c>
      <c r="I700" s="3">
        <v>4</v>
      </c>
      <c r="J700" s="11">
        <v>130</v>
      </c>
      <c r="K700" s="4">
        <v>0.05</v>
      </c>
      <c r="L700" s="3" t="s">
        <v>95</v>
      </c>
      <c r="M700" s="3">
        <v>23</v>
      </c>
      <c r="N700" s="3">
        <v>5</v>
      </c>
      <c r="O700" s="3">
        <v>4</v>
      </c>
    </row>
    <row r="701" spans="1:15" ht="20" customHeight="1">
      <c r="A701" s="3" t="s">
        <v>1097</v>
      </c>
      <c r="B701" s="2">
        <v>46289</v>
      </c>
      <c r="C701" s="3">
        <v>21</v>
      </c>
      <c r="D701" s="3" t="s">
        <v>293</v>
      </c>
      <c r="E701" s="3" t="s">
        <v>91</v>
      </c>
      <c r="F701" s="3" t="s">
        <v>98</v>
      </c>
      <c r="G701" s="3" t="s">
        <v>110</v>
      </c>
      <c r="H701" s="3" t="s">
        <v>206</v>
      </c>
      <c r="I701" s="3">
        <v>6</v>
      </c>
      <c r="J701" s="11">
        <v>220</v>
      </c>
      <c r="K701" s="4">
        <v>0</v>
      </c>
      <c r="L701" s="3" t="s">
        <v>95</v>
      </c>
      <c r="M701" s="3">
        <v>20</v>
      </c>
      <c r="N701" s="3">
        <v>11</v>
      </c>
      <c r="O701" s="3">
        <v>5</v>
      </c>
    </row>
    <row r="702" spans="1:15" ht="20" customHeight="1">
      <c r="A702" s="3" t="s">
        <v>1098</v>
      </c>
      <c r="B702" s="2">
        <v>46289</v>
      </c>
      <c r="C702" s="3">
        <v>17</v>
      </c>
      <c r="D702" s="3" t="s">
        <v>803</v>
      </c>
      <c r="E702" s="3" t="s">
        <v>117</v>
      </c>
      <c r="F702" s="3" t="s">
        <v>109</v>
      </c>
      <c r="G702" s="3" t="s">
        <v>135</v>
      </c>
      <c r="H702" s="3" t="s">
        <v>136</v>
      </c>
      <c r="I702" s="3">
        <v>2</v>
      </c>
      <c r="J702" s="11">
        <v>40</v>
      </c>
      <c r="K702" s="4">
        <v>0.15</v>
      </c>
      <c r="L702" s="3" t="s">
        <v>95</v>
      </c>
      <c r="M702" s="3">
        <v>34</v>
      </c>
      <c r="N702" s="3">
        <v>14</v>
      </c>
      <c r="O702" s="3">
        <v>4</v>
      </c>
    </row>
    <row r="703" spans="1:15" ht="20" customHeight="1">
      <c r="A703" s="3" t="s">
        <v>1099</v>
      </c>
      <c r="B703" s="2">
        <v>46289</v>
      </c>
      <c r="C703" s="3">
        <v>19</v>
      </c>
      <c r="D703" s="3" t="s">
        <v>191</v>
      </c>
      <c r="E703" s="3" t="s">
        <v>91</v>
      </c>
      <c r="F703" s="3" t="s">
        <v>98</v>
      </c>
      <c r="G703" s="3" t="s">
        <v>135</v>
      </c>
      <c r="H703" s="3" t="s">
        <v>217</v>
      </c>
      <c r="I703" s="3">
        <v>4</v>
      </c>
      <c r="J703" s="11">
        <v>65</v>
      </c>
      <c r="K703" s="4">
        <v>0.05</v>
      </c>
      <c r="L703" s="3" t="s">
        <v>101</v>
      </c>
      <c r="M703" s="3"/>
      <c r="N703" s="3"/>
      <c r="O703" s="3"/>
    </row>
    <row r="704" spans="1:15" ht="20" customHeight="1">
      <c r="A704" s="3" t="s">
        <v>1100</v>
      </c>
      <c r="B704" s="2">
        <v>46289</v>
      </c>
      <c r="C704" s="3">
        <v>12</v>
      </c>
      <c r="D704" s="3" t="s">
        <v>271</v>
      </c>
      <c r="E704" s="3" t="s">
        <v>91</v>
      </c>
      <c r="F704" s="3" t="s">
        <v>98</v>
      </c>
      <c r="G704" s="3" t="s">
        <v>93</v>
      </c>
      <c r="H704" s="3" t="s">
        <v>146</v>
      </c>
      <c r="I704" s="3">
        <v>3</v>
      </c>
      <c r="J704" s="11">
        <v>110</v>
      </c>
      <c r="K704" s="4">
        <v>0</v>
      </c>
      <c r="L704" s="3" t="s">
        <v>95</v>
      </c>
      <c r="M704" s="3">
        <v>35</v>
      </c>
      <c r="N704" s="3">
        <v>8</v>
      </c>
      <c r="O704" s="3">
        <v>4</v>
      </c>
    </row>
    <row r="705" spans="1:15" ht="20" customHeight="1">
      <c r="A705" s="3" t="s">
        <v>1101</v>
      </c>
      <c r="B705" s="2">
        <v>46289</v>
      </c>
      <c r="C705" s="3">
        <v>21</v>
      </c>
      <c r="D705" s="3" t="s">
        <v>448</v>
      </c>
      <c r="E705" s="3" t="s">
        <v>91</v>
      </c>
      <c r="F705" s="3" t="s">
        <v>121</v>
      </c>
      <c r="G705" s="3" t="s">
        <v>110</v>
      </c>
      <c r="H705" s="3" t="s">
        <v>114</v>
      </c>
      <c r="I705" s="3">
        <v>6</v>
      </c>
      <c r="J705" s="11">
        <v>145</v>
      </c>
      <c r="K705" s="4">
        <v>0.15</v>
      </c>
      <c r="L705" s="3" t="s">
        <v>95</v>
      </c>
      <c r="M705" s="3">
        <v>31</v>
      </c>
      <c r="N705" s="3">
        <v>14</v>
      </c>
      <c r="O705" s="3">
        <v>5</v>
      </c>
    </row>
    <row r="706" spans="1:15" ht="20" customHeight="1">
      <c r="A706" s="3" t="s">
        <v>1102</v>
      </c>
      <c r="B706" s="2">
        <v>46289</v>
      </c>
      <c r="C706" s="3">
        <v>19</v>
      </c>
      <c r="D706" s="3" t="s">
        <v>825</v>
      </c>
      <c r="E706" s="3" t="s">
        <v>117</v>
      </c>
      <c r="F706" s="3" t="s">
        <v>121</v>
      </c>
      <c r="G706" s="3" t="s">
        <v>174</v>
      </c>
      <c r="H706" s="3" t="s">
        <v>184</v>
      </c>
      <c r="I706" s="3">
        <v>1</v>
      </c>
      <c r="J706" s="11">
        <v>62</v>
      </c>
      <c r="K706" s="4">
        <v>0</v>
      </c>
      <c r="L706" s="3" t="s">
        <v>95</v>
      </c>
      <c r="M706" s="3">
        <v>24</v>
      </c>
      <c r="N706" s="3">
        <v>11</v>
      </c>
      <c r="O706" s="3">
        <v>3</v>
      </c>
    </row>
    <row r="707" spans="1:15" ht="20" customHeight="1">
      <c r="A707" s="3" t="s">
        <v>1103</v>
      </c>
      <c r="B707" s="2">
        <v>46289</v>
      </c>
      <c r="C707" s="3">
        <v>19</v>
      </c>
      <c r="D707" s="3" t="s">
        <v>825</v>
      </c>
      <c r="E707" s="3" t="s">
        <v>117</v>
      </c>
      <c r="F707" s="3" t="s">
        <v>121</v>
      </c>
      <c r="G707" s="3" t="s">
        <v>174</v>
      </c>
      <c r="H707" s="3" t="s">
        <v>274</v>
      </c>
      <c r="I707" s="3">
        <v>3</v>
      </c>
      <c r="J707" s="11">
        <v>90</v>
      </c>
      <c r="K707" s="4">
        <v>0.15</v>
      </c>
      <c r="L707" s="3" t="s">
        <v>95</v>
      </c>
      <c r="M707" s="3">
        <v>12</v>
      </c>
      <c r="N707" s="3">
        <v>5</v>
      </c>
      <c r="O707" s="3">
        <v>5</v>
      </c>
    </row>
    <row r="708" spans="1:15" ht="20" customHeight="1">
      <c r="A708" s="3" t="s">
        <v>1104</v>
      </c>
      <c r="B708" s="2">
        <v>46289</v>
      </c>
      <c r="C708" s="3">
        <v>6</v>
      </c>
      <c r="D708" s="3" t="s">
        <v>171</v>
      </c>
      <c r="E708" s="3" t="s">
        <v>91</v>
      </c>
      <c r="F708" s="3" t="s">
        <v>139</v>
      </c>
      <c r="G708" s="3" t="s">
        <v>122</v>
      </c>
      <c r="H708" s="3" t="s">
        <v>214</v>
      </c>
      <c r="I708" s="3">
        <v>2</v>
      </c>
      <c r="J708" s="11">
        <v>55</v>
      </c>
      <c r="K708" s="4">
        <v>0.15</v>
      </c>
      <c r="L708" s="3" t="s">
        <v>95</v>
      </c>
      <c r="M708" s="3">
        <v>36</v>
      </c>
      <c r="N708" s="3">
        <v>9</v>
      </c>
      <c r="O708" s="3">
        <v>5</v>
      </c>
    </row>
    <row r="709" spans="1:15" ht="20" customHeight="1">
      <c r="A709" s="3" t="s">
        <v>1105</v>
      </c>
      <c r="B709" s="2">
        <v>46289</v>
      </c>
      <c r="C709" s="3">
        <v>17</v>
      </c>
      <c r="D709" s="3" t="s">
        <v>295</v>
      </c>
      <c r="E709" s="3" t="s">
        <v>117</v>
      </c>
      <c r="F709" s="3" t="s">
        <v>109</v>
      </c>
      <c r="G709" s="3" t="s">
        <v>122</v>
      </c>
      <c r="H709" s="3" t="s">
        <v>153</v>
      </c>
      <c r="I709" s="3">
        <v>2</v>
      </c>
      <c r="J709" s="11">
        <v>130</v>
      </c>
      <c r="K709" s="4">
        <v>0.1</v>
      </c>
      <c r="L709" s="3" t="s">
        <v>101</v>
      </c>
      <c r="M709" s="3"/>
      <c r="N709" s="3"/>
      <c r="O709" s="3"/>
    </row>
    <row r="710" spans="1:15" ht="20" customHeight="1">
      <c r="A710" s="3" t="s">
        <v>1106</v>
      </c>
      <c r="B710" s="2">
        <v>46289</v>
      </c>
      <c r="C710" s="3">
        <v>19</v>
      </c>
      <c r="D710" s="3" t="s">
        <v>1107</v>
      </c>
      <c r="E710" s="3" t="s">
        <v>91</v>
      </c>
      <c r="F710" s="3" t="s">
        <v>92</v>
      </c>
      <c r="G710" s="3" t="s">
        <v>110</v>
      </c>
      <c r="H710" s="3" t="s">
        <v>114</v>
      </c>
      <c r="I710" s="3">
        <v>3</v>
      </c>
      <c r="J710" s="11">
        <v>145</v>
      </c>
      <c r="K710" s="4">
        <v>0.05</v>
      </c>
      <c r="L710" s="3" t="s">
        <v>95</v>
      </c>
      <c r="M710" s="3">
        <v>17</v>
      </c>
      <c r="N710" s="3">
        <v>14</v>
      </c>
      <c r="O710" s="3">
        <v>5</v>
      </c>
    </row>
    <row r="711" spans="1:15" ht="20" customHeight="1">
      <c r="A711" s="3" t="s">
        <v>1108</v>
      </c>
      <c r="B711" s="2">
        <v>46289</v>
      </c>
      <c r="C711" s="3">
        <v>16</v>
      </c>
      <c r="D711" s="3" t="s">
        <v>1109</v>
      </c>
      <c r="E711" s="3" t="s">
        <v>91</v>
      </c>
      <c r="F711" s="3" t="s">
        <v>92</v>
      </c>
      <c r="G711" s="3" t="s">
        <v>110</v>
      </c>
      <c r="H711" s="3" t="s">
        <v>114</v>
      </c>
      <c r="I711" s="3">
        <v>2</v>
      </c>
      <c r="J711" s="11">
        <v>145</v>
      </c>
      <c r="K711" s="4">
        <v>0.05</v>
      </c>
      <c r="L711" s="3" t="s">
        <v>95</v>
      </c>
      <c r="M711" s="3">
        <v>35</v>
      </c>
      <c r="N711" s="3">
        <v>9</v>
      </c>
      <c r="O711" s="3">
        <v>5</v>
      </c>
    </row>
    <row r="712" spans="1:15" ht="20" customHeight="1">
      <c r="A712" s="3" t="s">
        <v>1110</v>
      </c>
      <c r="B712" s="2">
        <v>46289</v>
      </c>
      <c r="C712" s="3">
        <v>22</v>
      </c>
      <c r="D712" s="3" t="s">
        <v>446</v>
      </c>
      <c r="E712" s="3" t="s">
        <v>91</v>
      </c>
      <c r="F712" s="3" t="s">
        <v>98</v>
      </c>
      <c r="G712" s="3" t="s">
        <v>174</v>
      </c>
      <c r="H712" s="3" t="s">
        <v>175</v>
      </c>
      <c r="I712" s="3">
        <v>3</v>
      </c>
      <c r="J712" s="11">
        <v>155</v>
      </c>
      <c r="K712" s="4">
        <v>0.1</v>
      </c>
      <c r="L712" s="3" t="s">
        <v>95</v>
      </c>
      <c r="M712" s="3">
        <v>21</v>
      </c>
      <c r="N712" s="3">
        <v>11</v>
      </c>
      <c r="O712" s="3">
        <v>5</v>
      </c>
    </row>
    <row r="713" spans="1:15" ht="20" customHeight="1">
      <c r="A713" s="3" t="s">
        <v>1111</v>
      </c>
      <c r="B713" s="2">
        <v>46289</v>
      </c>
      <c r="C713" s="3">
        <v>19</v>
      </c>
      <c r="D713" s="3" t="s">
        <v>1090</v>
      </c>
      <c r="E713" s="3" t="s">
        <v>117</v>
      </c>
      <c r="F713" s="3" t="s">
        <v>98</v>
      </c>
      <c r="G713" s="3" t="s">
        <v>99</v>
      </c>
      <c r="H713" s="3" t="s">
        <v>104</v>
      </c>
      <c r="I713" s="3">
        <v>2</v>
      </c>
      <c r="J713" s="11">
        <v>240</v>
      </c>
      <c r="K713" s="4">
        <v>0</v>
      </c>
      <c r="L713" s="3" t="s">
        <v>95</v>
      </c>
      <c r="M713" s="3">
        <v>29</v>
      </c>
      <c r="N713" s="3">
        <v>9</v>
      </c>
      <c r="O713" s="3">
        <v>5</v>
      </c>
    </row>
    <row r="714" spans="1:15" ht="20" customHeight="1">
      <c r="A714" s="3" t="s">
        <v>1112</v>
      </c>
      <c r="B714" s="2">
        <v>46289</v>
      </c>
      <c r="C714" s="3">
        <v>9</v>
      </c>
      <c r="D714" s="3" t="s">
        <v>1048</v>
      </c>
      <c r="E714" s="3" t="s">
        <v>91</v>
      </c>
      <c r="F714" s="3" t="s">
        <v>98</v>
      </c>
      <c r="G714" s="3" t="s">
        <v>110</v>
      </c>
      <c r="H714" s="3" t="s">
        <v>111</v>
      </c>
      <c r="I714" s="3">
        <v>1</v>
      </c>
      <c r="J714" s="11">
        <v>115</v>
      </c>
      <c r="K714" s="4">
        <v>0</v>
      </c>
      <c r="L714" s="3" t="s">
        <v>95</v>
      </c>
      <c r="M714" s="3">
        <v>34</v>
      </c>
      <c r="N714" s="3">
        <v>14</v>
      </c>
      <c r="O714" s="3">
        <v>4</v>
      </c>
    </row>
    <row r="715" spans="1:15" ht="20" customHeight="1">
      <c r="A715" s="3" t="s">
        <v>1113</v>
      </c>
      <c r="B715" s="2">
        <v>46289</v>
      </c>
      <c r="C715" s="3">
        <v>12</v>
      </c>
      <c r="D715" s="3" t="s">
        <v>452</v>
      </c>
      <c r="E715" s="3" t="s">
        <v>91</v>
      </c>
      <c r="F715" s="3" t="s">
        <v>98</v>
      </c>
      <c r="G715" s="3" t="s">
        <v>122</v>
      </c>
      <c r="H715" s="3" t="s">
        <v>153</v>
      </c>
      <c r="I715" s="3">
        <v>4</v>
      </c>
      <c r="J715" s="11">
        <v>130</v>
      </c>
      <c r="K715" s="4">
        <v>0.15</v>
      </c>
      <c r="L715" s="3" t="s">
        <v>95</v>
      </c>
      <c r="M715" s="3">
        <v>15</v>
      </c>
      <c r="N715" s="3">
        <v>11</v>
      </c>
      <c r="O715" s="3">
        <v>3</v>
      </c>
    </row>
    <row r="716" spans="1:15" ht="20" customHeight="1">
      <c r="A716" s="3" t="s">
        <v>1114</v>
      </c>
      <c r="B716" s="2">
        <v>46289</v>
      </c>
      <c r="C716" s="3">
        <v>9</v>
      </c>
      <c r="D716" s="3" t="s">
        <v>1115</v>
      </c>
      <c r="E716" s="3" t="s">
        <v>91</v>
      </c>
      <c r="F716" s="3" t="s">
        <v>139</v>
      </c>
      <c r="G716" s="3" t="s">
        <v>93</v>
      </c>
      <c r="H716" s="3" t="s">
        <v>94</v>
      </c>
      <c r="I716" s="3">
        <v>2</v>
      </c>
      <c r="J716" s="11">
        <v>95</v>
      </c>
      <c r="K716" s="4">
        <v>0</v>
      </c>
      <c r="L716" s="3" t="s">
        <v>95</v>
      </c>
      <c r="M716" s="3">
        <v>21</v>
      </c>
      <c r="N716" s="3">
        <v>5</v>
      </c>
      <c r="O716" s="3">
        <v>5</v>
      </c>
    </row>
    <row r="717" spans="1:15" ht="20" customHeight="1">
      <c r="A717" s="3" t="s">
        <v>1116</v>
      </c>
      <c r="B717" s="2">
        <v>46289</v>
      </c>
      <c r="C717" s="3">
        <v>13</v>
      </c>
      <c r="D717" s="3" t="s">
        <v>378</v>
      </c>
      <c r="E717" s="3" t="s">
        <v>117</v>
      </c>
      <c r="F717" s="3" t="s">
        <v>109</v>
      </c>
      <c r="G717" s="3" t="s">
        <v>174</v>
      </c>
      <c r="H717" s="3" t="s">
        <v>184</v>
      </c>
      <c r="I717" s="3">
        <v>4</v>
      </c>
      <c r="J717" s="11">
        <v>62</v>
      </c>
      <c r="K717" s="4">
        <v>0</v>
      </c>
      <c r="L717" s="3" t="s">
        <v>95</v>
      </c>
      <c r="M717" s="3">
        <v>28</v>
      </c>
      <c r="N717" s="3">
        <v>9</v>
      </c>
      <c r="O717" s="3">
        <v>5</v>
      </c>
    </row>
    <row r="718" spans="1:15" ht="20" customHeight="1">
      <c r="A718" s="3" t="s">
        <v>1117</v>
      </c>
      <c r="B718" s="2">
        <v>46289</v>
      </c>
      <c r="C718" s="3">
        <v>16</v>
      </c>
      <c r="D718" s="3" t="s">
        <v>265</v>
      </c>
      <c r="E718" s="3" t="s">
        <v>117</v>
      </c>
      <c r="F718" s="3" t="s">
        <v>139</v>
      </c>
      <c r="G718" s="3" t="s">
        <v>174</v>
      </c>
      <c r="H718" s="3" t="s">
        <v>175</v>
      </c>
      <c r="I718" s="3">
        <v>1</v>
      </c>
      <c r="J718" s="11">
        <v>155</v>
      </c>
      <c r="K718" s="4">
        <v>0.05</v>
      </c>
      <c r="L718" s="3" t="s">
        <v>95</v>
      </c>
      <c r="M718" s="3">
        <v>32</v>
      </c>
      <c r="N718" s="3">
        <v>11</v>
      </c>
      <c r="O718" s="3">
        <v>4</v>
      </c>
    </row>
    <row r="719" spans="1:15" ht="20" customHeight="1">
      <c r="A719" s="3" t="s">
        <v>1118</v>
      </c>
      <c r="B719" s="2">
        <v>46289</v>
      </c>
      <c r="C719" s="3">
        <v>13</v>
      </c>
      <c r="D719" s="3" t="s">
        <v>195</v>
      </c>
      <c r="E719" s="3" t="s">
        <v>91</v>
      </c>
      <c r="F719" s="3" t="s">
        <v>121</v>
      </c>
      <c r="G719" s="3" t="s">
        <v>110</v>
      </c>
      <c r="H719" s="3" t="s">
        <v>206</v>
      </c>
      <c r="I719" s="3">
        <v>1</v>
      </c>
      <c r="J719" s="11">
        <v>220</v>
      </c>
      <c r="K719" s="4">
        <v>0</v>
      </c>
      <c r="L719" s="3" t="s">
        <v>95</v>
      </c>
      <c r="M719" s="3">
        <v>14</v>
      </c>
      <c r="N719" s="3">
        <v>5</v>
      </c>
      <c r="O719" s="3">
        <v>3</v>
      </c>
    </row>
    <row r="720" spans="1:15" ht="20" customHeight="1">
      <c r="A720" s="3" t="s">
        <v>1119</v>
      </c>
      <c r="B720" s="2">
        <v>46289</v>
      </c>
      <c r="C720" s="3">
        <v>17</v>
      </c>
      <c r="D720" s="3" t="s">
        <v>363</v>
      </c>
      <c r="E720" s="3" t="s">
        <v>91</v>
      </c>
      <c r="F720" s="3" t="s">
        <v>92</v>
      </c>
      <c r="G720" s="3" t="s">
        <v>135</v>
      </c>
      <c r="H720" s="3" t="s">
        <v>136</v>
      </c>
      <c r="I720" s="3">
        <v>1</v>
      </c>
      <c r="J720" s="11">
        <v>40</v>
      </c>
      <c r="K720" s="4">
        <v>0</v>
      </c>
      <c r="L720" s="3" t="s">
        <v>95</v>
      </c>
      <c r="M720" s="3">
        <v>29</v>
      </c>
      <c r="N720" s="3">
        <v>10</v>
      </c>
      <c r="O720" s="3">
        <v>5</v>
      </c>
    </row>
    <row r="721" spans="1:15" ht="20" customHeight="1">
      <c r="A721" s="3" t="s">
        <v>1120</v>
      </c>
      <c r="B721" s="2">
        <v>46289</v>
      </c>
      <c r="C721" s="3">
        <v>23</v>
      </c>
      <c r="D721" s="3" t="s">
        <v>639</v>
      </c>
      <c r="E721" s="3" t="s">
        <v>91</v>
      </c>
      <c r="F721" s="3" t="s">
        <v>109</v>
      </c>
      <c r="G721" s="3" t="s">
        <v>122</v>
      </c>
      <c r="H721" s="3" t="s">
        <v>153</v>
      </c>
      <c r="I721" s="3">
        <v>5</v>
      </c>
      <c r="J721" s="11">
        <v>130</v>
      </c>
      <c r="K721" s="4">
        <v>0.15</v>
      </c>
      <c r="L721" s="3" t="s">
        <v>95</v>
      </c>
      <c r="M721" s="3">
        <v>34</v>
      </c>
      <c r="N721" s="3">
        <v>13</v>
      </c>
      <c r="O721" s="3">
        <v>4</v>
      </c>
    </row>
    <row r="722" spans="1:15" ht="20" customHeight="1">
      <c r="A722" s="3" t="s">
        <v>1121</v>
      </c>
      <c r="B722" s="2">
        <v>46290</v>
      </c>
      <c r="C722" s="3">
        <v>6</v>
      </c>
      <c r="D722" s="3" t="s">
        <v>188</v>
      </c>
      <c r="E722" s="3" t="s">
        <v>117</v>
      </c>
      <c r="F722" s="3" t="s">
        <v>1310</v>
      </c>
      <c r="G722" s="3" t="s">
        <v>110</v>
      </c>
      <c r="H722" s="3" t="s">
        <v>111</v>
      </c>
      <c r="I722" s="3">
        <v>2</v>
      </c>
      <c r="J722" s="11">
        <v>115</v>
      </c>
      <c r="K722" s="4">
        <v>0</v>
      </c>
      <c r="L722" s="3" t="s">
        <v>1311</v>
      </c>
      <c r="M722" s="3">
        <v>15</v>
      </c>
      <c r="N722" s="3">
        <v>14</v>
      </c>
      <c r="O722" s="3">
        <v>4</v>
      </c>
    </row>
    <row r="723" spans="1:15" ht="20" customHeight="1">
      <c r="A723" s="3" t="s">
        <v>1122</v>
      </c>
      <c r="B723" s="2">
        <v>46290</v>
      </c>
      <c r="C723" s="3">
        <v>10</v>
      </c>
      <c r="D723" s="3" t="s">
        <v>125</v>
      </c>
      <c r="E723" s="3" t="s">
        <v>91</v>
      </c>
      <c r="F723" s="3" t="s">
        <v>98</v>
      </c>
      <c r="G723" s="3" t="s">
        <v>99</v>
      </c>
      <c r="H723" s="3" t="s">
        <v>130</v>
      </c>
      <c r="I723" s="3">
        <v>1</v>
      </c>
      <c r="J723" s="11">
        <v>85</v>
      </c>
      <c r="K723" s="4">
        <v>0</v>
      </c>
      <c r="L723" s="3" t="s">
        <v>95</v>
      </c>
      <c r="M723" s="3">
        <v>32</v>
      </c>
      <c r="N723" s="3">
        <v>12</v>
      </c>
      <c r="O723" s="3">
        <v>4</v>
      </c>
    </row>
    <row r="724" spans="1:15" ht="20" customHeight="1">
      <c r="A724" s="3" t="s">
        <v>1123</v>
      </c>
      <c r="B724" s="2">
        <v>46290</v>
      </c>
      <c r="C724" s="3">
        <v>17</v>
      </c>
      <c r="D724" s="3" t="s">
        <v>262</v>
      </c>
      <c r="E724" s="3" t="s">
        <v>117</v>
      </c>
      <c r="F724" s="3" t="s">
        <v>98</v>
      </c>
      <c r="G724" s="3" t="s">
        <v>93</v>
      </c>
      <c r="H724" s="3" t="s">
        <v>146</v>
      </c>
      <c r="I724" s="3">
        <v>2</v>
      </c>
      <c r="J724" s="11">
        <v>110</v>
      </c>
      <c r="K724" s="4">
        <v>0.1</v>
      </c>
      <c r="L724" s="3" t="s">
        <v>95</v>
      </c>
      <c r="M724" s="3">
        <v>36</v>
      </c>
      <c r="N724" s="3">
        <v>15</v>
      </c>
      <c r="O724" s="3">
        <v>3</v>
      </c>
    </row>
    <row r="725" spans="1:15" ht="20" customHeight="1">
      <c r="A725" s="3" t="s">
        <v>1124</v>
      </c>
      <c r="B725" s="2">
        <v>46290</v>
      </c>
      <c r="C725" s="3">
        <v>9</v>
      </c>
      <c r="D725" s="3" t="s">
        <v>320</v>
      </c>
      <c r="E725" s="3" t="s">
        <v>91</v>
      </c>
      <c r="F725" s="3" t="s">
        <v>98</v>
      </c>
      <c r="G725" s="3" t="s">
        <v>135</v>
      </c>
      <c r="H725" s="3" t="s">
        <v>217</v>
      </c>
      <c r="I725" s="3">
        <v>3</v>
      </c>
      <c r="J725" s="11">
        <v>65</v>
      </c>
      <c r="K725" s="4">
        <v>0</v>
      </c>
      <c r="L725" s="3" t="s">
        <v>95</v>
      </c>
      <c r="M725" s="3">
        <v>32</v>
      </c>
      <c r="N725" s="3">
        <v>4</v>
      </c>
      <c r="O725" s="3">
        <v>5</v>
      </c>
    </row>
    <row r="726" spans="1:15" ht="20" customHeight="1">
      <c r="A726" s="3" t="s">
        <v>1125</v>
      </c>
      <c r="B726" s="2">
        <v>46290</v>
      </c>
      <c r="C726" s="3">
        <v>17</v>
      </c>
      <c r="D726" s="3" t="s">
        <v>1026</v>
      </c>
      <c r="E726" s="3" t="s">
        <v>91</v>
      </c>
      <c r="F726" s="3" t="s">
        <v>109</v>
      </c>
      <c r="G726" s="3" t="s">
        <v>110</v>
      </c>
      <c r="H726" s="3" t="s">
        <v>206</v>
      </c>
      <c r="I726" s="3">
        <v>2</v>
      </c>
      <c r="J726" s="11">
        <v>220</v>
      </c>
      <c r="K726" s="4">
        <v>0.05</v>
      </c>
      <c r="L726" s="3" t="s">
        <v>95</v>
      </c>
      <c r="M726" s="3">
        <v>25</v>
      </c>
      <c r="N726" s="3">
        <v>7</v>
      </c>
      <c r="O726" s="3">
        <v>5</v>
      </c>
    </row>
    <row r="727" spans="1:15" ht="20" customHeight="1">
      <c r="A727" s="3" t="s">
        <v>1126</v>
      </c>
      <c r="B727" s="2">
        <v>46290</v>
      </c>
      <c r="C727" s="3">
        <v>12</v>
      </c>
      <c r="D727" s="3" t="s">
        <v>171</v>
      </c>
      <c r="E727" s="3" t="s">
        <v>91</v>
      </c>
      <c r="F727" s="3" t="s">
        <v>98</v>
      </c>
      <c r="G727" s="3" t="s">
        <v>122</v>
      </c>
      <c r="H727" s="3" t="s">
        <v>153</v>
      </c>
      <c r="I727" s="3">
        <v>3</v>
      </c>
      <c r="J727" s="11">
        <v>130</v>
      </c>
      <c r="K727" s="4">
        <v>0.1</v>
      </c>
      <c r="L727" s="3" t="s">
        <v>95</v>
      </c>
      <c r="M727" s="3">
        <v>13</v>
      </c>
      <c r="N727" s="3">
        <v>12</v>
      </c>
      <c r="O727" s="3">
        <v>4</v>
      </c>
    </row>
    <row r="728" spans="1:15" ht="20" customHeight="1">
      <c r="A728" s="3" t="s">
        <v>1127</v>
      </c>
      <c r="B728" s="2">
        <v>46290</v>
      </c>
      <c r="C728" s="3">
        <v>19</v>
      </c>
      <c r="D728" s="3" t="s">
        <v>301</v>
      </c>
      <c r="E728" s="3" t="s">
        <v>91</v>
      </c>
      <c r="F728" s="3" t="s">
        <v>121</v>
      </c>
      <c r="G728" s="3" t="s">
        <v>93</v>
      </c>
      <c r="H728" s="3" t="s">
        <v>118</v>
      </c>
      <c r="I728" s="3">
        <v>2</v>
      </c>
      <c r="J728" s="11">
        <v>45</v>
      </c>
      <c r="K728" s="4">
        <v>0.1</v>
      </c>
      <c r="L728" s="3" t="s">
        <v>95</v>
      </c>
      <c r="M728" s="3">
        <v>30</v>
      </c>
      <c r="N728" s="3">
        <v>11</v>
      </c>
      <c r="O728" s="3">
        <v>4</v>
      </c>
    </row>
    <row r="729" spans="1:15" ht="20" customHeight="1">
      <c r="A729" s="3" t="s">
        <v>1128</v>
      </c>
      <c r="B729" s="2">
        <v>46290</v>
      </c>
      <c r="C729" s="3">
        <v>9</v>
      </c>
      <c r="D729" s="3" t="s">
        <v>845</v>
      </c>
      <c r="E729" s="3" t="s">
        <v>91</v>
      </c>
      <c r="F729" s="3" t="s">
        <v>98</v>
      </c>
      <c r="G729" s="3" t="s">
        <v>135</v>
      </c>
      <c r="H729" s="3" t="s">
        <v>136</v>
      </c>
      <c r="I729" s="3">
        <v>3</v>
      </c>
      <c r="J729" s="11">
        <v>40</v>
      </c>
      <c r="K729" s="4">
        <v>0.1</v>
      </c>
      <c r="L729" s="3" t="s">
        <v>95</v>
      </c>
      <c r="M729" s="3">
        <v>32</v>
      </c>
      <c r="N729" s="3">
        <v>15</v>
      </c>
      <c r="O729" s="3">
        <v>5</v>
      </c>
    </row>
    <row r="730" spans="1:15" ht="20" customHeight="1">
      <c r="A730" s="3" t="s">
        <v>1129</v>
      </c>
      <c r="B730" s="2">
        <v>46290</v>
      </c>
      <c r="C730" s="3">
        <v>13</v>
      </c>
      <c r="D730" s="3" t="s">
        <v>525</v>
      </c>
      <c r="E730" s="3" t="s">
        <v>91</v>
      </c>
      <c r="F730" s="3" t="s">
        <v>139</v>
      </c>
      <c r="G730" s="3" t="s">
        <v>174</v>
      </c>
      <c r="H730" s="3" t="s">
        <v>184</v>
      </c>
      <c r="I730" s="3">
        <v>3</v>
      </c>
      <c r="J730" s="11">
        <v>62</v>
      </c>
      <c r="K730" s="4">
        <v>0.05</v>
      </c>
      <c r="L730" s="3" t="s">
        <v>95</v>
      </c>
      <c r="M730" s="3">
        <v>23</v>
      </c>
      <c r="N730" s="3">
        <v>13</v>
      </c>
      <c r="O730" s="3">
        <v>5</v>
      </c>
    </row>
    <row r="731" spans="1:15" ht="20" customHeight="1">
      <c r="A731" s="3" t="s">
        <v>1130</v>
      </c>
      <c r="B731" s="2">
        <v>46290</v>
      </c>
      <c r="C731" s="3">
        <v>12</v>
      </c>
      <c r="D731" s="3" t="s">
        <v>247</v>
      </c>
      <c r="E731" s="3" t="s">
        <v>117</v>
      </c>
      <c r="F731" s="3" t="s">
        <v>92</v>
      </c>
      <c r="G731" s="3" t="s">
        <v>174</v>
      </c>
      <c r="H731" s="3" t="s">
        <v>175</v>
      </c>
      <c r="I731" s="3">
        <v>1</v>
      </c>
      <c r="J731" s="11">
        <v>155</v>
      </c>
      <c r="K731" s="4">
        <v>0.15</v>
      </c>
      <c r="L731" s="3" t="s">
        <v>95</v>
      </c>
      <c r="M731" s="3">
        <v>34</v>
      </c>
      <c r="N731" s="3">
        <v>8</v>
      </c>
      <c r="O731" s="3">
        <v>3</v>
      </c>
    </row>
    <row r="732" spans="1:15" ht="20" customHeight="1">
      <c r="A732" s="3" t="s">
        <v>1131</v>
      </c>
      <c r="B732" s="2">
        <v>46290</v>
      </c>
      <c r="C732" s="3">
        <v>15</v>
      </c>
      <c r="D732" s="3" t="s">
        <v>289</v>
      </c>
      <c r="E732" s="3" t="s">
        <v>117</v>
      </c>
      <c r="F732" s="3" t="s">
        <v>121</v>
      </c>
      <c r="G732" s="3" t="s">
        <v>135</v>
      </c>
      <c r="H732" s="3" t="s">
        <v>162</v>
      </c>
      <c r="I732" s="3">
        <v>3</v>
      </c>
      <c r="J732" s="11">
        <v>180</v>
      </c>
      <c r="K732" s="4">
        <v>0</v>
      </c>
      <c r="L732" s="3" t="s">
        <v>95</v>
      </c>
      <c r="M732" s="3">
        <v>31</v>
      </c>
      <c r="N732" s="3">
        <v>13</v>
      </c>
      <c r="O732" s="3">
        <v>3</v>
      </c>
    </row>
    <row r="733" spans="1:15" ht="20" customHeight="1">
      <c r="A733" s="3" t="s">
        <v>1132</v>
      </c>
      <c r="B733" s="2">
        <v>46290</v>
      </c>
      <c r="C733" s="3">
        <v>20</v>
      </c>
      <c r="D733" s="3" t="s">
        <v>687</v>
      </c>
      <c r="E733" s="3" t="s">
        <v>91</v>
      </c>
      <c r="F733" s="3" t="s">
        <v>139</v>
      </c>
      <c r="G733" s="3" t="s">
        <v>93</v>
      </c>
      <c r="H733" s="3" t="s">
        <v>146</v>
      </c>
      <c r="I733" s="3">
        <v>1</v>
      </c>
      <c r="J733" s="11">
        <v>110</v>
      </c>
      <c r="K733" s="4">
        <v>0</v>
      </c>
      <c r="L733" s="3" t="s">
        <v>95</v>
      </c>
      <c r="M733" s="3">
        <v>30</v>
      </c>
      <c r="N733" s="3">
        <v>5</v>
      </c>
      <c r="O733" s="3">
        <v>5</v>
      </c>
    </row>
    <row r="734" spans="1:15" ht="20" customHeight="1">
      <c r="A734" s="3" t="s">
        <v>1133</v>
      </c>
      <c r="B734" s="2">
        <v>46290</v>
      </c>
      <c r="C734" s="3">
        <v>14</v>
      </c>
      <c r="D734" s="3" t="s">
        <v>365</v>
      </c>
      <c r="E734" s="3" t="s">
        <v>91</v>
      </c>
      <c r="F734" s="3" t="s">
        <v>109</v>
      </c>
      <c r="G734" s="3" t="s">
        <v>135</v>
      </c>
      <c r="H734" s="3" t="s">
        <v>136</v>
      </c>
      <c r="I734" s="3">
        <v>2</v>
      </c>
      <c r="J734" s="11">
        <v>40</v>
      </c>
      <c r="K734" s="4">
        <v>0.05</v>
      </c>
      <c r="L734" s="3" t="s">
        <v>101</v>
      </c>
      <c r="M734" s="3"/>
      <c r="N734" s="3"/>
      <c r="O734" s="3"/>
    </row>
    <row r="735" spans="1:15" ht="20" customHeight="1">
      <c r="A735" s="3" t="s">
        <v>1134</v>
      </c>
      <c r="B735" s="2">
        <v>46290</v>
      </c>
      <c r="C735" s="3">
        <v>21</v>
      </c>
      <c r="D735" s="3" t="s">
        <v>1135</v>
      </c>
      <c r="E735" s="3" t="s">
        <v>91</v>
      </c>
      <c r="F735" s="3" t="s">
        <v>121</v>
      </c>
      <c r="G735" s="3" t="s">
        <v>174</v>
      </c>
      <c r="H735" s="3" t="s">
        <v>175</v>
      </c>
      <c r="I735" s="3">
        <v>4</v>
      </c>
      <c r="J735" s="11">
        <v>155</v>
      </c>
      <c r="K735" s="4">
        <v>0</v>
      </c>
      <c r="L735" s="3" t="s">
        <v>101</v>
      </c>
      <c r="M735" s="3"/>
      <c r="N735" s="3"/>
      <c r="O735" s="3"/>
    </row>
    <row r="736" spans="1:15" ht="20" customHeight="1">
      <c r="A736" s="3" t="s">
        <v>1136</v>
      </c>
      <c r="B736" s="2">
        <v>46290</v>
      </c>
      <c r="C736" s="3">
        <v>17</v>
      </c>
      <c r="D736" s="3" t="s">
        <v>230</v>
      </c>
      <c r="E736" s="3" t="s">
        <v>91</v>
      </c>
      <c r="F736" s="3" t="s">
        <v>92</v>
      </c>
      <c r="G736" s="3" t="s">
        <v>99</v>
      </c>
      <c r="H736" s="3" t="s">
        <v>104</v>
      </c>
      <c r="I736" s="3">
        <v>4</v>
      </c>
      <c r="J736" s="11">
        <v>240</v>
      </c>
      <c r="K736" s="4">
        <v>0</v>
      </c>
      <c r="L736" s="3" t="s">
        <v>95</v>
      </c>
      <c r="M736" s="3">
        <v>19</v>
      </c>
      <c r="N736" s="3">
        <v>11</v>
      </c>
      <c r="O736" s="3">
        <v>5</v>
      </c>
    </row>
    <row r="737" spans="1:15" ht="20" customHeight="1">
      <c r="A737" s="3" t="s">
        <v>1137</v>
      </c>
      <c r="B737" s="2">
        <v>46290</v>
      </c>
      <c r="C737" s="3">
        <v>8</v>
      </c>
      <c r="D737" s="3" t="s">
        <v>285</v>
      </c>
      <c r="E737" s="3" t="s">
        <v>91</v>
      </c>
      <c r="F737" s="3" t="s">
        <v>121</v>
      </c>
      <c r="G737" s="3" t="s">
        <v>93</v>
      </c>
      <c r="H737" s="3" t="s">
        <v>146</v>
      </c>
      <c r="I737" s="3">
        <v>4</v>
      </c>
      <c r="J737" s="11">
        <v>110</v>
      </c>
      <c r="K737" s="4">
        <v>0.1</v>
      </c>
      <c r="L737" s="3" t="s">
        <v>95</v>
      </c>
      <c r="M737" s="3">
        <v>18</v>
      </c>
      <c r="N737" s="3">
        <v>7</v>
      </c>
      <c r="O737" s="3">
        <v>4</v>
      </c>
    </row>
    <row r="738" spans="1:15" ht="20" customHeight="1">
      <c r="A738" s="3" t="s">
        <v>1138</v>
      </c>
      <c r="B738" s="2">
        <v>46290</v>
      </c>
      <c r="C738" s="3">
        <v>21</v>
      </c>
      <c r="D738" s="3" t="s">
        <v>267</v>
      </c>
      <c r="E738" s="3" t="s">
        <v>91</v>
      </c>
      <c r="F738" s="3" t="s">
        <v>92</v>
      </c>
      <c r="G738" s="3" t="s">
        <v>135</v>
      </c>
      <c r="H738" s="3" t="s">
        <v>136</v>
      </c>
      <c r="I738" s="3">
        <v>1</v>
      </c>
      <c r="J738" s="11">
        <v>40</v>
      </c>
      <c r="K738" s="4">
        <v>0.05</v>
      </c>
      <c r="L738" s="3" t="s">
        <v>95</v>
      </c>
      <c r="M738" s="3">
        <v>36</v>
      </c>
      <c r="N738" s="3">
        <v>13</v>
      </c>
      <c r="O738" s="3">
        <v>4</v>
      </c>
    </row>
    <row r="739" spans="1:15" ht="20" customHeight="1">
      <c r="A739" s="3" t="s">
        <v>1139</v>
      </c>
      <c r="B739" s="2">
        <v>46290</v>
      </c>
      <c r="C739" s="3">
        <v>12</v>
      </c>
      <c r="D739" s="3" t="s">
        <v>116</v>
      </c>
      <c r="E739" s="3" t="s">
        <v>117</v>
      </c>
      <c r="F739" s="3" t="s">
        <v>109</v>
      </c>
      <c r="G739" s="3" t="s">
        <v>110</v>
      </c>
      <c r="H739" s="3" t="s">
        <v>114</v>
      </c>
      <c r="I739" s="3">
        <v>6</v>
      </c>
      <c r="J739" s="11">
        <v>145</v>
      </c>
      <c r="K739" s="4">
        <v>0</v>
      </c>
      <c r="L739" s="3" t="s">
        <v>95</v>
      </c>
      <c r="M739" s="3">
        <v>30</v>
      </c>
      <c r="N739" s="3">
        <v>4</v>
      </c>
      <c r="O739" s="3">
        <v>5</v>
      </c>
    </row>
    <row r="740" spans="1:15" ht="20" customHeight="1">
      <c r="A740" s="3" t="s">
        <v>1140</v>
      </c>
      <c r="B740" s="2">
        <v>46290</v>
      </c>
      <c r="C740" s="3">
        <v>17</v>
      </c>
      <c r="D740" s="3" t="s">
        <v>1141</v>
      </c>
      <c r="E740" s="3" t="s">
        <v>117</v>
      </c>
      <c r="F740" s="3" t="s">
        <v>139</v>
      </c>
      <c r="G740" s="3" t="s">
        <v>99</v>
      </c>
      <c r="H740" s="3" t="s">
        <v>130</v>
      </c>
      <c r="I740" s="3">
        <v>5</v>
      </c>
      <c r="J740" s="11">
        <v>85</v>
      </c>
      <c r="K740" s="4">
        <v>0</v>
      </c>
      <c r="L740" s="3" t="s">
        <v>95</v>
      </c>
      <c r="M740" s="3">
        <v>15</v>
      </c>
      <c r="N740" s="3">
        <v>4</v>
      </c>
      <c r="O740" s="3">
        <v>5</v>
      </c>
    </row>
    <row r="741" spans="1:15" ht="20" customHeight="1">
      <c r="A741" s="3" t="s">
        <v>1142</v>
      </c>
      <c r="B741" s="2">
        <v>46290</v>
      </c>
      <c r="C741" s="3">
        <v>22</v>
      </c>
      <c r="D741" s="3" t="s">
        <v>944</v>
      </c>
      <c r="E741" s="3" t="s">
        <v>91</v>
      </c>
      <c r="F741" s="3" t="s">
        <v>98</v>
      </c>
      <c r="G741" s="3" t="s">
        <v>110</v>
      </c>
      <c r="H741" s="3" t="s">
        <v>206</v>
      </c>
      <c r="I741" s="3">
        <v>6</v>
      </c>
      <c r="J741" s="11">
        <v>220</v>
      </c>
      <c r="K741" s="4">
        <v>0</v>
      </c>
      <c r="L741" s="3" t="s">
        <v>95</v>
      </c>
      <c r="M741" s="3">
        <v>18</v>
      </c>
      <c r="N741" s="3">
        <v>11</v>
      </c>
      <c r="O741" s="3">
        <v>3</v>
      </c>
    </row>
    <row r="742" spans="1:15" ht="20" customHeight="1">
      <c r="A742" s="3" t="s">
        <v>1143</v>
      </c>
      <c r="B742" s="2">
        <v>46290</v>
      </c>
      <c r="C742" s="3">
        <v>12</v>
      </c>
      <c r="D742" s="3" t="s">
        <v>320</v>
      </c>
      <c r="E742" s="3" t="s">
        <v>91</v>
      </c>
      <c r="F742" s="3" t="s">
        <v>139</v>
      </c>
      <c r="G742" s="3" t="s">
        <v>122</v>
      </c>
      <c r="H742" s="3" t="s">
        <v>153</v>
      </c>
      <c r="I742" s="3">
        <v>6</v>
      </c>
      <c r="J742" s="11">
        <v>130</v>
      </c>
      <c r="K742" s="4">
        <v>0</v>
      </c>
      <c r="L742" s="3" t="s">
        <v>95</v>
      </c>
      <c r="M742" s="3">
        <v>14</v>
      </c>
      <c r="N742" s="3">
        <v>9</v>
      </c>
      <c r="O742" s="3">
        <v>5</v>
      </c>
    </row>
    <row r="743" spans="1:15" ht="20" customHeight="1">
      <c r="A743" s="3" t="s">
        <v>1144</v>
      </c>
      <c r="B743" s="2">
        <v>46290</v>
      </c>
      <c r="C743" s="3">
        <v>16</v>
      </c>
      <c r="D743" s="3" t="s">
        <v>303</v>
      </c>
      <c r="E743" s="3" t="s">
        <v>91</v>
      </c>
      <c r="F743" s="3" t="s">
        <v>121</v>
      </c>
      <c r="G743" s="3" t="s">
        <v>110</v>
      </c>
      <c r="H743" s="3" t="s">
        <v>111</v>
      </c>
      <c r="I743" s="3">
        <v>3</v>
      </c>
      <c r="J743" s="11">
        <v>115</v>
      </c>
      <c r="K743" s="4">
        <v>0.15</v>
      </c>
      <c r="L743" s="3" t="s">
        <v>95</v>
      </c>
      <c r="M743" s="3">
        <v>24</v>
      </c>
      <c r="N743" s="3">
        <v>6</v>
      </c>
      <c r="O743" s="3">
        <v>3</v>
      </c>
    </row>
    <row r="744" spans="1:15" ht="20" customHeight="1">
      <c r="A744" s="3" t="s">
        <v>1145</v>
      </c>
      <c r="B744" s="2">
        <v>46290</v>
      </c>
      <c r="C744" s="3">
        <v>9</v>
      </c>
      <c r="D744" s="3" t="s">
        <v>894</v>
      </c>
      <c r="E744" s="3" t="s">
        <v>117</v>
      </c>
      <c r="F744" s="3" t="s">
        <v>98</v>
      </c>
      <c r="G744" s="3" t="s">
        <v>110</v>
      </c>
      <c r="H744" s="3" t="s">
        <v>206</v>
      </c>
      <c r="I744" s="3">
        <v>2</v>
      </c>
      <c r="J744" s="11">
        <v>220</v>
      </c>
      <c r="K744" s="4">
        <v>0.15</v>
      </c>
      <c r="L744" s="3" t="s">
        <v>95</v>
      </c>
      <c r="M744" s="3">
        <v>34</v>
      </c>
      <c r="N744" s="3">
        <v>7</v>
      </c>
      <c r="O744" s="3">
        <v>5</v>
      </c>
    </row>
    <row r="745" spans="1:15" ht="20" customHeight="1">
      <c r="A745" s="3" t="s">
        <v>1146</v>
      </c>
      <c r="B745" s="2">
        <v>46290</v>
      </c>
      <c r="C745" s="3">
        <v>10</v>
      </c>
      <c r="D745" s="3" t="s">
        <v>250</v>
      </c>
      <c r="E745" s="3" t="s">
        <v>91</v>
      </c>
      <c r="F745" s="3" t="s">
        <v>109</v>
      </c>
      <c r="G745" s="3" t="s">
        <v>135</v>
      </c>
      <c r="H745" s="3" t="s">
        <v>136</v>
      </c>
      <c r="I745" s="3">
        <v>5</v>
      </c>
      <c r="J745" s="11">
        <v>40</v>
      </c>
      <c r="K745" s="4">
        <v>0</v>
      </c>
      <c r="L745" s="3" t="s">
        <v>95</v>
      </c>
      <c r="M745" s="3">
        <v>16</v>
      </c>
      <c r="N745" s="3">
        <v>10</v>
      </c>
      <c r="O745" s="3">
        <v>4</v>
      </c>
    </row>
    <row r="746" spans="1:15" ht="20" customHeight="1">
      <c r="A746" s="3" t="s">
        <v>1147</v>
      </c>
      <c r="B746" s="2">
        <v>46290</v>
      </c>
      <c r="C746" s="3">
        <v>14</v>
      </c>
      <c r="D746" s="3" t="s">
        <v>353</v>
      </c>
      <c r="E746" s="3" t="s">
        <v>91</v>
      </c>
      <c r="F746" s="3" t="s">
        <v>109</v>
      </c>
      <c r="G746" s="3" t="s">
        <v>122</v>
      </c>
      <c r="H746" s="3" t="s">
        <v>153</v>
      </c>
      <c r="I746" s="3">
        <v>4</v>
      </c>
      <c r="J746" s="11">
        <v>130</v>
      </c>
      <c r="K746" s="4">
        <v>0</v>
      </c>
      <c r="L746" s="3" t="s">
        <v>95</v>
      </c>
      <c r="M746" s="3">
        <v>18</v>
      </c>
      <c r="N746" s="3">
        <v>13</v>
      </c>
      <c r="O746" s="3">
        <v>4</v>
      </c>
    </row>
    <row r="747" spans="1:15" ht="20" customHeight="1">
      <c r="A747" s="3" t="s">
        <v>1148</v>
      </c>
      <c r="B747" s="2">
        <v>46290</v>
      </c>
      <c r="C747" s="3">
        <v>9</v>
      </c>
      <c r="D747" s="3" t="s">
        <v>664</v>
      </c>
      <c r="E747" s="3" t="s">
        <v>91</v>
      </c>
      <c r="F747" s="3" t="s">
        <v>109</v>
      </c>
      <c r="G747" s="3" t="s">
        <v>99</v>
      </c>
      <c r="H747" s="3" t="s">
        <v>100</v>
      </c>
      <c r="I747" s="3">
        <v>3</v>
      </c>
      <c r="J747" s="11">
        <v>120</v>
      </c>
      <c r="K747" s="4">
        <v>0</v>
      </c>
      <c r="L747" s="3" t="s">
        <v>95</v>
      </c>
      <c r="M747" s="3">
        <v>15</v>
      </c>
      <c r="N747" s="3">
        <v>10</v>
      </c>
      <c r="O747" s="3">
        <v>5</v>
      </c>
    </row>
    <row r="748" spans="1:15" ht="20" customHeight="1">
      <c r="A748" s="3" t="s">
        <v>1149</v>
      </c>
      <c r="B748" s="2">
        <v>46290</v>
      </c>
      <c r="C748" s="3">
        <v>21</v>
      </c>
      <c r="D748" s="3" t="s">
        <v>216</v>
      </c>
      <c r="E748" s="3" t="s">
        <v>91</v>
      </c>
      <c r="F748" s="3" t="s">
        <v>98</v>
      </c>
      <c r="G748" s="3" t="s">
        <v>99</v>
      </c>
      <c r="H748" s="3" t="s">
        <v>130</v>
      </c>
      <c r="I748" s="3">
        <v>4</v>
      </c>
      <c r="J748" s="11">
        <v>85</v>
      </c>
      <c r="K748" s="4">
        <v>0</v>
      </c>
      <c r="L748" s="3" t="s">
        <v>95</v>
      </c>
      <c r="M748" s="3">
        <v>27</v>
      </c>
      <c r="N748" s="3">
        <v>10</v>
      </c>
      <c r="O748" s="3">
        <v>3</v>
      </c>
    </row>
    <row r="749" spans="1:15" ht="20" customHeight="1">
      <c r="A749" s="3" t="s">
        <v>1150</v>
      </c>
      <c r="B749" s="2">
        <v>46290</v>
      </c>
      <c r="C749" s="3">
        <v>12</v>
      </c>
      <c r="D749" s="3" t="s">
        <v>365</v>
      </c>
      <c r="E749" s="3" t="s">
        <v>91</v>
      </c>
      <c r="F749" s="3" t="s">
        <v>92</v>
      </c>
      <c r="G749" s="3" t="s">
        <v>135</v>
      </c>
      <c r="H749" s="3" t="s">
        <v>136</v>
      </c>
      <c r="I749" s="3">
        <v>5</v>
      </c>
      <c r="J749" s="11">
        <v>40</v>
      </c>
      <c r="K749" s="4">
        <v>0</v>
      </c>
      <c r="L749" s="3" t="s">
        <v>101</v>
      </c>
      <c r="M749" s="3"/>
      <c r="N749" s="3"/>
      <c r="O749" s="3"/>
    </row>
    <row r="750" spans="1:15" ht="20" customHeight="1">
      <c r="A750" s="3" t="s">
        <v>1151</v>
      </c>
      <c r="B750" s="2">
        <v>46290</v>
      </c>
      <c r="C750" s="3">
        <v>11</v>
      </c>
      <c r="D750" s="3" t="s">
        <v>592</v>
      </c>
      <c r="E750" s="3" t="s">
        <v>91</v>
      </c>
      <c r="F750" s="3" t="s">
        <v>92</v>
      </c>
      <c r="G750" s="3" t="s">
        <v>110</v>
      </c>
      <c r="H750" s="3" t="s">
        <v>114</v>
      </c>
      <c r="I750" s="3">
        <v>2</v>
      </c>
      <c r="J750" s="11">
        <v>145</v>
      </c>
      <c r="K750" s="4">
        <v>0.1</v>
      </c>
      <c r="L750" s="3" t="s">
        <v>95</v>
      </c>
      <c r="M750" s="3">
        <v>23</v>
      </c>
      <c r="N750" s="3">
        <v>5</v>
      </c>
      <c r="O750" s="3">
        <v>5</v>
      </c>
    </row>
    <row r="751" spans="1:15" ht="20" customHeight="1">
      <c r="A751" s="3" t="s">
        <v>1152</v>
      </c>
      <c r="B751" s="2">
        <v>46290</v>
      </c>
      <c r="C751" s="3">
        <v>7</v>
      </c>
      <c r="D751" s="3" t="s">
        <v>125</v>
      </c>
      <c r="E751" s="3" t="s">
        <v>91</v>
      </c>
      <c r="F751" s="3" t="s">
        <v>92</v>
      </c>
      <c r="G751" s="3" t="s">
        <v>110</v>
      </c>
      <c r="H751" s="3" t="s">
        <v>206</v>
      </c>
      <c r="I751" s="3">
        <v>2</v>
      </c>
      <c r="J751" s="11">
        <v>220</v>
      </c>
      <c r="K751" s="4">
        <v>0</v>
      </c>
      <c r="L751" s="3" t="s">
        <v>95</v>
      </c>
      <c r="M751" s="3">
        <v>26</v>
      </c>
      <c r="N751" s="3">
        <v>6</v>
      </c>
      <c r="O751" s="3">
        <v>3</v>
      </c>
    </row>
    <row r="752" spans="1:15" ht="20" customHeight="1">
      <c r="A752" s="3" t="s">
        <v>1153</v>
      </c>
      <c r="B752" s="2">
        <v>46291</v>
      </c>
      <c r="C752" s="3">
        <v>6</v>
      </c>
      <c r="D752" s="3" t="s">
        <v>460</v>
      </c>
      <c r="E752" s="3" t="s">
        <v>117</v>
      </c>
      <c r="F752" s="3" t="s">
        <v>121</v>
      </c>
      <c r="G752" s="3" t="s">
        <v>99</v>
      </c>
      <c r="H752" s="3" t="s">
        <v>130</v>
      </c>
      <c r="I752" s="3">
        <v>6</v>
      </c>
      <c r="J752" s="11">
        <v>85</v>
      </c>
      <c r="K752" s="4">
        <v>0.1</v>
      </c>
      <c r="L752" s="3" t="s">
        <v>101</v>
      </c>
      <c r="M752" s="3"/>
      <c r="N752" s="3"/>
      <c r="O752" s="3"/>
    </row>
    <row r="753" spans="1:15" ht="20" customHeight="1">
      <c r="A753" s="3" t="s">
        <v>1154</v>
      </c>
      <c r="B753" s="2">
        <v>46291</v>
      </c>
      <c r="C753" s="3">
        <v>10</v>
      </c>
      <c r="D753" s="3" t="s">
        <v>423</v>
      </c>
      <c r="E753" s="3" t="s">
        <v>91</v>
      </c>
      <c r="F753" s="3" t="s">
        <v>98</v>
      </c>
      <c r="G753" s="3" t="s">
        <v>99</v>
      </c>
      <c r="H753" s="3" t="s">
        <v>130</v>
      </c>
      <c r="I753" s="3">
        <v>1</v>
      </c>
      <c r="J753" s="11">
        <v>85</v>
      </c>
      <c r="K753" s="4">
        <v>0</v>
      </c>
      <c r="L753" s="3" t="s">
        <v>95</v>
      </c>
      <c r="M753" s="3">
        <v>16</v>
      </c>
      <c r="N753" s="3">
        <v>15</v>
      </c>
      <c r="O753" s="3">
        <v>3</v>
      </c>
    </row>
    <row r="754" spans="1:15" ht="20" customHeight="1">
      <c r="A754" s="3" t="s">
        <v>1155</v>
      </c>
      <c r="B754" s="2">
        <v>46291</v>
      </c>
      <c r="C754" s="3">
        <v>13</v>
      </c>
      <c r="D754" s="3" t="s">
        <v>353</v>
      </c>
      <c r="E754" s="3" t="s">
        <v>91</v>
      </c>
      <c r="F754" s="3" t="s">
        <v>98</v>
      </c>
      <c r="G754" s="3" t="s">
        <v>110</v>
      </c>
      <c r="H754" s="3" t="s">
        <v>114</v>
      </c>
      <c r="I754" s="3">
        <v>5</v>
      </c>
      <c r="J754" s="11">
        <v>145</v>
      </c>
      <c r="K754" s="4">
        <v>0.05</v>
      </c>
      <c r="L754" s="3" t="s">
        <v>95</v>
      </c>
      <c r="M754" s="3">
        <v>22</v>
      </c>
      <c r="N754" s="3">
        <v>14</v>
      </c>
      <c r="O754" s="3">
        <v>4</v>
      </c>
    </row>
    <row r="755" spans="1:15" ht="20" customHeight="1">
      <c r="A755" s="3" t="s">
        <v>1156</v>
      </c>
      <c r="B755" s="2">
        <v>46291</v>
      </c>
      <c r="C755" s="3">
        <v>8</v>
      </c>
      <c r="D755" s="3" t="s">
        <v>1157</v>
      </c>
      <c r="E755" s="3" t="s">
        <v>117</v>
      </c>
      <c r="F755" s="3" t="s">
        <v>139</v>
      </c>
      <c r="G755" s="3" t="s">
        <v>110</v>
      </c>
      <c r="H755" s="3" t="s">
        <v>206</v>
      </c>
      <c r="I755" s="3">
        <v>5</v>
      </c>
      <c r="J755" s="11">
        <v>220</v>
      </c>
      <c r="K755" s="4">
        <v>0</v>
      </c>
      <c r="L755" s="3" t="s">
        <v>95</v>
      </c>
      <c r="M755" s="3">
        <v>14</v>
      </c>
      <c r="N755" s="3">
        <v>14</v>
      </c>
      <c r="O755" s="3">
        <v>5</v>
      </c>
    </row>
    <row r="756" spans="1:15" ht="20" customHeight="1">
      <c r="A756" s="3" t="s">
        <v>1158</v>
      </c>
      <c r="B756" s="2">
        <v>46291</v>
      </c>
      <c r="C756" s="3">
        <v>6</v>
      </c>
      <c r="D756" s="3" t="s">
        <v>1159</v>
      </c>
      <c r="E756" s="3" t="s">
        <v>91</v>
      </c>
      <c r="F756" s="3" t="s">
        <v>139</v>
      </c>
      <c r="G756" s="3" t="s">
        <v>174</v>
      </c>
      <c r="H756" s="3" t="s">
        <v>184</v>
      </c>
      <c r="I756" s="3">
        <v>3</v>
      </c>
      <c r="J756" s="11">
        <v>62</v>
      </c>
      <c r="K756" s="4">
        <v>0</v>
      </c>
      <c r="L756" s="3" t="s">
        <v>95</v>
      </c>
      <c r="M756" s="3">
        <v>28</v>
      </c>
      <c r="N756" s="3">
        <v>4</v>
      </c>
      <c r="O756" s="3">
        <v>4</v>
      </c>
    </row>
    <row r="757" spans="1:15" ht="20" customHeight="1">
      <c r="A757" s="3" t="s">
        <v>1160</v>
      </c>
      <c r="B757" s="2">
        <v>46291</v>
      </c>
      <c r="C757" s="3">
        <v>20</v>
      </c>
      <c r="D757" s="3" t="s">
        <v>683</v>
      </c>
      <c r="E757" s="3" t="s">
        <v>117</v>
      </c>
      <c r="F757" s="3" t="s">
        <v>109</v>
      </c>
      <c r="G757" s="3" t="s">
        <v>93</v>
      </c>
      <c r="H757" s="3" t="s">
        <v>118</v>
      </c>
      <c r="I757" s="3">
        <v>2</v>
      </c>
      <c r="J757" s="11">
        <v>45</v>
      </c>
      <c r="K757" s="4">
        <v>0</v>
      </c>
      <c r="L757" s="3" t="s">
        <v>95</v>
      </c>
      <c r="M757" s="3">
        <v>13</v>
      </c>
      <c r="N757" s="3">
        <v>10</v>
      </c>
      <c r="O757" s="3">
        <v>4</v>
      </c>
    </row>
    <row r="758" spans="1:15" ht="20" customHeight="1">
      <c r="A758" s="3" t="s">
        <v>1161</v>
      </c>
      <c r="B758" s="2">
        <v>46291</v>
      </c>
      <c r="C758" s="3">
        <v>18</v>
      </c>
      <c r="D758" s="3" t="s">
        <v>425</v>
      </c>
      <c r="E758" s="3" t="s">
        <v>91</v>
      </c>
      <c r="F758" s="3" t="s">
        <v>139</v>
      </c>
      <c r="G758" s="3" t="s">
        <v>174</v>
      </c>
      <c r="H758" s="3" t="s">
        <v>184</v>
      </c>
      <c r="I758" s="3">
        <v>6</v>
      </c>
      <c r="J758" s="11">
        <v>62</v>
      </c>
      <c r="K758" s="4">
        <v>0</v>
      </c>
      <c r="L758" s="3" t="s">
        <v>95</v>
      </c>
      <c r="M758" s="3">
        <v>35</v>
      </c>
      <c r="N758" s="3">
        <v>12</v>
      </c>
      <c r="O758" s="3">
        <v>4</v>
      </c>
    </row>
    <row r="759" spans="1:15" ht="20" customHeight="1">
      <c r="A759" s="3" t="s">
        <v>1162</v>
      </c>
      <c r="B759" s="2">
        <v>46291</v>
      </c>
      <c r="C759" s="3">
        <v>20</v>
      </c>
      <c r="D759" s="3" t="s">
        <v>860</v>
      </c>
      <c r="E759" s="3" t="s">
        <v>91</v>
      </c>
      <c r="F759" s="3" t="s">
        <v>139</v>
      </c>
      <c r="G759" s="3" t="s">
        <v>122</v>
      </c>
      <c r="H759" s="3" t="s">
        <v>214</v>
      </c>
      <c r="I759" s="3">
        <v>3</v>
      </c>
      <c r="J759" s="11">
        <v>55</v>
      </c>
      <c r="K759" s="4">
        <v>0</v>
      </c>
      <c r="L759" s="3" t="s">
        <v>101</v>
      </c>
      <c r="M759" s="3"/>
      <c r="N759" s="3"/>
      <c r="O759" s="3"/>
    </row>
    <row r="760" spans="1:15" ht="20" customHeight="1">
      <c r="A760" s="3" t="s">
        <v>1163</v>
      </c>
      <c r="B760" s="2">
        <v>46291</v>
      </c>
      <c r="C760" s="3">
        <v>17</v>
      </c>
      <c r="D760" s="3" t="s">
        <v>813</v>
      </c>
      <c r="E760" s="3" t="s">
        <v>117</v>
      </c>
      <c r="F760" s="3" t="s">
        <v>109</v>
      </c>
      <c r="G760" s="3" t="s">
        <v>99</v>
      </c>
      <c r="H760" s="3" t="s">
        <v>100</v>
      </c>
      <c r="I760" s="3">
        <v>6</v>
      </c>
      <c r="J760" s="11">
        <v>120</v>
      </c>
      <c r="K760" s="4">
        <v>0</v>
      </c>
      <c r="L760" s="3" t="s">
        <v>95</v>
      </c>
      <c r="M760" s="3">
        <v>12</v>
      </c>
      <c r="N760" s="3">
        <v>8</v>
      </c>
      <c r="O760" s="3">
        <v>5</v>
      </c>
    </row>
    <row r="761" spans="1:15" ht="20" customHeight="1">
      <c r="A761" s="3" t="s">
        <v>1164</v>
      </c>
      <c r="B761" s="2">
        <v>46291</v>
      </c>
      <c r="C761" s="3">
        <v>16</v>
      </c>
      <c r="D761" s="3" t="s">
        <v>148</v>
      </c>
      <c r="E761" s="3" t="s">
        <v>91</v>
      </c>
      <c r="F761" s="3" t="s">
        <v>139</v>
      </c>
      <c r="G761" s="3" t="s">
        <v>110</v>
      </c>
      <c r="H761" s="3" t="s">
        <v>206</v>
      </c>
      <c r="I761" s="3">
        <v>2</v>
      </c>
      <c r="J761" s="11">
        <v>220</v>
      </c>
      <c r="K761" s="4">
        <v>0.1</v>
      </c>
      <c r="L761" s="3" t="s">
        <v>95</v>
      </c>
      <c r="M761" s="3">
        <v>20</v>
      </c>
      <c r="N761" s="3">
        <v>7</v>
      </c>
      <c r="O761" s="3">
        <v>5</v>
      </c>
    </row>
    <row r="762" spans="1:15" ht="20" customHeight="1">
      <c r="A762" s="3" t="s">
        <v>1165</v>
      </c>
      <c r="B762" s="2">
        <v>46291</v>
      </c>
      <c r="C762" s="3">
        <v>18</v>
      </c>
      <c r="D762" s="3" t="s">
        <v>285</v>
      </c>
      <c r="E762" s="3" t="s">
        <v>91</v>
      </c>
      <c r="F762" s="3" t="s">
        <v>98</v>
      </c>
      <c r="G762" s="3" t="s">
        <v>99</v>
      </c>
      <c r="H762" s="3" t="s">
        <v>130</v>
      </c>
      <c r="I762" s="3">
        <v>6</v>
      </c>
      <c r="J762" s="11">
        <v>85</v>
      </c>
      <c r="K762" s="4">
        <v>0.05</v>
      </c>
      <c r="L762" s="3" t="s">
        <v>95</v>
      </c>
      <c r="M762" s="3">
        <v>21</v>
      </c>
      <c r="N762" s="3">
        <v>12</v>
      </c>
      <c r="O762" s="3">
        <v>4</v>
      </c>
    </row>
    <row r="763" spans="1:15" ht="20" customHeight="1">
      <c r="A763" s="3" t="s">
        <v>1166</v>
      </c>
      <c r="B763" s="2">
        <v>46291</v>
      </c>
      <c r="C763" s="3">
        <v>18</v>
      </c>
      <c r="D763" s="3" t="s">
        <v>295</v>
      </c>
      <c r="E763" s="3" t="s">
        <v>117</v>
      </c>
      <c r="F763" s="3" t="s">
        <v>109</v>
      </c>
      <c r="G763" s="3" t="s">
        <v>135</v>
      </c>
      <c r="H763" s="3" t="s">
        <v>217</v>
      </c>
      <c r="I763" s="3">
        <v>1</v>
      </c>
      <c r="J763" s="11">
        <v>65</v>
      </c>
      <c r="K763" s="4">
        <v>0.15</v>
      </c>
      <c r="L763" s="3" t="s">
        <v>95</v>
      </c>
      <c r="M763" s="3">
        <v>19</v>
      </c>
      <c r="N763" s="3">
        <v>6</v>
      </c>
      <c r="O763" s="3">
        <v>4</v>
      </c>
    </row>
    <row r="764" spans="1:15" ht="20" customHeight="1">
      <c r="A764" s="3" t="s">
        <v>1167</v>
      </c>
      <c r="B764" s="2">
        <v>46291</v>
      </c>
      <c r="C764" s="3">
        <v>16</v>
      </c>
      <c r="D764" s="3" t="s">
        <v>717</v>
      </c>
      <c r="E764" s="3" t="s">
        <v>117</v>
      </c>
      <c r="F764" s="3" t="s">
        <v>98</v>
      </c>
      <c r="G764" s="3" t="s">
        <v>93</v>
      </c>
      <c r="H764" s="3" t="s">
        <v>146</v>
      </c>
      <c r="I764" s="3">
        <v>1</v>
      </c>
      <c r="J764" s="11">
        <v>110</v>
      </c>
      <c r="K764" s="4">
        <v>0</v>
      </c>
      <c r="L764" s="3" t="s">
        <v>101</v>
      </c>
      <c r="M764" s="3"/>
      <c r="N764" s="3"/>
      <c r="O764" s="3"/>
    </row>
    <row r="765" spans="1:15" ht="20" customHeight="1">
      <c r="A765" s="3" t="s">
        <v>1168</v>
      </c>
      <c r="B765" s="2">
        <v>46291</v>
      </c>
      <c r="C765" s="3">
        <v>7</v>
      </c>
      <c r="D765" s="3" t="s">
        <v>374</v>
      </c>
      <c r="E765" s="3" t="s">
        <v>91</v>
      </c>
      <c r="F765" s="3" t="s">
        <v>92</v>
      </c>
      <c r="G765" s="3" t="s">
        <v>122</v>
      </c>
      <c r="H765" s="3" t="s">
        <v>153</v>
      </c>
      <c r="I765" s="3">
        <v>1</v>
      </c>
      <c r="J765" s="11">
        <v>130</v>
      </c>
      <c r="K765" s="4">
        <v>0.15</v>
      </c>
      <c r="L765" s="3" t="s">
        <v>95</v>
      </c>
      <c r="M765" s="3">
        <v>37</v>
      </c>
      <c r="N765" s="3">
        <v>12</v>
      </c>
      <c r="O765" s="3">
        <v>3</v>
      </c>
    </row>
    <row r="766" spans="1:15" ht="20" customHeight="1">
      <c r="A766" s="3" t="s">
        <v>1169</v>
      </c>
      <c r="B766" s="2">
        <v>46291</v>
      </c>
      <c r="C766" s="3">
        <v>16</v>
      </c>
      <c r="D766" s="3" t="s">
        <v>308</v>
      </c>
      <c r="E766" s="3" t="s">
        <v>91</v>
      </c>
      <c r="F766" s="3" t="s">
        <v>92</v>
      </c>
      <c r="G766" s="3" t="s">
        <v>135</v>
      </c>
      <c r="H766" s="3" t="s">
        <v>162</v>
      </c>
      <c r="I766" s="3">
        <v>6</v>
      </c>
      <c r="J766" s="11">
        <v>180</v>
      </c>
      <c r="K766" s="4">
        <v>0</v>
      </c>
      <c r="L766" s="3" t="s">
        <v>101</v>
      </c>
      <c r="M766" s="3"/>
      <c r="N766" s="3"/>
      <c r="O766" s="3"/>
    </row>
    <row r="767" spans="1:15" ht="20" customHeight="1">
      <c r="A767" s="3" t="s">
        <v>1170</v>
      </c>
      <c r="B767" s="2">
        <v>46291</v>
      </c>
      <c r="C767" s="3">
        <v>15</v>
      </c>
      <c r="D767" s="3" t="s">
        <v>959</v>
      </c>
      <c r="E767" s="3" t="s">
        <v>91</v>
      </c>
      <c r="F767" s="3" t="s">
        <v>1315</v>
      </c>
      <c r="G767" s="3" t="s">
        <v>122</v>
      </c>
      <c r="H767" s="3" t="s">
        <v>214</v>
      </c>
      <c r="I767" s="3">
        <v>4</v>
      </c>
      <c r="J767" s="11">
        <v>55</v>
      </c>
      <c r="K767" s="4">
        <v>0</v>
      </c>
      <c r="L767" s="3" t="s">
        <v>95</v>
      </c>
      <c r="M767" s="3">
        <v>15</v>
      </c>
      <c r="N767" s="3">
        <v>15</v>
      </c>
      <c r="O767" s="3">
        <v>4</v>
      </c>
    </row>
    <row r="768" spans="1:15" ht="20" customHeight="1">
      <c r="A768" s="3" t="s">
        <v>1171</v>
      </c>
      <c r="B768" s="2">
        <v>46291</v>
      </c>
      <c r="C768" s="3">
        <v>17</v>
      </c>
      <c r="D768" s="3" t="s">
        <v>188</v>
      </c>
      <c r="E768" s="3" t="s">
        <v>117</v>
      </c>
      <c r="F768" s="3" t="s">
        <v>121</v>
      </c>
      <c r="G768" s="3" t="s">
        <v>110</v>
      </c>
      <c r="H768" s="3" t="s">
        <v>206</v>
      </c>
      <c r="I768" s="3">
        <v>5</v>
      </c>
      <c r="J768" s="11">
        <v>220</v>
      </c>
      <c r="K768" s="4">
        <v>0</v>
      </c>
      <c r="L768" s="3" t="s">
        <v>95</v>
      </c>
      <c r="M768" s="3">
        <v>32</v>
      </c>
      <c r="N768" s="3">
        <v>10</v>
      </c>
      <c r="O768" s="3">
        <v>4</v>
      </c>
    </row>
    <row r="769" spans="1:15" ht="20" customHeight="1">
      <c r="A769" s="3" t="s">
        <v>1172</v>
      </c>
      <c r="B769" s="2">
        <v>46291</v>
      </c>
      <c r="C769" s="3">
        <v>10</v>
      </c>
      <c r="D769" s="3" t="s">
        <v>228</v>
      </c>
      <c r="E769" s="3" t="s">
        <v>91</v>
      </c>
      <c r="F769" s="3" t="s">
        <v>98</v>
      </c>
      <c r="G769" s="3" t="s">
        <v>135</v>
      </c>
      <c r="H769" s="3" t="s">
        <v>136</v>
      </c>
      <c r="I769" s="3">
        <v>3</v>
      </c>
      <c r="J769" s="11">
        <v>40</v>
      </c>
      <c r="K769" s="4">
        <v>0.05</v>
      </c>
      <c r="L769" s="3" t="s">
        <v>95</v>
      </c>
      <c r="M769" s="3">
        <v>18</v>
      </c>
      <c r="N769" s="3">
        <v>7</v>
      </c>
      <c r="O769" s="3">
        <v>4</v>
      </c>
    </row>
    <row r="770" spans="1:15" ht="20" customHeight="1">
      <c r="A770" s="3" t="s">
        <v>1173</v>
      </c>
      <c r="B770" s="2">
        <v>46291</v>
      </c>
      <c r="C770" s="3">
        <v>20</v>
      </c>
      <c r="D770" s="3" t="s">
        <v>238</v>
      </c>
      <c r="E770" s="3" t="s">
        <v>91</v>
      </c>
      <c r="F770" s="3" t="s">
        <v>98</v>
      </c>
      <c r="G770" s="3" t="s">
        <v>110</v>
      </c>
      <c r="H770" s="3" t="s">
        <v>114</v>
      </c>
      <c r="I770" s="3">
        <v>6</v>
      </c>
      <c r="J770" s="11">
        <v>145</v>
      </c>
      <c r="K770" s="4">
        <v>0</v>
      </c>
      <c r="L770" s="3" t="s">
        <v>95</v>
      </c>
      <c r="M770" s="3">
        <v>19</v>
      </c>
      <c r="N770" s="3">
        <v>14</v>
      </c>
      <c r="O770" s="3">
        <v>4</v>
      </c>
    </row>
    <row r="771" spans="1:15" ht="20" customHeight="1">
      <c r="A771" s="3" t="s">
        <v>1174</v>
      </c>
      <c r="B771" s="2">
        <v>46291</v>
      </c>
      <c r="C771" s="3">
        <v>22</v>
      </c>
      <c r="D771" s="3" t="s">
        <v>262</v>
      </c>
      <c r="E771" s="3" t="s">
        <v>117</v>
      </c>
      <c r="F771" s="3" t="s">
        <v>139</v>
      </c>
      <c r="G771" s="3" t="s">
        <v>174</v>
      </c>
      <c r="H771" s="3" t="s">
        <v>184</v>
      </c>
      <c r="I771" s="3">
        <v>2</v>
      </c>
      <c r="J771" s="11">
        <v>62</v>
      </c>
      <c r="K771" s="4">
        <v>0</v>
      </c>
      <c r="L771" s="3" t="s">
        <v>95</v>
      </c>
      <c r="M771" s="3">
        <v>29</v>
      </c>
      <c r="N771" s="3">
        <v>10</v>
      </c>
      <c r="O771" s="3">
        <v>4</v>
      </c>
    </row>
    <row r="772" spans="1:15" ht="20" customHeight="1">
      <c r="A772" s="3" t="s">
        <v>1175</v>
      </c>
      <c r="B772" s="2">
        <v>46291</v>
      </c>
      <c r="C772" s="3">
        <v>19</v>
      </c>
      <c r="D772" s="3" t="s">
        <v>406</v>
      </c>
      <c r="E772" s="3" t="s">
        <v>91</v>
      </c>
      <c r="F772" s="3" t="s">
        <v>109</v>
      </c>
      <c r="G772" s="3" t="s">
        <v>135</v>
      </c>
      <c r="H772" s="3" t="s">
        <v>136</v>
      </c>
      <c r="I772" s="3">
        <v>3</v>
      </c>
      <c r="J772" s="11">
        <v>40</v>
      </c>
      <c r="K772" s="4">
        <v>0</v>
      </c>
      <c r="L772" s="3" t="s">
        <v>95</v>
      </c>
      <c r="M772" s="3">
        <v>22</v>
      </c>
      <c r="N772" s="3">
        <v>5</v>
      </c>
      <c r="O772" s="3">
        <v>4</v>
      </c>
    </row>
    <row r="773" spans="1:15" ht="20" customHeight="1">
      <c r="A773" s="3" t="s">
        <v>1176</v>
      </c>
      <c r="B773" s="2">
        <v>46291</v>
      </c>
      <c r="C773" s="3">
        <v>23</v>
      </c>
      <c r="D773" s="3" t="s">
        <v>992</v>
      </c>
      <c r="E773" s="3" t="s">
        <v>91</v>
      </c>
      <c r="F773" s="3" t="s">
        <v>92</v>
      </c>
      <c r="G773" s="3" t="s">
        <v>99</v>
      </c>
      <c r="H773" s="3" t="s">
        <v>104</v>
      </c>
      <c r="I773" s="3">
        <v>1</v>
      </c>
      <c r="J773" s="11">
        <v>240</v>
      </c>
      <c r="K773" s="4">
        <v>0.05</v>
      </c>
      <c r="L773" s="3" t="s">
        <v>95</v>
      </c>
      <c r="M773" s="3">
        <v>32</v>
      </c>
      <c r="N773" s="3">
        <v>7</v>
      </c>
      <c r="O773" s="3">
        <v>5</v>
      </c>
    </row>
    <row r="774" spans="1:15" ht="20" customHeight="1">
      <c r="A774" s="3" t="s">
        <v>1177</v>
      </c>
      <c r="B774" s="2">
        <v>46291</v>
      </c>
      <c r="C774" s="3">
        <v>17</v>
      </c>
      <c r="D774" s="3" t="s">
        <v>314</v>
      </c>
      <c r="E774" s="3" t="s">
        <v>117</v>
      </c>
      <c r="F774" s="3" t="s">
        <v>121</v>
      </c>
      <c r="G774" s="3" t="s">
        <v>135</v>
      </c>
      <c r="H774" s="3" t="s">
        <v>136</v>
      </c>
      <c r="I774" s="3">
        <v>4</v>
      </c>
      <c r="J774" s="11">
        <v>40</v>
      </c>
      <c r="K774" s="4">
        <v>0.05</v>
      </c>
      <c r="L774" s="3" t="s">
        <v>101</v>
      </c>
      <c r="M774" s="3"/>
      <c r="N774" s="3"/>
      <c r="O774" s="3"/>
    </row>
    <row r="775" spans="1:15" ht="20" customHeight="1">
      <c r="A775" s="3" t="s">
        <v>1178</v>
      </c>
      <c r="B775" s="2">
        <v>46291</v>
      </c>
      <c r="C775" s="3">
        <v>11</v>
      </c>
      <c r="D775" s="3" t="s">
        <v>677</v>
      </c>
      <c r="E775" s="3" t="s">
        <v>117</v>
      </c>
      <c r="F775" s="3" t="s">
        <v>139</v>
      </c>
      <c r="G775" s="3" t="s">
        <v>122</v>
      </c>
      <c r="H775" s="3" t="s">
        <v>153</v>
      </c>
      <c r="I775" s="3">
        <v>5</v>
      </c>
      <c r="J775" s="11">
        <v>130</v>
      </c>
      <c r="K775" s="4">
        <v>0.05</v>
      </c>
      <c r="L775" s="3" t="s">
        <v>95</v>
      </c>
      <c r="M775" s="3">
        <v>25</v>
      </c>
      <c r="N775" s="3">
        <v>12</v>
      </c>
      <c r="O775" s="3">
        <v>5</v>
      </c>
    </row>
    <row r="776" spans="1:15" ht="20" customHeight="1">
      <c r="A776" s="3" t="s">
        <v>1179</v>
      </c>
      <c r="B776" s="2">
        <v>46291</v>
      </c>
      <c r="C776" s="3">
        <v>18</v>
      </c>
      <c r="D776" s="3" t="s">
        <v>125</v>
      </c>
      <c r="E776" s="3" t="s">
        <v>91</v>
      </c>
      <c r="F776" s="3" t="s">
        <v>109</v>
      </c>
      <c r="G776" s="3" t="s">
        <v>93</v>
      </c>
      <c r="H776" s="3" t="s">
        <v>94</v>
      </c>
      <c r="I776" s="3">
        <v>6</v>
      </c>
      <c r="J776" s="11">
        <v>95</v>
      </c>
      <c r="K776" s="4">
        <v>0</v>
      </c>
      <c r="L776" s="3" t="s">
        <v>101</v>
      </c>
      <c r="M776" s="3"/>
      <c r="N776" s="3"/>
      <c r="O776" s="3"/>
    </row>
    <row r="777" spans="1:15" ht="20" customHeight="1">
      <c r="A777" s="3" t="s">
        <v>1180</v>
      </c>
      <c r="B777" s="2">
        <v>46291</v>
      </c>
      <c r="C777" s="3">
        <v>9</v>
      </c>
      <c r="D777" s="3" t="s">
        <v>1181</v>
      </c>
      <c r="E777" s="3" t="s">
        <v>91</v>
      </c>
      <c r="F777" s="3" t="s">
        <v>92</v>
      </c>
      <c r="G777" s="3" t="s">
        <v>110</v>
      </c>
      <c r="H777" s="3" t="s">
        <v>206</v>
      </c>
      <c r="I777" s="3">
        <v>5</v>
      </c>
      <c r="J777" s="11">
        <v>220</v>
      </c>
      <c r="K777" s="4">
        <v>0</v>
      </c>
      <c r="L777" s="3" t="s">
        <v>95</v>
      </c>
      <c r="M777" s="3">
        <v>34</v>
      </c>
      <c r="N777" s="3">
        <v>15</v>
      </c>
      <c r="O777" s="3">
        <v>5</v>
      </c>
    </row>
    <row r="778" spans="1:15" ht="20" customHeight="1">
      <c r="A778" s="3" t="s">
        <v>1182</v>
      </c>
      <c r="B778" s="2">
        <v>46291</v>
      </c>
      <c r="C778" s="3">
        <v>17</v>
      </c>
      <c r="D778" s="3" t="s">
        <v>492</v>
      </c>
      <c r="E778" s="3" t="s">
        <v>91</v>
      </c>
      <c r="F778" s="3" t="s">
        <v>139</v>
      </c>
      <c r="G778" s="3" t="s">
        <v>99</v>
      </c>
      <c r="H778" s="3" t="s">
        <v>130</v>
      </c>
      <c r="I778" s="3">
        <v>5</v>
      </c>
      <c r="J778" s="11">
        <v>85</v>
      </c>
      <c r="K778" s="4">
        <v>0.15</v>
      </c>
      <c r="L778" s="3" t="s">
        <v>95</v>
      </c>
      <c r="M778" s="3">
        <v>18</v>
      </c>
      <c r="N778" s="3">
        <v>12</v>
      </c>
      <c r="O778" s="3">
        <v>4</v>
      </c>
    </row>
    <row r="779" spans="1:15" ht="20" customHeight="1">
      <c r="A779" s="3" t="s">
        <v>1183</v>
      </c>
      <c r="B779" s="2">
        <v>46291</v>
      </c>
      <c r="C779" s="3">
        <v>12</v>
      </c>
      <c r="D779" s="3" t="s">
        <v>236</v>
      </c>
      <c r="E779" s="3" t="s">
        <v>91</v>
      </c>
      <c r="F779" s="3" t="s">
        <v>139</v>
      </c>
      <c r="G779" s="3" t="s">
        <v>93</v>
      </c>
      <c r="H779" s="3" t="s">
        <v>146</v>
      </c>
      <c r="I779" s="3">
        <v>2</v>
      </c>
      <c r="J779" s="11">
        <v>110</v>
      </c>
      <c r="K779" s="4">
        <v>0</v>
      </c>
      <c r="L779" s="3" t="s">
        <v>95</v>
      </c>
      <c r="M779" s="3">
        <v>22</v>
      </c>
      <c r="N779" s="3">
        <v>14</v>
      </c>
      <c r="O779" s="3">
        <v>5</v>
      </c>
    </row>
    <row r="780" spans="1:15" ht="20" customHeight="1">
      <c r="A780" s="3" t="s">
        <v>1184</v>
      </c>
      <c r="B780" s="2">
        <v>46291</v>
      </c>
      <c r="C780" s="3">
        <v>9</v>
      </c>
      <c r="D780" s="3" t="s">
        <v>788</v>
      </c>
      <c r="E780" s="3" t="s">
        <v>91</v>
      </c>
      <c r="F780" s="3" t="s">
        <v>121</v>
      </c>
      <c r="G780" s="3" t="s">
        <v>122</v>
      </c>
      <c r="H780" s="3" t="s">
        <v>153</v>
      </c>
      <c r="I780" s="3">
        <v>6</v>
      </c>
      <c r="J780" s="11">
        <v>130</v>
      </c>
      <c r="K780" s="4">
        <v>0</v>
      </c>
      <c r="L780" s="3" t="s">
        <v>95</v>
      </c>
      <c r="M780" s="3">
        <v>36</v>
      </c>
      <c r="N780" s="3">
        <v>6</v>
      </c>
      <c r="O780" s="3">
        <v>5</v>
      </c>
    </row>
    <row r="781" spans="1:15" ht="20" customHeight="1">
      <c r="A781" s="3" t="s">
        <v>1185</v>
      </c>
      <c r="B781" s="2">
        <v>46291</v>
      </c>
      <c r="C781" s="3">
        <v>22</v>
      </c>
      <c r="D781" s="3" t="s">
        <v>242</v>
      </c>
      <c r="E781" s="3" t="s">
        <v>91</v>
      </c>
      <c r="F781" s="3" t="s">
        <v>139</v>
      </c>
      <c r="G781" s="3" t="s">
        <v>110</v>
      </c>
      <c r="H781" s="3" t="s">
        <v>114</v>
      </c>
      <c r="I781" s="3">
        <v>1</v>
      </c>
      <c r="J781" s="11">
        <v>145</v>
      </c>
      <c r="K781" s="4">
        <v>0.05</v>
      </c>
      <c r="L781" s="3" t="s">
        <v>95</v>
      </c>
      <c r="M781" s="3">
        <v>32</v>
      </c>
      <c r="N781" s="3">
        <v>8</v>
      </c>
      <c r="O781" s="3">
        <v>5</v>
      </c>
    </row>
    <row r="782" spans="1:15" ht="20" customHeight="1">
      <c r="A782" s="3" t="s">
        <v>1186</v>
      </c>
      <c r="B782" s="2">
        <v>46292</v>
      </c>
      <c r="C782" s="3">
        <v>18</v>
      </c>
      <c r="D782" s="3" t="s">
        <v>181</v>
      </c>
      <c r="E782" s="3" t="s">
        <v>117</v>
      </c>
      <c r="F782" s="3" t="s">
        <v>98</v>
      </c>
      <c r="G782" s="3" t="s">
        <v>93</v>
      </c>
      <c r="H782" s="3" t="s">
        <v>94</v>
      </c>
      <c r="I782" s="3">
        <v>3</v>
      </c>
      <c r="J782" s="11">
        <v>95</v>
      </c>
      <c r="K782" s="4">
        <v>0</v>
      </c>
      <c r="L782" s="3" t="s">
        <v>1311</v>
      </c>
      <c r="M782" s="3">
        <v>35</v>
      </c>
      <c r="N782" s="3">
        <v>14</v>
      </c>
      <c r="O782" s="3">
        <v>3</v>
      </c>
    </row>
    <row r="783" spans="1:15" ht="20" customHeight="1">
      <c r="A783" s="3" t="s">
        <v>1187</v>
      </c>
      <c r="B783" s="2">
        <v>46292</v>
      </c>
      <c r="C783" s="3">
        <v>19</v>
      </c>
      <c r="D783" s="3" t="s">
        <v>293</v>
      </c>
      <c r="E783" s="3" t="s">
        <v>91</v>
      </c>
      <c r="F783" s="3" t="s">
        <v>139</v>
      </c>
      <c r="G783" s="3" t="s">
        <v>110</v>
      </c>
      <c r="H783" s="3" t="s">
        <v>114</v>
      </c>
      <c r="I783" s="3">
        <v>6</v>
      </c>
      <c r="J783" s="11">
        <v>145</v>
      </c>
      <c r="K783" s="4">
        <v>0.05</v>
      </c>
      <c r="L783" s="3" t="s">
        <v>95</v>
      </c>
      <c r="M783" s="3">
        <v>15</v>
      </c>
      <c r="N783" s="3">
        <v>9</v>
      </c>
      <c r="O783" s="3">
        <v>5</v>
      </c>
    </row>
    <row r="784" spans="1:15" ht="20" customHeight="1">
      <c r="A784" s="3" t="s">
        <v>1188</v>
      </c>
      <c r="B784" s="2">
        <v>46292</v>
      </c>
      <c r="C784" s="3">
        <v>7</v>
      </c>
      <c r="D784" s="3" t="s">
        <v>134</v>
      </c>
      <c r="E784" s="3" t="s">
        <v>91</v>
      </c>
      <c r="F784" s="3" t="s">
        <v>98</v>
      </c>
      <c r="G784" s="3" t="s">
        <v>135</v>
      </c>
      <c r="H784" s="3" t="s">
        <v>136</v>
      </c>
      <c r="I784" s="3">
        <v>3</v>
      </c>
      <c r="J784" s="11">
        <v>40</v>
      </c>
      <c r="K784" s="4">
        <v>0.1</v>
      </c>
      <c r="L784" s="3" t="s">
        <v>95</v>
      </c>
      <c r="M784" s="3">
        <v>31</v>
      </c>
      <c r="N784" s="3">
        <v>12</v>
      </c>
      <c r="O784" s="3">
        <v>4</v>
      </c>
    </row>
    <row r="785" spans="1:15" ht="20" customHeight="1">
      <c r="A785" s="3" t="s">
        <v>1189</v>
      </c>
      <c r="B785" s="2">
        <v>46292</v>
      </c>
      <c r="C785" s="3">
        <v>13</v>
      </c>
      <c r="D785" s="3" t="s">
        <v>408</v>
      </c>
      <c r="E785" s="3" t="s">
        <v>117</v>
      </c>
      <c r="F785" s="3" t="s">
        <v>98</v>
      </c>
      <c r="G785" s="3" t="s">
        <v>110</v>
      </c>
      <c r="H785" s="3" t="s">
        <v>111</v>
      </c>
      <c r="I785" s="3">
        <v>3</v>
      </c>
      <c r="J785" s="11">
        <v>115</v>
      </c>
      <c r="K785" s="4">
        <v>0</v>
      </c>
      <c r="L785" s="3" t="s">
        <v>95</v>
      </c>
      <c r="M785" s="3">
        <v>20</v>
      </c>
      <c r="N785" s="3">
        <v>10</v>
      </c>
      <c r="O785" s="3">
        <v>4</v>
      </c>
    </row>
    <row r="786" spans="1:15" ht="20" customHeight="1">
      <c r="A786" s="3" t="s">
        <v>1190</v>
      </c>
      <c r="B786" s="2">
        <v>46292</v>
      </c>
      <c r="C786" s="3">
        <v>23</v>
      </c>
      <c r="D786" s="3" t="s">
        <v>222</v>
      </c>
      <c r="E786" s="3" t="s">
        <v>91</v>
      </c>
      <c r="F786" s="3" t="s">
        <v>98</v>
      </c>
      <c r="G786" s="3" t="s">
        <v>99</v>
      </c>
      <c r="H786" s="3" t="s">
        <v>100</v>
      </c>
      <c r="I786" s="3">
        <v>1</v>
      </c>
      <c r="J786" s="11">
        <v>120</v>
      </c>
      <c r="K786" s="4">
        <v>0.05</v>
      </c>
      <c r="L786" s="3" t="s">
        <v>95</v>
      </c>
      <c r="M786" s="3">
        <v>34</v>
      </c>
      <c r="N786" s="3">
        <v>6</v>
      </c>
      <c r="O786" s="3">
        <v>4</v>
      </c>
    </row>
    <row r="787" spans="1:15" ht="20" customHeight="1">
      <c r="A787" s="3" t="s">
        <v>1191</v>
      </c>
      <c r="B787" s="2">
        <v>46292</v>
      </c>
      <c r="C787" s="3">
        <v>18</v>
      </c>
      <c r="D787" s="3" t="s">
        <v>768</v>
      </c>
      <c r="E787" s="3" t="s">
        <v>91</v>
      </c>
      <c r="F787" s="3" t="s">
        <v>109</v>
      </c>
      <c r="G787" s="3" t="s">
        <v>174</v>
      </c>
      <c r="H787" s="3" t="s">
        <v>274</v>
      </c>
      <c r="I787" s="3">
        <v>4</v>
      </c>
      <c r="J787" s="11">
        <v>90</v>
      </c>
      <c r="K787" s="4">
        <v>0</v>
      </c>
      <c r="L787" s="3" t="s">
        <v>95</v>
      </c>
      <c r="M787" s="3">
        <v>26</v>
      </c>
      <c r="N787" s="3">
        <v>12</v>
      </c>
      <c r="O787" s="3">
        <v>3</v>
      </c>
    </row>
    <row r="788" spans="1:15" ht="20" customHeight="1">
      <c r="A788" s="3" t="s">
        <v>1192</v>
      </c>
      <c r="B788" s="2">
        <v>46292</v>
      </c>
      <c r="C788" s="3">
        <v>18</v>
      </c>
      <c r="D788" s="3" t="s">
        <v>232</v>
      </c>
      <c r="E788" s="3" t="s">
        <v>91</v>
      </c>
      <c r="F788" s="3" t="s">
        <v>92</v>
      </c>
      <c r="G788" s="3" t="s">
        <v>99</v>
      </c>
      <c r="H788" s="3" t="s">
        <v>130</v>
      </c>
      <c r="I788" s="3">
        <v>1</v>
      </c>
      <c r="J788" s="11">
        <v>85</v>
      </c>
      <c r="K788" s="4">
        <v>0</v>
      </c>
      <c r="L788" s="3" t="s">
        <v>95</v>
      </c>
      <c r="M788" s="3">
        <v>24</v>
      </c>
      <c r="N788" s="3">
        <v>14</v>
      </c>
      <c r="O788" s="3">
        <v>5</v>
      </c>
    </row>
    <row r="789" spans="1:15" ht="20" customHeight="1">
      <c r="A789" s="3" t="s">
        <v>1193</v>
      </c>
      <c r="B789" s="2">
        <v>46292</v>
      </c>
      <c r="C789" s="3">
        <v>18</v>
      </c>
      <c r="D789" s="3" t="s">
        <v>689</v>
      </c>
      <c r="E789" s="3" t="s">
        <v>91</v>
      </c>
      <c r="F789" s="3" t="s">
        <v>109</v>
      </c>
      <c r="G789" s="3" t="s">
        <v>93</v>
      </c>
      <c r="H789" s="3" t="s">
        <v>118</v>
      </c>
      <c r="I789" s="3">
        <v>2</v>
      </c>
      <c r="J789" s="11">
        <v>45</v>
      </c>
      <c r="K789" s="4">
        <v>0.05</v>
      </c>
      <c r="L789" s="3" t="s">
        <v>101</v>
      </c>
      <c r="M789" s="3"/>
      <c r="N789" s="3"/>
      <c r="O789" s="3"/>
    </row>
    <row r="790" spans="1:15" ht="20" customHeight="1">
      <c r="A790" s="3" t="s">
        <v>1194</v>
      </c>
      <c r="B790" s="2">
        <v>46292</v>
      </c>
      <c r="C790" s="3">
        <v>16</v>
      </c>
      <c r="D790" s="3" t="s">
        <v>770</v>
      </c>
      <c r="E790" s="3" t="s">
        <v>91</v>
      </c>
      <c r="F790" s="3" t="s">
        <v>98</v>
      </c>
      <c r="G790" s="3" t="s">
        <v>99</v>
      </c>
      <c r="H790" s="3" t="s">
        <v>104</v>
      </c>
      <c r="I790" s="3">
        <v>4</v>
      </c>
      <c r="J790" s="11">
        <v>240</v>
      </c>
      <c r="K790" s="4">
        <v>0.05</v>
      </c>
      <c r="L790" s="3" t="s">
        <v>95</v>
      </c>
      <c r="M790" s="3">
        <v>34</v>
      </c>
      <c r="N790" s="3">
        <v>7</v>
      </c>
      <c r="O790" s="3">
        <v>5</v>
      </c>
    </row>
    <row r="791" spans="1:15" ht="20" customHeight="1">
      <c r="A791" s="3" t="s">
        <v>1195</v>
      </c>
      <c r="B791" s="2">
        <v>46292</v>
      </c>
      <c r="C791" s="3">
        <v>14</v>
      </c>
      <c r="D791" s="3" t="s">
        <v>592</v>
      </c>
      <c r="E791" s="3" t="s">
        <v>91</v>
      </c>
      <c r="F791" s="3" t="s">
        <v>92</v>
      </c>
      <c r="G791" s="3" t="s">
        <v>93</v>
      </c>
      <c r="H791" s="3" t="s">
        <v>146</v>
      </c>
      <c r="I791" s="3">
        <v>5</v>
      </c>
      <c r="J791" s="11">
        <v>110</v>
      </c>
      <c r="K791" s="4">
        <v>0</v>
      </c>
      <c r="L791" s="3" t="s">
        <v>95</v>
      </c>
      <c r="M791" s="3">
        <v>19</v>
      </c>
      <c r="N791" s="3">
        <v>7</v>
      </c>
      <c r="O791" s="3">
        <v>5</v>
      </c>
    </row>
    <row r="792" spans="1:15" ht="20" customHeight="1">
      <c r="A792" s="3" t="s">
        <v>1196</v>
      </c>
      <c r="B792" s="2">
        <v>46292</v>
      </c>
      <c r="C792" s="3">
        <v>9</v>
      </c>
      <c r="D792" s="3" t="s">
        <v>652</v>
      </c>
      <c r="E792" s="3" t="s">
        <v>91</v>
      </c>
      <c r="F792" s="3" t="s">
        <v>92</v>
      </c>
      <c r="G792" s="3" t="s">
        <v>110</v>
      </c>
      <c r="H792" s="3" t="s">
        <v>114</v>
      </c>
      <c r="I792" s="3">
        <v>1</v>
      </c>
      <c r="J792" s="11">
        <v>145</v>
      </c>
      <c r="K792" s="4">
        <v>0</v>
      </c>
      <c r="L792" s="3" t="s">
        <v>95</v>
      </c>
      <c r="M792" s="3">
        <v>21</v>
      </c>
      <c r="N792" s="3">
        <v>8</v>
      </c>
      <c r="O792" s="3">
        <v>4</v>
      </c>
    </row>
    <row r="793" spans="1:15" ht="20" customHeight="1">
      <c r="A793" s="3" t="s">
        <v>1197</v>
      </c>
      <c r="B793" s="2">
        <v>46292</v>
      </c>
      <c r="C793" s="3">
        <v>19</v>
      </c>
      <c r="D793" s="3" t="s">
        <v>423</v>
      </c>
      <c r="E793" s="3" t="s">
        <v>91</v>
      </c>
      <c r="F793" s="3" t="s">
        <v>121</v>
      </c>
      <c r="G793" s="3" t="s">
        <v>135</v>
      </c>
      <c r="H793" s="3" t="s">
        <v>136</v>
      </c>
      <c r="I793" s="3">
        <v>1</v>
      </c>
      <c r="J793" s="11">
        <v>40</v>
      </c>
      <c r="K793" s="4">
        <v>0.1</v>
      </c>
      <c r="L793" s="3" t="s">
        <v>101</v>
      </c>
      <c r="M793" s="3"/>
      <c r="N793" s="3"/>
      <c r="O793" s="3"/>
    </row>
    <row r="794" spans="1:15" ht="20" customHeight="1">
      <c r="A794" s="3" t="s">
        <v>1198</v>
      </c>
      <c r="B794" s="2">
        <v>46292</v>
      </c>
      <c r="C794" s="3">
        <v>18</v>
      </c>
      <c r="D794" s="3" t="s">
        <v>145</v>
      </c>
      <c r="E794" s="3" t="s">
        <v>117</v>
      </c>
      <c r="F794" s="3" t="s">
        <v>92</v>
      </c>
      <c r="G794" s="3" t="s">
        <v>99</v>
      </c>
      <c r="H794" s="3" t="s">
        <v>130</v>
      </c>
      <c r="I794" s="3">
        <v>1</v>
      </c>
      <c r="J794" s="11">
        <v>85</v>
      </c>
      <c r="K794" s="4">
        <v>0.15</v>
      </c>
      <c r="L794" s="3" t="s">
        <v>95</v>
      </c>
      <c r="M794" s="3">
        <v>13</v>
      </c>
      <c r="N794" s="3">
        <v>12</v>
      </c>
      <c r="O794" s="3">
        <v>3</v>
      </c>
    </row>
    <row r="795" spans="1:15" ht="20" customHeight="1">
      <c r="A795" s="3" t="s">
        <v>1199</v>
      </c>
      <c r="B795" s="2">
        <v>46292</v>
      </c>
      <c r="C795" s="3">
        <v>12</v>
      </c>
      <c r="D795" s="3" t="s">
        <v>361</v>
      </c>
      <c r="E795" s="3" t="s">
        <v>91</v>
      </c>
      <c r="F795" s="3" t="s">
        <v>109</v>
      </c>
      <c r="G795" s="3" t="s">
        <v>99</v>
      </c>
      <c r="H795" s="3" t="s">
        <v>130</v>
      </c>
      <c r="I795" s="3">
        <v>6</v>
      </c>
      <c r="J795" s="11">
        <v>85</v>
      </c>
      <c r="K795" s="4">
        <v>0</v>
      </c>
      <c r="L795" s="3" t="s">
        <v>95</v>
      </c>
      <c r="M795" s="3">
        <v>25</v>
      </c>
      <c r="N795" s="3">
        <v>12</v>
      </c>
      <c r="O795" s="3">
        <v>4</v>
      </c>
    </row>
    <row r="796" spans="1:15" ht="20" customHeight="1">
      <c r="A796" s="3" t="s">
        <v>1200</v>
      </c>
      <c r="B796" s="2">
        <v>46292</v>
      </c>
      <c r="C796" s="3">
        <v>17</v>
      </c>
      <c r="D796" s="3" t="s">
        <v>1107</v>
      </c>
      <c r="E796" s="3" t="s">
        <v>91</v>
      </c>
      <c r="F796" s="3" t="s">
        <v>92</v>
      </c>
      <c r="G796" s="3" t="s">
        <v>135</v>
      </c>
      <c r="H796" s="3" t="s">
        <v>162</v>
      </c>
      <c r="I796" s="3">
        <v>2</v>
      </c>
      <c r="J796" s="11">
        <v>180</v>
      </c>
      <c r="K796" s="4">
        <v>0</v>
      </c>
      <c r="L796" s="3" t="s">
        <v>95</v>
      </c>
      <c r="M796" s="3">
        <v>22</v>
      </c>
      <c r="N796" s="3">
        <v>14</v>
      </c>
      <c r="O796" s="3">
        <v>3</v>
      </c>
    </row>
    <row r="797" spans="1:15" ht="20" customHeight="1">
      <c r="A797" s="3" t="s">
        <v>1201</v>
      </c>
      <c r="B797" s="2">
        <v>46292</v>
      </c>
      <c r="C797" s="3">
        <v>12</v>
      </c>
      <c r="D797" s="3" t="s">
        <v>376</v>
      </c>
      <c r="E797" s="3" t="s">
        <v>117</v>
      </c>
      <c r="F797" s="3" t="s">
        <v>109</v>
      </c>
      <c r="G797" s="3" t="s">
        <v>93</v>
      </c>
      <c r="H797" s="3" t="s">
        <v>118</v>
      </c>
      <c r="I797" s="3">
        <v>3</v>
      </c>
      <c r="J797" s="11">
        <v>45</v>
      </c>
      <c r="K797" s="4">
        <v>0.1</v>
      </c>
      <c r="L797" s="3" t="s">
        <v>95</v>
      </c>
      <c r="M797" s="3">
        <v>28</v>
      </c>
      <c r="N797" s="3">
        <v>8</v>
      </c>
      <c r="O797" s="3">
        <v>4</v>
      </c>
    </row>
    <row r="798" spans="1:15" ht="20" customHeight="1">
      <c r="A798" s="3" t="s">
        <v>1202</v>
      </c>
      <c r="B798" s="2">
        <v>46292</v>
      </c>
      <c r="C798" s="3">
        <v>13</v>
      </c>
      <c r="D798" s="3" t="s">
        <v>297</v>
      </c>
      <c r="E798" s="3" t="s">
        <v>91</v>
      </c>
      <c r="F798" s="3" t="s">
        <v>109</v>
      </c>
      <c r="G798" s="3" t="s">
        <v>174</v>
      </c>
      <c r="H798" s="3" t="s">
        <v>274</v>
      </c>
      <c r="I798" s="3">
        <v>3</v>
      </c>
      <c r="J798" s="11">
        <v>90</v>
      </c>
      <c r="K798" s="4">
        <v>0</v>
      </c>
      <c r="L798" s="3" t="s">
        <v>95</v>
      </c>
      <c r="M798" s="3">
        <v>14</v>
      </c>
      <c r="N798" s="3">
        <v>7</v>
      </c>
      <c r="O798" s="3">
        <v>3</v>
      </c>
    </row>
    <row r="799" spans="1:15" ht="20" customHeight="1">
      <c r="A799" s="3" t="s">
        <v>1203</v>
      </c>
      <c r="B799" s="2">
        <v>46292</v>
      </c>
      <c r="C799" s="3">
        <v>8</v>
      </c>
      <c r="D799" s="3" t="s">
        <v>624</v>
      </c>
      <c r="E799" s="3" t="s">
        <v>91</v>
      </c>
      <c r="F799" s="3" t="s">
        <v>109</v>
      </c>
      <c r="G799" s="3" t="s">
        <v>110</v>
      </c>
      <c r="H799" s="3" t="s">
        <v>206</v>
      </c>
      <c r="I799" s="3">
        <v>3</v>
      </c>
      <c r="J799" s="11">
        <v>220</v>
      </c>
      <c r="K799" s="4">
        <v>0.1</v>
      </c>
      <c r="L799" s="3" t="s">
        <v>95</v>
      </c>
      <c r="M799" s="3">
        <v>31</v>
      </c>
      <c r="N799" s="3">
        <v>6</v>
      </c>
      <c r="O799" s="3">
        <v>4</v>
      </c>
    </row>
    <row r="800" spans="1:15" ht="20" customHeight="1">
      <c r="A800" s="3" t="s">
        <v>1204</v>
      </c>
      <c r="B800" s="2">
        <v>46292</v>
      </c>
      <c r="C800" s="3">
        <v>20</v>
      </c>
      <c r="D800" s="3" t="s">
        <v>460</v>
      </c>
      <c r="E800" s="3" t="s">
        <v>117</v>
      </c>
      <c r="F800" s="3" t="s">
        <v>139</v>
      </c>
      <c r="G800" s="3" t="s">
        <v>174</v>
      </c>
      <c r="H800" s="3" t="s">
        <v>184</v>
      </c>
      <c r="I800" s="3">
        <v>5</v>
      </c>
      <c r="J800" s="11">
        <v>62</v>
      </c>
      <c r="K800" s="4">
        <v>0.1</v>
      </c>
      <c r="L800" s="3" t="s">
        <v>95</v>
      </c>
      <c r="M800" s="3">
        <v>14</v>
      </c>
      <c r="N800" s="3">
        <v>14</v>
      </c>
      <c r="O800" s="3">
        <v>4</v>
      </c>
    </row>
    <row r="801" spans="1:15" ht="20" customHeight="1">
      <c r="A801" s="3" t="s">
        <v>1205</v>
      </c>
      <c r="B801" s="2">
        <v>46292</v>
      </c>
      <c r="C801" s="3">
        <v>21</v>
      </c>
      <c r="D801" s="3" t="s">
        <v>683</v>
      </c>
      <c r="E801" s="3" t="s">
        <v>117</v>
      </c>
      <c r="F801" s="3" t="s">
        <v>92</v>
      </c>
      <c r="G801" s="3" t="s">
        <v>93</v>
      </c>
      <c r="H801" s="3" t="s">
        <v>118</v>
      </c>
      <c r="I801" s="3">
        <v>3</v>
      </c>
      <c r="J801" s="11">
        <v>45</v>
      </c>
      <c r="K801" s="4">
        <v>0.05</v>
      </c>
      <c r="L801" s="3" t="s">
        <v>95</v>
      </c>
      <c r="M801" s="3">
        <v>35</v>
      </c>
      <c r="N801" s="3">
        <v>5</v>
      </c>
      <c r="O801" s="3">
        <v>5</v>
      </c>
    </row>
    <row r="802" spans="1:15" ht="20" customHeight="1">
      <c r="A802" s="3" t="s">
        <v>1206</v>
      </c>
      <c r="B802" s="2">
        <v>46292</v>
      </c>
      <c r="C802" s="3">
        <v>17</v>
      </c>
      <c r="D802" s="3" t="s">
        <v>926</v>
      </c>
      <c r="E802" s="3" t="s">
        <v>91</v>
      </c>
      <c r="F802" s="3" t="s">
        <v>139</v>
      </c>
      <c r="G802" s="3" t="s">
        <v>99</v>
      </c>
      <c r="H802" s="3" t="s">
        <v>100</v>
      </c>
      <c r="I802" s="3">
        <v>3</v>
      </c>
      <c r="J802" s="11">
        <v>120</v>
      </c>
      <c r="K802" s="4">
        <v>0</v>
      </c>
      <c r="L802" s="3" t="s">
        <v>95</v>
      </c>
      <c r="M802" s="3">
        <v>28</v>
      </c>
      <c r="N802" s="3">
        <v>4</v>
      </c>
      <c r="O802" s="3">
        <v>4</v>
      </c>
    </row>
    <row r="803" spans="1:15" ht="20" customHeight="1">
      <c r="A803" s="3" t="s">
        <v>1207</v>
      </c>
      <c r="B803" s="2">
        <v>46292</v>
      </c>
      <c r="C803" s="3">
        <v>12</v>
      </c>
      <c r="D803" s="3" t="s">
        <v>530</v>
      </c>
      <c r="E803" s="3" t="s">
        <v>91</v>
      </c>
      <c r="F803" s="3" t="s">
        <v>121</v>
      </c>
      <c r="G803" s="3" t="s">
        <v>174</v>
      </c>
      <c r="H803" s="3" t="s">
        <v>184</v>
      </c>
      <c r="I803" s="3">
        <v>4</v>
      </c>
      <c r="J803" s="11">
        <v>62</v>
      </c>
      <c r="K803" s="4">
        <v>0</v>
      </c>
      <c r="L803" s="3" t="s">
        <v>95</v>
      </c>
      <c r="M803" s="3">
        <v>18</v>
      </c>
      <c r="N803" s="3">
        <v>15</v>
      </c>
      <c r="O803" s="3">
        <v>5</v>
      </c>
    </row>
    <row r="804" spans="1:15" ht="20" customHeight="1">
      <c r="A804" s="3" t="s">
        <v>1208</v>
      </c>
      <c r="B804" s="2">
        <v>46292</v>
      </c>
      <c r="C804" s="3">
        <v>12</v>
      </c>
      <c r="D804" s="3" t="s">
        <v>689</v>
      </c>
      <c r="E804" s="3" t="s">
        <v>91</v>
      </c>
      <c r="F804" s="3" t="s">
        <v>98</v>
      </c>
      <c r="G804" s="3" t="s">
        <v>122</v>
      </c>
      <c r="H804" s="3" t="s">
        <v>153</v>
      </c>
      <c r="I804" s="3">
        <v>1</v>
      </c>
      <c r="J804" s="11">
        <v>130</v>
      </c>
      <c r="K804" s="4">
        <v>0.15</v>
      </c>
      <c r="L804" s="3" t="s">
        <v>95</v>
      </c>
      <c r="M804" s="3">
        <v>28</v>
      </c>
      <c r="N804" s="3">
        <v>14</v>
      </c>
      <c r="O804" s="3">
        <v>3</v>
      </c>
    </row>
    <row r="805" spans="1:15" ht="20" customHeight="1">
      <c r="A805" s="3" t="s">
        <v>1209</v>
      </c>
      <c r="B805" s="2">
        <v>46292</v>
      </c>
      <c r="C805" s="3">
        <v>7</v>
      </c>
      <c r="D805" s="3" t="s">
        <v>615</v>
      </c>
      <c r="E805" s="3" t="s">
        <v>91</v>
      </c>
      <c r="F805" s="3" t="s">
        <v>92</v>
      </c>
      <c r="G805" s="3" t="s">
        <v>99</v>
      </c>
      <c r="H805" s="3" t="s">
        <v>100</v>
      </c>
      <c r="I805" s="3">
        <v>4</v>
      </c>
      <c r="J805" s="11">
        <v>120</v>
      </c>
      <c r="K805" s="4">
        <v>0.15</v>
      </c>
      <c r="L805" s="3" t="s">
        <v>95</v>
      </c>
      <c r="M805" s="3">
        <v>36</v>
      </c>
      <c r="N805" s="3">
        <v>9</v>
      </c>
      <c r="O805" s="3">
        <v>4</v>
      </c>
    </row>
    <row r="806" spans="1:15" ht="20" customHeight="1">
      <c r="A806" s="3" t="s">
        <v>1210</v>
      </c>
      <c r="B806" s="2">
        <v>46292</v>
      </c>
      <c r="C806" s="3">
        <v>12</v>
      </c>
      <c r="D806" s="3" t="s">
        <v>276</v>
      </c>
      <c r="E806" s="3" t="s">
        <v>117</v>
      </c>
      <c r="F806" s="3" t="s">
        <v>98</v>
      </c>
      <c r="G806" s="3" t="s">
        <v>99</v>
      </c>
      <c r="H806" s="3" t="s">
        <v>100</v>
      </c>
      <c r="I806" s="3">
        <v>2</v>
      </c>
      <c r="J806" s="11">
        <v>120</v>
      </c>
      <c r="K806" s="4">
        <v>0.05</v>
      </c>
      <c r="L806" s="3" t="s">
        <v>95</v>
      </c>
      <c r="M806" s="3">
        <v>22</v>
      </c>
      <c r="N806" s="3">
        <v>13</v>
      </c>
      <c r="O806" s="3">
        <v>3</v>
      </c>
    </row>
    <row r="807" spans="1:15" ht="20" customHeight="1">
      <c r="A807" s="3" t="s">
        <v>1211</v>
      </c>
      <c r="B807" s="2">
        <v>46292</v>
      </c>
      <c r="C807" s="3">
        <v>21</v>
      </c>
      <c r="D807" s="3" t="s">
        <v>232</v>
      </c>
      <c r="E807" s="3" t="s">
        <v>91</v>
      </c>
      <c r="F807" s="3" t="s">
        <v>98</v>
      </c>
      <c r="G807" s="3" t="s">
        <v>174</v>
      </c>
      <c r="H807" s="3" t="s">
        <v>184</v>
      </c>
      <c r="I807" s="3">
        <v>1</v>
      </c>
      <c r="J807" s="11">
        <v>62</v>
      </c>
      <c r="K807" s="4">
        <v>0</v>
      </c>
      <c r="L807" s="3" t="s">
        <v>95</v>
      </c>
      <c r="M807" s="3">
        <v>29</v>
      </c>
      <c r="N807" s="3">
        <v>9</v>
      </c>
      <c r="O807" s="3">
        <v>5</v>
      </c>
    </row>
    <row r="808" spans="1:15" ht="20" customHeight="1">
      <c r="A808" s="3" t="s">
        <v>1212</v>
      </c>
      <c r="B808" s="2">
        <v>46292</v>
      </c>
      <c r="C808" s="3">
        <v>10</v>
      </c>
      <c r="D808" s="3" t="s">
        <v>411</v>
      </c>
      <c r="E808" s="3" t="s">
        <v>91</v>
      </c>
      <c r="F808" s="3" t="s">
        <v>109</v>
      </c>
      <c r="G808" s="3" t="s">
        <v>99</v>
      </c>
      <c r="H808" s="3" t="s">
        <v>130</v>
      </c>
      <c r="I808" s="3">
        <v>6</v>
      </c>
      <c r="J808" s="11">
        <v>85</v>
      </c>
      <c r="K808" s="4">
        <v>0</v>
      </c>
      <c r="L808" s="3" t="s">
        <v>95</v>
      </c>
      <c r="M808" s="3">
        <v>27</v>
      </c>
      <c r="N808" s="3">
        <v>14</v>
      </c>
      <c r="O808" s="3">
        <v>5</v>
      </c>
    </row>
    <row r="809" spans="1:15" ht="20" customHeight="1">
      <c r="A809" s="3" t="s">
        <v>1213</v>
      </c>
      <c r="B809" s="2">
        <v>46292</v>
      </c>
      <c r="C809" s="3">
        <v>17</v>
      </c>
      <c r="D809" s="3" t="s">
        <v>396</v>
      </c>
      <c r="E809" s="3" t="s">
        <v>91</v>
      </c>
      <c r="F809" s="3" t="s">
        <v>139</v>
      </c>
      <c r="G809" s="3" t="s">
        <v>93</v>
      </c>
      <c r="H809" s="3" t="s">
        <v>94</v>
      </c>
      <c r="I809" s="3">
        <v>2</v>
      </c>
      <c r="J809" s="11">
        <v>95</v>
      </c>
      <c r="K809" s="4">
        <v>0</v>
      </c>
      <c r="L809" s="3" t="s">
        <v>95</v>
      </c>
      <c r="M809" s="3">
        <v>21</v>
      </c>
      <c r="N809" s="3">
        <v>13</v>
      </c>
      <c r="O809" s="3">
        <v>5</v>
      </c>
    </row>
    <row r="810" spans="1:15" ht="20" customHeight="1">
      <c r="A810" s="3" t="s">
        <v>1214</v>
      </c>
      <c r="B810" s="2">
        <v>46292</v>
      </c>
      <c r="C810" s="3">
        <v>8</v>
      </c>
      <c r="D810" s="3" t="s">
        <v>388</v>
      </c>
      <c r="E810" s="3" t="s">
        <v>91</v>
      </c>
      <c r="F810" s="3" t="s">
        <v>139</v>
      </c>
      <c r="G810" s="3" t="s">
        <v>99</v>
      </c>
      <c r="H810" s="3" t="s">
        <v>130</v>
      </c>
      <c r="I810" s="3">
        <v>4</v>
      </c>
      <c r="J810" s="11">
        <v>85</v>
      </c>
      <c r="K810" s="4">
        <v>0</v>
      </c>
      <c r="L810" s="3" t="s">
        <v>95</v>
      </c>
      <c r="M810" s="3">
        <v>30</v>
      </c>
      <c r="N810" s="3">
        <v>12</v>
      </c>
      <c r="O810" s="3">
        <v>4</v>
      </c>
    </row>
    <row r="811" spans="1:15" ht="20" customHeight="1">
      <c r="A811" s="3" t="s">
        <v>1215</v>
      </c>
      <c r="B811" s="2">
        <v>46292</v>
      </c>
      <c r="C811" s="3">
        <v>14</v>
      </c>
      <c r="D811" s="3" t="s">
        <v>1064</v>
      </c>
      <c r="E811" s="3" t="s">
        <v>91</v>
      </c>
      <c r="F811" s="3" t="s">
        <v>109</v>
      </c>
      <c r="G811" s="3" t="s">
        <v>122</v>
      </c>
      <c r="H811" s="3" t="s">
        <v>123</v>
      </c>
      <c r="I811" s="3">
        <v>2</v>
      </c>
      <c r="J811" s="11">
        <v>45</v>
      </c>
      <c r="K811" s="4">
        <v>0.05</v>
      </c>
      <c r="L811" s="3" t="s">
        <v>95</v>
      </c>
      <c r="M811" s="3">
        <v>37</v>
      </c>
      <c r="N811" s="3">
        <v>8</v>
      </c>
      <c r="O811" s="3">
        <v>3</v>
      </c>
    </row>
    <row r="812" spans="1:15" ht="20" customHeight="1">
      <c r="A812" s="3" t="s">
        <v>1216</v>
      </c>
      <c r="B812" s="2">
        <v>46293</v>
      </c>
      <c r="C812" s="3">
        <v>22</v>
      </c>
      <c r="D812" s="3" t="s">
        <v>347</v>
      </c>
      <c r="E812" s="3" t="s">
        <v>91</v>
      </c>
      <c r="F812" s="3" t="s">
        <v>1314</v>
      </c>
      <c r="G812" s="3" t="s">
        <v>110</v>
      </c>
      <c r="H812" s="3" t="s">
        <v>206</v>
      </c>
      <c r="I812" s="3">
        <v>5</v>
      </c>
      <c r="J812" s="11">
        <v>220</v>
      </c>
      <c r="K812" s="4">
        <v>0.05</v>
      </c>
      <c r="L812" s="3" t="s">
        <v>95</v>
      </c>
      <c r="M812" s="3">
        <v>15</v>
      </c>
      <c r="N812" s="3">
        <v>13</v>
      </c>
      <c r="O812" s="3">
        <v>4</v>
      </c>
    </row>
    <row r="813" spans="1:15" ht="20" customHeight="1">
      <c r="A813" s="3" t="s">
        <v>1217</v>
      </c>
      <c r="B813" s="2">
        <v>46293</v>
      </c>
      <c r="C813" s="3">
        <v>16</v>
      </c>
      <c r="D813" s="3" t="s">
        <v>349</v>
      </c>
      <c r="E813" s="3" t="s">
        <v>117</v>
      </c>
      <c r="F813" s="3" t="s">
        <v>139</v>
      </c>
      <c r="G813" s="3" t="s">
        <v>122</v>
      </c>
      <c r="H813" s="3" t="s">
        <v>153</v>
      </c>
      <c r="I813" s="3">
        <v>1</v>
      </c>
      <c r="J813" s="11">
        <v>130</v>
      </c>
      <c r="K813" s="4">
        <v>0.05</v>
      </c>
      <c r="L813" s="3" t="s">
        <v>95</v>
      </c>
      <c r="M813" s="3">
        <v>25</v>
      </c>
      <c r="N813" s="3">
        <v>12</v>
      </c>
      <c r="O813" s="3">
        <v>5</v>
      </c>
    </row>
    <row r="814" spans="1:15" ht="20" customHeight="1">
      <c r="A814" s="3" t="s">
        <v>1218</v>
      </c>
      <c r="B814" s="2">
        <v>46293</v>
      </c>
      <c r="C814" s="3">
        <v>10</v>
      </c>
      <c r="D814" s="3" t="s">
        <v>165</v>
      </c>
      <c r="E814" s="3" t="s">
        <v>91</v>
      </c>
      <c r="F814" s="3" t="s">
        <v>98</v>
      </c>
      <c r="G814" s="3" t="s">
        <v>110</v>
      </c>
      <c r="H814" s="3" t="s">
        <v>206</v>
      </c>
      <c r="I814" s="3">
        <v>4</v>
      </c>
      <c r="J814" s="11">
        <v>220</v>
      </c>
      <c r="K814" s="4">
        <v>0.1</v>
      </c>
      <c r="L814" s="3" t="s">
        <v>95</v>
      </c>
      <c r="M814" s="3">
        <v>15</v>
      </c>
      <c r="N814" s="3">
        <v>5</v>
      </c>
      <c r="O814" s="3">
        <v>4</v>
      </c>
    </row>
    <row r="815" spans="1:15" ht="20" customHeight="1">
      <c r="A815" s="3" t="s">
        <v>1219</v>
      </c>
      <c r="B815" s="2">
        <v>46293</v>
      </c>
      <c r="C815" s="3">
        <v>23</v>
      </c>
      <c r="D815" s="3" t="s">
        <v>342</v>
      </c>
      <c r="E815" s="3" t="s">
        <v>91</v>
      </c>
      <c r="F815" s="3" t="s">
        <v>98</v>
      </c>
      <c r="G815" s="3" t="s">
        <v>93</v>
      </c>
      <c r="H815" s="3" t="s">
        <v>146</v>
      </c>
      <c r="I815" s="3">
        <v>6</v>
      </c>
      <c r="J815" s="11">
        <v>110</v>
      </c>
      <c r="K815" s="4">
        <v>0</v>
      </c>
      <c r="L815" s="3" t="s">
        <v>95</v>
      </c>
      <c r="M815" s="3">
        <v>23</v>
      </c>
      <c r="N815" s="3">
        <v>8</v>
      </c>
      <c r="O815" s="3">
        <v>4</v>
      </c>
    </row>
    <row r="816" spans="1:15" ht="20" customHeight="1">
      <c r="A816" s="3" t="s">
        <v>1220</v>
      </c>
      <c r="B816" s="2">
        <v>46293</v>
      </c>
      <c r="C816" s="3">
        <v>22</v>
      </c>
      <c r="D816" s="3" t="s">
        <v>537</v>
      </c>
      <c r="E816" s="3" t="s">
        <v>91</v>
      </c>
      <c r="F816" s="3" t="s">
        <v>109</v>
      </c>
      <c r="G816" s="3" t="s">
        <v>93</v>
      </c>
      <c r="H816" s="3" t="s">
        <v>94</v>
      </c>
      <c r="I816" s="3">
        <v>2</v>
      </c>
      <c r="J816" s="11">
        <v>95</v>
      </c>
      <c r="K816" s="4">
        <v>0.05</v>
      </c>
      <c r="L816" s="3" t="s">
        <v>95</v>
      </c>
      <c r="M816" s="3">
        <v>25</v>
      </c>
      <c r="N816" s="3">
        <v>4</v>
      </c>
      <c r="O816" s="3">
        <v>3</v>
      </c>
    </row>
    <row r="817" spans="1:15" ht="20" customHeight="1">
      <c r="A817" s="3" t="s">
        <v>1221</v>
      </c>
      <c r="B817" s="2">
        <v>46293</v>
      </c>
      <c r="C817" s="3">
        <v>21</v>
      </c>
      <c r="D817" s="3" t="s">
        <v>259</v>
      </c>
      <c r="E817" s="3" t="s">
        <v>91</v>
      </c>
      <c r="F817" s="3" t="s">
        <v>98</v>
      </c>
      <c r="G817" s="3" t="s">
        <v>174</v>
      </c>
      <c r="H817" s="3" t="s">
        <v>184</v>
      </c>
      <c r="I817" s="3">
        <v>5</v>
      </c>
      <c r="J817" s="11">
        <v>62</v>
      </c>
      <c r="K817" s="4">
        <v>0</v>
      </c>
      <c r="L817" s="3" t="s">
        <v>95</v>
      </c>
      <c r="M817" s="3">
        <v>22</v>
      </c>
      <c r="N817" s="3">
        <v>8</v>
      </c>
      <c r="O817" s="3">
        <v>5</v>
      </c>
    </row>
    <row r="818" spans="1:15" ht="20" customHeight="1">
      <c r="A818" s="3" t="s">
        <v>1222</v>
      </c>
      <c r="B818" s="2">
        <v>46293</v>
      </c>
      <c r="C818" s="3">
        <v>23</v>
      </c>
      <c r="D818" s="3" t="s">
        <v>597</v>
      </c>
      <c r="E818" s="3" t="s">
        <v>117</v>
      </c>
      <c r="F818" s="3" t="s">
        <v>139</v>
      </c>
      <c r="G818" s="3" t="s">
        <v>122</v>
      </c>
      <c r="H818" s="3" t="s">
        <v>153</v>
      </c>
      <c r="I818" s="3">
        <v>2</v>
      </c>
      <c r="J818" s="11">
        <v>130</v>
      </c>
      <c r="K818" s="4">
        <v>0.05</v>
      </c>
      <c r="L818" s="3" t="s">
        <v>95</v>
      </c>
      <c r="M818" s="3">
        <v>13</v>
      </c>
      <c r="N818" s="3">
        <v>10</v>
      </c>
      <c r="O818" s="3">
        <v>3</v>
      </c>
    </row>
    <row r="819" spans="1:15" ht="20" customHeight="1">
      <c r="A819" s="3" t="s">
        <v>1223</v>
      </c>
      <c r="B819" s="2">
        <v>46293</v>
      </c>
      <c r="C819" s="3">
        <v>23</v>
      </c>
      <c r="D819" s="3" t="s">
        <v>622</v>
      </c>
      <c r="E819" s="3" t="s">
        <v>91</v>
      </c>
      <c r="F819" s="3" t="s">
        <v>109</v>
      </c>
      <c r="G819" s="3" t="s">
        <v>122</v>
      </c>
      <c r="H819" s="3" t="s">
        <v>153</v>
      </c>
      <c r="I819" s="3">
        <v>2</v>
      </c>
      <c r="J819" s="11">
        <v>130</v>
      </c>
      <c r="K819" s="4">
        <v>0.1</v>
      </c>
      <c r="L819" s="3" t="s">
        <v>95</v>
      </c>
      <c r="M819" s="3">
        <v>31</v>
      </c>
      <c r="N819" s="3">
        <v>10</v>
      </c>
      <c r="O819" s="3">
        <v>5</v>
      </c>
    </row>
    <row r="820" spans="1:15" ht="20" customHeight="1">
      <c r="A820" s="3" t="s">
        <v>1224</v>
      </c>
      <c r="B820" s="2">
        <v>46293</v>
      </c>
      <c r="C820" s="3">
        <v>13</v>
      </c>
      <c r="D820" s="3" t="s">
        <v>401</v>
      </c>
      <c r="E820" s="3" t="s">
        <v>91</v>
      </c>
      <c r="F820" s="3" t="s">
        <v>98</v>
      </c>
      <c r="G820" s="3" t="s">
        <v>99</v>
      </c>
      <c r="H820" s="3" t="s">
        <v>100</v>
      </c>
      <c r="I820" s="3">
        <v>5</v>
      </c>
      <c r="J820" s="11">
        <v>120</v>
      </c>
      <c r="K820" s="4">
        <v>0</v>
      </c>
      <c r="L820" s="3" t="s">
        <v>95</v>
      </c>
      <c r="M820" s="3">
        <v>20</v>
      </c>
      <c r="N820" s="3">
        <v>12</v>
      </c>
      <c r="O820" s="3">
        <v>4</v>
      </c>
    </row>
    <row r="821" spans="1:15" ht="20" customHeight="1">
      <c r="A821" s="3" t="s">
        <v>1225</v>
      </c>
      <c r="B821" s="2">
        <v>46293</v>
      </c>
      <c r="C821" s="3">
        <v>19</v>
      </c>
      <c r="D821" s="3" t="s">
        <v>438</v>
      </c>
      <c r="E821" s="3" t="s">
        <v>91</v>
      </c>
      <c r="F821" s="3" t="s">
        <v>92</v>
      </c>
      <c r="G821" s="3" t="s">
        <v>93</v>
      </c>
      <c r="H821" s="3" t="s">
        <v>118</v>
      </c>
      <c r="I821" s="3">
        <v>4</v>
      </c>
      <c r="J821" s="11">
        <v>45</v>
      </c>
      <c r="K821" s="4">
        <v>0.15</v>
      </c>
      <c r="L821" s="3" t="s">
        <v>95</v>
      </c>
      <c r="M821" s="3">
        <v>30</v>
      </c>
      <c r="N821" s="3">
        <v>9</v>
      </c>
      <c r="O821" s="3">
        <v>3</v>
      </c>
    </row>
    <row r="822" spans="1:15" ht="20" customHeight="1">
      <c r="A822" s="3" t="s">
        <v>1226</v>
      </c>
      <c r="B822" s="2">
        <v>46293</v>
      </c>
      <c r="C822" s="3">
        <v>12</v>
      </c>
      <c r="D822" s="3" t="s">
        <v>581</v>
      </c>
      <c r="E822" s="3" t="s">
        <v>117</v>
      </c>
      <c r="F822" s="3" t="s">
        <v>109</v>
      </c>
      <c r="G822" s="3" t="s">
        <v>135</v>
      </c>
      <c r="H822" s="3" t="s">
        <v>217</v>
      </c>
      <c r="I822" s="3">
        <v>6</v>
      </c>
      <c r="J822" s="11">
        <v>65</v>
      </c>
      <c r="K822" s="4">
        <v>0</v>
      </c>
      <c r="L822" s="3" t="s">
        <v>95</v>
      </c>
      <c r="M822" s="3">
        <v>31</v>
      </c>
      <c r="N822" s="3">
        <v>4</v>
      </c>
      <c r="O822" s="3">
        <v>5</v>
      </c>
    </row>
    <row r="823" spans="1:15" ht="20" customHeight="1">
      <c r="A823" s="3" t="s">
        <v>1227</v>
      </c>
      <c r="B823" s="2">
        <v>46293</v>
      </c>
      <c r="C823" s="3">
        <v>17</v>
      </c>
      <c r="D823" s="3" t="s">
        <v>619</v>
      </c>
      <c r="E823" s="3" t="s">
        <v>117</v>
      </c>
      <c r="F823" s="3" t="s">
        <v>92</v>
      </c>
      <c r="G823" s="3" t="s">
        <v>174</v>
      </c>
      <c r="H823" s="3" t="s">
        <v>274</v>
      </c>
      <c r="I823" s="3">
        <v>4</v>
      </c>
      <c r="J823" s="11">
        <v>90</v>
      </c>
      <c r="K823" s="4">
        <v>0</v>
      </c>
      <c r="L823" s="3" t="s">
        <v>95</v>
      </c>
      <c r="M823" s="3">
        <v>23</v>
      </c>
      <c r="N823" s="3">
        <v>9</v>
      </c>
      <c r="O823" s="3">
        <v>3</v>
      </c>
    </row>
    <row r="824" spans="1:15" ht="20" customHeight="1">
      <c r="A824" s="3" t="s">
        <v>1228</v>
      </c>
      <c r="B824" s="2">
        <v>46293</v>
      </c>
      <c r="C824" s="3">
        <v>12</v>
      </c>
      <c r="D824" s="3" t="s">
        <v>963</v>
      </c>
      <c r="E824" s="3" t="s">
        <v>91</v>
      </c>
      <c r="F824" s="3" t="s">
        <v>92</v>
      </c>
      <c r="G824" s="3" t="s">
        <v>110</v>
      </c>
      <c r="H824" s="3" t="s">
        <v>114</v>
      </c>
      <c r="I824" s="3">
        <v>6</v>
      </c>
      <c r="J824" s="11">
        <v>145</v>
      </c>
      <c r="K824" s="4">
        <v>0</v>
      </c>
      <c r="L824" s="3" t="s">
        <v>95</v>
      </c>
      <c r="M824" s="3">
        <v>30</v>
      </c>
      <c r="N824" s="3">
        <v>6</v>
      </c>
      <c r="O824" s="3">
        <v>5</v>
      </c>
    </row>
    <row r="825" spans="1:15" ht="20" customHeight="1">
      <c r="A825" s="3" t="s">
        <v>1229</v>
      </c>
      <c r="B825" s="2">
        <v>46293</v>
      </c>
      <c r="C825" s="3">
        <v>21</v>
      </c>
      <c r="D825" s="3" t="s">
        <v>186</v>
      </c>
      <c r="E825" s="3" t="s">
        <v>117</v>
      </c>
      <c r="F825" s="3" t="s">
        <v>98</v>
      </c>
      <c r="G825" s="3" t="s">
        <v>135</v>
      </c>
      <c r="H825" s="3" t="s">
        <v>217</v>
      </c>
      <c r="I825" s="3">
        <v>4</v>
      </c>
      <c r="J825" s="11">
        <v>65</v>
      </c>
      <c r="K825" s="4">
        <v>0</v>
      </c>
      <c r="L825" s="3" t="s">
        <v>95</v>
      </c>
      <c r="M825" s="3">
        <v>27</v>
      </c>
      <c r="N825" s="3">
        <v>14</v>
      </c>
      <c r="O825" s="3">
        <v>5</v>
      </c>
    </row>
    <row r="826" spans="1:15" ht="20" customHeight="1">
      <c r="A826" s="3" t="s">
        <v>1230</v>
      </c>
      <c r="B826" s="2">
        <v>46293</v>
      </c>
      <c r="C826" s="3">
        <v>23</v>
      </c>
      <c r="D826" s="3" t="s">
        <v>462</v>
      </c>
      <c r="E826" s="3" t="s">
        <v>91</v>
      </c>
      <c r="F826" s="3" t="s">
        <v>121</v>
      </c>
      <c r="G826" s="3" t="s">
        <v>122</v>
      </c>
      <c r="H826" s="3" t="s">
        <v>214</v>
      </c>
      <c r="I826" s="3">
        <v>1</v>
      </c>
      <c r="J826" s="11">
        <v>55</v>
      </c>
      <c r="K826" s="4">
        <v>0.15</v>
      </c>
      <c r="L826" s="3" t="s">
        <v>95</v>
      </c>
      <c r="M826" s="3">
        <v>16</v>
      </c>
      <c r="N826" s="3">
        <v>5</v>
      </c>
      <c r="O826" s="3">
        <v>4</v>
      </c>
    </row>
    <row r="827" spans="1:15" ht="20" customHeight="1">
      <c r="A827" s="3" t="s">
        <v>1231</v>
      </c>
      <c r="B827" s="2">
        <v>46293</v>
      </c>
      <c r="C827" s="3">
        <v>17</v>
      </c>
      <c r="D827" s="3" t="s">
        <v>332</v>
      </c>
      <c r="E827" s="3" t="s">
        <v>91</v>
      </c>
      <c r="F827" s="3" t="s">
        <v>139</v>
      </c>
      <c r="G827" s="3" t="s">
        <v>110</v>
      </c>
      <c r="H827" s="3" t="s">
        <v>206</v>
      </c>
      <c r="I827" s="3">
        <v>5</v>
      </c>
      <c r="J827" s="11">
        <v>220</v>
      </c>
      <c r="K827" s="4">
        <v>0.15</v>
      </c>
      <c r="L827" s="3" t="s">
        <v>95</v>
      </c>
      <c r="M827" s="3">
        <v>13</v>
      </c>
      <c r="N827" s="3">
        <v>5</v>
      </c>
      <c r="O827" s="3">
        <v>4</v>
      </c>
    </row>
    <row r="828" spans="1:15" ht="20" customHeight="1">
      <c r="A828" s="3" t="s">
        <v>1232</v>
      </c>
      <c r="B828" s="2">
        <v>46293</v>
      </c>
      <c r="C828" s="3">
        <v>12</v>
      </c>
      <c r="D828" s="3" t="s">
        <v>555</v>
      </c>
      <c r="E828" s="3" t="s">
        <v>117</v>
      </c>
      <c r="F828" s="3" t="s">
        <v>98</v>
      </c>
      <c r="G828" s="3" t="s">
        <v>135</v>
      </c>
      <c r="H828" s="3" t="s">
        <v>136</v>
      </c>
      <c r="I828" s="3">
        <v>1</v>
      </c>
      <c r="J828" s="11">
        <v>40</v>
      </c>
      <c r="K828" s="4">
        <v>0.05</v>
      </c>
      <c r="L828" s="3" t="s">
        <v>95</v>
      </c>
      <c r="M828" s="3">
        <v>34</v>
      </c>
      <c r="N828" s="3">
        <v>9</v>
      </c>
      <c r="O828" s="3">
        <v>5</v>
      </c>
    </row>
    <row r="829" spans="1:15" ht="20" customHeight="1">
      <c r="A829" s="3" t="s">
        <v>1233</v>
      </c>
      <c r="B829" s="2">
        <v>46293</v>
      </c>
      <c r="C829" s="3">
        <v>20</v>
      </c>
      <c r="D829" s="3" t="s">
        <v>499</v>
      </c>
      <c r="E829" s="3" t="s">
        <v>91</v>
      </c>
      <c r="F829" s="3" t="s">
        <v>139</v>
      </c>
      <c r="G829" s="3" t="s">
        <v>99</v>
      </c>
      <c r="H829" s="3" t="s">
        <v>130</v>
      </c>
      <c r="I829" s="3">
        <v>6</v>
      </c>
      <c r="J829" s="11">
        <v>85</v>
      </c>
      <c r="K829" s="4">
        <v>0</v>
      </c>
      <c r="L829" s="3" t="s">
        <v>95</v>
      </c>
      <c r="M829" s="3">
        <v>18</v>
      </c>
      <c r="N829" s="3">
        <v>4</v>
      </c>
      <c r="O829" s="3">
        <v>4</v>
      </c>
    </row>
    <row r="830" spans="1:15" ht="20" customHeight="1">
      <c r="A830" s="3" t="s">
        <v>1234</v>
      </c>
      <c r="B830" s="2">
        <v>46293</v>
      </c>
      <c r="C830" s="3">
        <v>9</v>
      </c>
      <c r="D830" s="3" t="s">
        <v>138</v>
      </c>
      <c r="E830" s="3" t="s">
        <v>91</v>
      </c>
      <c r="F830" s="3" t="s">
        <v>121</v>
      </c>
      <c r="G830" s="3" t="s">
        <v>135</v>
      </c>
      <c r="H830" s="3" t="s">
        <v>217</v>
      </c>
      <c r="I830" s="3">
        <v>1</v>
      </c>
      <c r="J830" s="11">
        <v>65</v>
      </c>
      <c r="K830" s="4">
        <v>0.15</v>
      </c>
      <c r="L830" s="3" t="s">
        <v>95</v>
      </c>
      <c r="M830" s="3">
        <v>25</v>
      </c>
      <c r="N830" s="3">
        <v>10</v>
      </c>
      <c r="O830" s="3">
        <v>4</v>
      </c>
    </row>
    <row r="831" spans="1:15" ht="20" customHeight="1">
      <c r="A831" s="3" t="s">
        <v>1235</v>
      </c>
      <c r="B831" s="2">
        <v>46293</v>
      </c>
      <c r="C831" s="3">
        <v>20</v>
      </c>
      <c r="D831" s="3" t="s">
        <v>287</v>
      </c>
      <c r="E831" s="3" t="s">
        <v>91</v>
      </c>
      <c r="F831" s="3" t="s">
        <v>121</v>
      </c>
      <c r="G831" s="3" t="s">
        <v>174</v>
      </c>
      <c r="H831" s="3" t="s">
        <v>175</v>
      </c>
      <c r="I831" s="3">
        <v>4</v>
      </c>
      <c r="J831" s="11">
        <v>155</v>
      </c>
      <c r="K831" s="4">
        <v>0</v>
      </c>
      <c r="L831" s="3" t="s">
        <v>95</v>
      </c>
      <c r="M831" s="3">
        <v>24</v>
      </c>
      <c r="N831" s="3">
        <v>12</v>
      </c>
      <c r="O831" s="3">
        <v>4</v>
      </c>
    </row>
    <row r="832" spans="1:15" ht="20" customHeight="1">
      <c r="A832" s="3" t="s">
        <v>1236</v>
      </c>
      <c r="B832" s="2">
        <v>46293</v>
      </c>
      <c r="C832" s="3">
        <v>9</v>
      </c>
      <c r="D832" s="3" t="s">
        <v>322</v>
      </c>
      <c r="E832" s="3" t="s">
        <v>117</v>
      </c>
      <c r="F832" s="3" t="s">
        <v>139</v>
      </c>
      <c r="G832" s="3" t="s">
        <v>110</v>
      </c>
      <c r="H832" s="3" t="s">
        <v>114</v>
      </c>
      <c r="I832" s="3">
        <v>2</v>
      </c>
      <c r="J832" s="11">
        <v>145</v>
      </c>
      <c r="K832" s="4">
        <v>0</v>
      </c>
      <c r="L832" s="3" t="s">
        <v>95</v>
      </c>
      <c r="M832" s="3">
        <v>22</v>
      </c>
      <c r="N832" s="3">
        <v>12</v>
      </c>
      <c r="O832" s="3">
        <v>5</v>
      </c>
    </row>
    <row r="833" spans="1:15" ht="20" customHeight="1">
      <c r="A833" s="3" t="s">
        <v>1237</v>
      </c>
      <c r="B833" s="2">
        <v>46293</v>
      </c>
      <c r="C833" s="3">
        <v>20</v>
      </c>
      <c r="D833" s="3" t="s">
        <v>628</v>
      </c>
      <c r="E833" s="3" t="s">
        <v>91</v>
      </c>
      <c r="F833" s="3" t="s">
        <v>92</v>
      </c>
      <c r="G833" s="3" t="s">
        <v>135</v>
      </c>
      <c r="H833" s="3" t="s">
        <v>162</v>
      </c>
      <c r="I833" s="3">
        <v>1</v>
      </c>
      <c r="J833" s="11">
        <v>180</v>
      </c>
      <c r="K833" s="4">
        <v>0</v>
      </c>
      <c r="L833" s="3" t="s">
        <v>95</v>
      </c>
      <c r="M833" s="3">
        <v>19</v>
      </c>
      <c r="N833" s="3">
        <v>6</v>
      </c>
      <c r="O833" s="3">
        <v>4</v>
      </c>
    </row>
    <row r="834" spans="1:15" ht="20" customHeight="1">
      <c r="A834" s="3" t="s">
        <v>1238</v>
      </c>
      <c r="B834" s="2">
        <v>46293</v>
      </c>
      <c r="C834" s="3">
        <v>8</v>
      </c>
      <c r="D834" s="3" t="s">
        <v>191</v>
      </c>
      <c r="E834" s="3" t="s">
        <v>91</v>
      </c>
      <c r="F834" s="3" t="s">
        <v>98</v>
      </c>
      <c r="G834" s="3" t="s">
        <v>93</v>
      </c>
      <c r="H834" s="3" t="s">
        <v>146</v>
      </c>
      <c r="I834" s="3">
        <v>1</v>
      </c>
      <c r="J834" s="11">
        <v>110</v>
      </c>
      <c r="K834" s="4">
        <v>0.1</v>
      </c>
      <c r="L834" s="3" t="s">
        <v>95</v>
      </c>
      <c r="M834" s="3">
        <v>33</v>
      </c>
      <c r="N834" s="3">
        <v>7</v>
      </c>
      <c r="O834" s="3">
        <v>5</v>
      </c>
    </row>
    <row r="835" spans="1:15" ht="20" customHeight="1">
      <c r="A835" s="3" t="s">
        <v>1239</v>
      </c>
      <c r="B835" s="2">
        <v>46293</v>
      </c>
      <c r="C835" s="3">
        <v>12</v>
      </c>
      <c r="D835" s="3" t="s">
        <v>630</v>
      </c>
      <c r="E835" s="3" t="s">
        <v>91</v>
      </c>
      <c r="F835" s="3" t="s">
        <v>121</v>
      </c>
      <c r="G835" s="3" t="s">
        <v>135</v>
      </c>
      <c r="H835" s="3" t="s">
        <v>217</v>
      </c>
      <c r="I835" s="3">
        <v>5</v>
      </c>
      <c r="J835" s="11">
        <v>65</v>
      </c>
      <c r="K835" s="4">
        <v>0.1</v>
      </c>
      <c r="L835" s="3" t="s">
        <v>95</v>
      </c>
      <c r="M835" s="3">
        <v>26</v>
      </c>
      <c r="N835" s="3">
        <v>8</v>
      </c>
      <c r="O835" s="3">
        <v>4</v>
      </c>
    </row>
    <row r="836" spans="1:15" ht="20" customHeight="1">
      <c r="A836" s="3" t="s">
        <v>1240</v>
      </c>
      <c r="B836" s="2">
        <v>46293</v>
      </c>
      <c r="C836" s="3">
        <v>23</v>
      </c>
      <c r="D836" s="3" t="s">
        <v>1241</v>
      </c>
      <c r="E836" s="3" t="s">
        <v>117</v>
      </c>
      <c r="F836" s="3" t="s">
        <v>92</v>
      </c>
      <c r="G836" s="3" t="s">
        <v>110</v>
      </c>
      <c r="H836" s="3" t="s">
        <v>206</v>
      </c>
      <c r="I836" s="3">
        <v>5</v>
      </c>
      <c r="J836" s="11">
        <v>220</v>
      </c>
      <c r="K836" s="4">
        <v>0.05</v>
      </c>
      <c r="L836" s="3" t="s">
        <v>95</v>
      </c>
      <c r="M836" s="3">
        <v>33</v>
      </c>
      <c r="N836" s="3">
        <v>10</v>
      </c>
      <c r="O836" s="3">
        <v>4</v>
      </c>
    </row>
    <row r="837" spans="1:15" ht="20" customHeight="1">
      <c r="A837" s="3" t="s">
        <v>1242</v>
      </c>
      <c r="B837" s="2">
        <v>46293</v>
      </c>
      <c r="C837" s="3">
        <v>20</v>
      </c>
      <c r="D837" s="3" t="s">
        <v>736</v>
      </c>
      <c r="E837" s="3" t="s">
        <v>117</v>
      </c>
      <c r="F837" s="3" t="s">
        <v>139</v>
      </c>
      <c r="G837" s="3" t="s">
        <v>174</v>
      </c>
      <c r="H837" s="3" t="s">
        <v>274</v>
      </c>
      <c r="I837" s="3">
        <v>2</v>
      </c>
      <c r="J837" s="11">
        <v>90</v>
      </c>
      <c r="K837" s="4">
        <v>0</v>
      </c>
      <c r="L837" s="3" t="s">
        <v>95</v>
      </c>
      <c r="M837" s="3">
        <v>34</v>
      </c>
      <c r="N837" s="3">
        <v>13</v>
      </c>
      <c r="O837" s="3">
        <v>4</v>
      </c>
    </row>
    <row r="838" spans="1:15" ht="20" customHeight="1">
      <c r="A838" s="3" t="s">
        <v>1243</v>
      </c>
      <c r="B838" s="2">
        <v>46293</v>
      </c>
      <c r="C838" s="3">
        <v>18</v>
      </c>
      <c r="D838" s="3" t="s">
        <v>1115</v>
      </c>
      <c r="E838" s="3" t="s">
        <v>91</v>
      </c>
      <c r="F838" s="3" t="s">
        <v>109</v>
      </c>
      <c r="G838" s="3" t="s">
        <v>174</v>
      </c>
      <c r="H838" s="3" t="s">
        <v>175</v>
      </c>
      <c r="I838" s="3">
        <v>2</v>
      </c>
      <c r="J838" s="11">
        <v>155</v>
      </c>
      <c r="K838" s="4">
        <v>0.15</v>
      </c>
      <c r="L838" s="3" t="s">
        <v>95</v>
      </c>
      <c r="M838" s="3">
        <v>22</v>
      </c>
      <c r="N838" s="3">
        <v>14</v>
      </c>
      <c r="O838" s="3">
        <v>4</v>
      </c>
    </row>
    <row r="839" spans="1:15" ht="20" customHeight="1">
      <c r="A839" s="3" t="s">
        <v>1244</v>
      </c>
      <c r="B839" s="2">
        <v>46293</v>
      </c>
      <c r="C839" s="3">
        <v>16</v>
      </c>
      <c r="D839" s="3" t="s">
        <v>452</v>
      </c>
      <c r="E839" s="3" t="s">
        <v>91</v>
      </c>
      <c r="F839" s="3" t="s">
        <v>109</v>
      </c>
      <c r="G839" s="3" t="s">
        <v>122</v>
      </c>
      <c r="H839" s="3" t="s">
        <v>123</v>
      </c>
      <c r="I839" s="3">
        <v>2</v>
      </c>
      <c r="J839" s="11">
        <v>45</v>
      </c>
      <c r="K839" s="4">
        <v>0</v>
      </c>
      <c r="L839" s="3" t="s">
        <v>95</v>
      </c>
      <c r="M839" s="3">
        <v>23</v>
      </c>
      <c r="N839" s="3">
        <v>11</v>
      </c>
      <c r="O839" s="3">
        <v>4</v>
      </c>
    </row>
    <row r="840" spans="1:15" ht="20" customHeight="1">
      <c r="A840" s="3" t="s">
        <v>1245</v>
      </c>
      <c r="B840" s="2">
        <v>46293</v>
      </c>
      <c r="C840" s="3">
        <v>12</v>
      </c>
      <c r="D840" s="3" t="s">
        <v>833</v>
      </c>
      <c r="E840" s="3" t="s">
        <v>91</v>
      </c>
      <c r="F840" s="3" t="s">
        <v>139</v>
      </c>
      <c r="G840" s="3" t="s">
        <v>93</v>
      </c>
      <c r="H840" s="3" t="s">
        <v>118</v>
      </c>
      <c r="I840" s="3">
        <v>5</v>
      </c>
      <c r="J840" s="11">
        <v>45</v>
      </c>
      <c r="K840" s="4">
        <v>0.1</v>
      </c>
      <c r="L840" s="3" t="s">
        <v>95</v>
      </c>
      <c r="M840" s="3">
        <v>20</v>
      </c>
      <c r="N840" s="3">
        <v>6</v>
      </c>
      <c r="O840" s="3">
        <v>4</v>
      </c>
    </row>
    <row r="841" spans="1:15" ht="20" customHeight="1">
      <c r="A841" s="3" t="s">
        <v>1246</v>
      </c>
      <c r="B841" s="2">
        <v>46293</v>
      </c>
      <c r="C841" s="3">
        <v>18</v>
      </c>
      <c r="D841" s="3" t="s">
        <v>963</v>
      </c>
      <c r="E841" s="3" t="s">
        <v>91</v>
      </c>
      <c r="F841" s="3" t="s">
        <v>139</v>
      </c>
      <c r="G841" s="3" t="s">
        <v>174</v>
      </c>
      <c r="H841" s="3" t="s">
        <v>175</v>
      </c>
      <c r="I841" s="3">
        <v>5</v>
      </c>
      <c r="J841" s="11">
        <v>155</v>
      </c>
      <c r="K841" s="4">
        <v>0.1</v>
      </c>
      <c r="L841" s="3" t="s">
        <v>95</v>
      </c>
      <c r="M841" s="3">
        <v>16</v>
      </c>
      <c r="N841" s="3">
        <v>4</v>
      </c>
      <c r="O841" s="3">
        <v>4</v>
      </c>
    </row>
    <row r="842" spans="1:15" ht="20" customHeight="1">
      <c r="A842" s="3" t="s">
        <v>1247</v>
      </c>
      <c r="B842" s="2">
        <v>46294</v>
      </c>
      <c r="C842" s="3">
        <v>8</v>
      </c>
      <c r="D842" s="3" t="s">
        <v>749</v>
      </c>
      <c r="E842" s="3" t="s">
        <v>91</v>
      </c>
      <c r="F842" s="3" t="s">
        <v>139</v>
      </c>
      <c r="G842" s="3" t="s">
        <v>93</v>
      </c>
      <c r="H842" s="3" t="s">
        <v>94</v>
      </c>
      <c r="I842" s="3">
        <v>5</v>
      </c>
      <c r="J842" s="11">
        <v>95</v>
      </c>
      <c r="K842" s="4">
        <v>0.1</v>
      </c>
      <c r="L842" s="3" t="s">
        <v>1311</v>
      </c>
      <c r="M842" s="3">
        <v>21</v>
      </c>
      <c r="N842" s="3">
        <v>5</v>
      </c>
      <c r="O842" s="3">
        <v>3</v>
      </c>
    </row>
    <row r="843" spans="1:15" ht="20" customHeight="1">
      <c r="A843" s="3" t="s">
        <v>1248</v>
      </c>
      <c r="B843" s="2">
        <v>46294</v>
      </c>
      <c r="C843" s="3">
        <v>6</v>
      </c>
      <c r="D843" s="3" t="s">
        <v>436</v>
      </c>
      <c r="E843" s="3" t="s">
        <v>117</v>
      </c>
      <c r="F843" s="3" t="s">
        <v>109</v>
      </c>
      <c r="G843" s="3" t="s">
        <v>99</v>
      </c>
      <c r="H843" s="3" t="s">
        <v>104</v>
      </c>
      <c r="I843" s="3">
        <v>6</v>
      </c>
      <c r="J843" s="11">
        <v>240</v>
      </c>
      <c r="K843" s="4">
        <v>0.1</v>
      </c>
      <c r="L843" s="3" t="s">
        <v>95</v>
      </c>
      <c r="M843" s="3">
        <v>17</v>
      </c>
      <c r="N843" s="3">
        <v>9</v>
      </c>
      <c r="O843" s="3">
        <v>3</v>
      </c>
    </row>
    <row r="844" spans="1:15" ht="20" customHeight="1">
      <c r="A844" s="3" t="s">
        <v>1249</v>
      </c>
      <c r="B844" s="2">
        <v>46294</v>
      </c>
      <c r="C844" s="3">
        <v>20</v>
      </c>
      <c r="D844" s="3" t="s">
        <v>369</v>
      </c>
      <c r="E844" s="3" t="s">
        <v>91</v>
      </c>
      <c r="F844" s="3" t="s">
        <v>109</v>
      </c>
      <c r="G844" s="3" t="s">
        <v>99</v>
      </c>
      <c r="H844" s="3" t="s">
        <v>100</v>
      </c>
      <c r="I844" s="3">
        <v>3</v>
      </c>
      <c r="J844" s="11">
        <v>120</v>
      </c>
      <c r="K844" s="4">
        <v>0.1</v>
      </c>
      <c r="L844" s="3" t="s">
        <v>95</v>
      </c>
      <c r="M844" s="3">
        <v>36</v>
      </c>
      <c r="N844" s="3">
        <v>8</v>
      </c>
      <c r="O844" s="3">
        <v>5</v>
      </c>
    </row>
    <row r="845" spans="1:15" ht="20" customHeight="1">
      <c r="A845" s="3" t="s">
        <v>1250</v>
      </c>
      <c r="B845" s="2">
        <v>46294</v>
      </c>
      <c r="C845" s="3">
        <v>11</v>
      </c>
      <c r="D845" s="3" t="s">
        <v>359</v>
      </c>
      <c r="E845" s="3" t="s">
        <v>91</v>
      </c>
      <c r="F845" s="3" t="s">
        <v>109</v>
      </c>
      <c r="G845" s="3" t="s">
        <v>93</v>
      </c>
      <c r="H845" s="3" t="s">
        <v>118</v>
      </c>
      <c r="I845" s="3">
        <v>6</v>
      </c>
      <c r="J845" s="11">
        <v>45</v>
      </c>
      <c r="K845" s="4">
        <v>0</v>
      </c>
      <c r="L845" s="3" t="s">
        <v>95</v>
      </c>
      <c r="M845" s="3">
        <v>21</v>
      </c>
      <c r="N845" s="3">
        <v>11</v>
      </c>
      <c r="O845" s="3">
        <v>4</v>
      </c>
    </row>
    <row r="846" spans="1:15" ht="20" customHeight="1">
      <c r="A846" s="3" t="s">
        <v>1251</v>
      </c>
      <c r="B846" s="2">
        <v>46294</v>
      </c>
      <c r="C846" s="3">
        <v>18</v>
      </c>
      <c r="D846" s="3" t="s">
        <v>1252</v>
      </c>
      <c r="E846" s="3" t="s">
        <v>91</v>
      </c>
      <c r="F846" s="3" t="s">
        <v>121</v>
      </c>
      <c r="G846" s="3" t="s">
        <v>174</v>
      </c>
      <c r="H846" s="3" t="s">
        <v>184</v>
      </c>
      <c r="I846" s="3">
        <v>6</v>
      </c>
      <c r="J846" s="11">
        <v>62</v>
      </c>
      <c r="K846" s="4">
        <v>0</v>
      </c>
      <c r="L846" s="3" t="s">
        <v>95</v>
      </c>
      <c r="M846" s="3">
        <v>26</v>
      </c>
      <c r="N846" s="3">
        <v>10</v>
      </c>
      <c r="O846" s="3">
        <v>5</v>
      </c>
    </row>
    <row r="847" spans="1:15" ht="20" customHeight="1">
      <c r="A847" s="3" t="s">
        <v>1253</v>
      </c>
      <c r="B847" s="2">
        <v>46294</v>
      </c>
      <c r="C847" s="3">
        <v>19</v>
      </c>
      <c r="D847" s="3" t="s">
        <v>1061</v>
      </c>
      <c r="E847" s="3" t="s">
        <v>91</v>
      </c>
      <c r="F847" s="3" t="s">
        <v>139</v>
      </c>
      <c r="G847" s="3" t="s">
        <v>135</v>
      </c>
      <c r="H847" s="3" t="s">
        <v>162</v>
      </c>
      <c r="I847" s="3">
        <v>1</v>
      </c>
      <c r="J847" s="11">
        <v>180</v>
      </c>
      <c r="K847" s="4">
        <v>0.1</v>
      </c>
      <c r="L847" s="3" t="s">
        <v>95</v>
      </c>
      <c r="M847" s="3">
        <v>21</v>
      </c>
      <c r="N847" s="3">
        <v>9</v>
      </c>
      <c r="O847" s="3">
        <v>4</v>
      </c>
    </row>
    <row r="848" spans="1:15" ht="20" customHeight="1">
      <c r="A848" s="3" t="s">
        <v>1254</v>
      </c>
      <c r="B848" s="2">
        <v>46294</v>
      </c>
      <c r="C848" s="3">
        <v>20</v>
      </c>
      <c r="D848" s="3" t="s">
        <v>228</v>
      </c>
      <c r="E848" s="3" t="s">
        <v>91</v>
      </c>
      <c r="F848" s="3" t="s">
        <v>98</v>
      </c>
      <c r="G848" s="3" t="s">
        <v>99</v>
      </c>
      <c r="H848" s="3" t="s">
        <v>100</v>
      </c>
      <c r="I848" s="3">
        <v>1</v>
      </c>
      <c r="J848" s="11">
        <v>120</v>
      </c>
      <c r="K848" s="4">
        <v>0</v>
      </c>
      <c r="L848" s="3" t="s">
        <v>95</v>
      </c>
      <c r="M848" s="3">
        <v>12</v>
      </c>
      <c r="N848" s="3">
        <v>12</v>
      </c>
      <c r="O848" s="3">
        <v>5</v>
      </c>
    </row>
    <row r="849" spans="1:15" ht="20" customHeight="1">
      <c r="A849" s="3" t="s">
        <v>1255</v>
      </c>
      <c r="B849" s="2">
        <v>46294</v>
      </c>
      <c r="C849" s="3">
        <v>20</v>
      </c>
      <c r="D849" s="3" t="s">
        <v>236</v>
      </c>
      <c r="E849" s="3" t="s">
        <v>91</v>
      </c>
      <c r="F849" s="3" t="s">
        <v>98</v>
      </c>
      <c r="G849" s="3" t="s">
        <v>122</v>
      </c>
      <c r="H849" s="3" t="s">
        <v>123</v>
      </c>
      <c r="I849" s="3">
        <v>4</v>
      </c>
      <c r="J849" s="11">
        <v>45</v>
      </c>
      <c r="K849" s="4">
        <v>0.05</v>
      </c>
      <c r="L849" s="3" t="s">
        <v>95</v>
      </c>
      <c r="M849" s="3">
        <v>22</v>
      </c>
      <c r="N849" s="3">
        <v>13</v>
      </c>
      <c r="O849" s="3">
        <v>4</v>
      </c>
    </row>
    <row r="850" spans="1:15" ht="20" customHeight="1">
      <c r="A850" s="3" t="s">
        <v>1256</v>
      </c>
      <c r="B850" s="2">
        <v>46294</v>
      </c>
      <c r="C850" s="3">
        <v>17</v>
      </c>
      <c r="D850" s="3" t="s">
        <v>392</v>
      </c>
      <c r="E850" s="3" t="s">
        <v>91</v>
      </c>
      <c r="F850" s="3" t="s">
        <v>109</v>
      </c>
      <c r="G850" s="3" t="s">
        <v>93</v>
      </c>
      <c r="H850" s="3" t="s">
        <v>94</v>
      </c>
      <c r="I850" s="3">
        <v>2</v>
      </c>
      <c r="J850" s="11">
        <v>95</v>
      </c>
      <c r="K850" s="4">
        <v>0</v>
      </c>
      <c r="L850" s="3" t="s">
        <v>95</v>
      </c>
      <c r="M850" s="3">
        <v>35</v>
      </c>
      <c r="N850" s="3">
        <v>15</v>
      </c>
      <c r="O850" s="3">
        <v>3</v>
      </c>
    </row>
    <row r="851" spans="1:15" ht="20" customHeight="1">
      <c r="A851" s="3" t="s">
        <v>1257</v>
      </c>
      <c r="B851" s="2">
        <v>46294</v>
      </c>
      <c r="C851" s="3">
        <v>18</v>
      </c>
      <c r="D851" s="3" t="s">
        <v>305</v>
      </c>
      <c r="E851" s="3" t="s">
        <v>91</v>
      </c>
      <c r="F851" s="3" t="s">
        <v>121</v>
      </c>
      <c r="G851" s="3" t="s">
        <v>135</v>
      </c>
      <c r="H851" s="3" t="s">
        <v>136</v>
      </c>
      <c r="I851" s="3">
        <v>4</v>
      </c>
      <c r="J851" s="11">
        <v>40</v>
      </c>
      <c r="K851" s="4">
        <v>0</v>
      </c>
      <c r="L851" s="3" t="s">
        <v>95</v>
      </c>
      <c r="M851" s="3">
        <v>29</v>
      </c>
      <c r="N851" s="3">
        <v>11</v>
      </c>
      <c r="O851" s="3">
        <v>4</v>
      </c>
    </row>
    <row r="852" spans="1:15" ht="20" customHeight="1">
      <c r="A852" s="3" t="s">
        <v>1258</v>
      </c>
      <c r="B852" s="2">
        <v>46294</v>
      </c>
      <c r="C852" s="3">
        <v>15</v>
      </c>
      <c r="D852" s="3" t="s">
        <v>372</v>
      </c>
      <c r="E852" s="3" t="s">
        <v>117</v>
      </c>
      <c r="F852" s="3" t="s">
        <v>139</v>
      </c>
      <c r="G852" s="3" t="s">
        <v>135</v>
      </c>
      <c r="H852" s="3" t="s">
        <v>162</v>
      </c>
      <c r="I852" s="3">
        <v>5</v>
      </c>
      <c r="J852" s="11">
        <v>180</v>
      </c>
      <c r="K852" s="4">
        <v>0</v>
      </c>
      <c r="L852" s="3" t="s">
        <v>101</v>
      </c>
      <c r="M852" s="3"/>
      <c r="N852" s="3"/>
      <c r="O852" s="3"/>
    </row>
    <row r="853" spans="1:15" ht="20" customHeight="1">
      <c r="A853" s="3" t="s">
        <v>1259</v>
      </c>
      <c r="B853" s="2">
        <v>46294</v>
      </c>
      <c r="C853" s="3">
        <v>18</v>
      </c>
      <c r="D853" s="3" t="s">
        <v>460</v>
      </c>
      <c r="E853" s="3" t="s">
        <v>117</v>
      </c>
      <c r="F853" s="3" t="s">
        <v>139</v>
      </c>
      <c r="G853" s="3" t="s">
        <v>122</v>
      </c>
      <c r="H853" s="3" t="s">
        <v>214</v>
      </c>
      <c r="I853" s="3">
        <v>2</v>
      </c>
      <c r="J853" s="11">
        <v>55</v>
      </c>
      <c r="K853" s="4">
        <v>0</v>
      </c>
      <c r="L853" s="3" t="s">
        <v>95</v>
      </c>
      <c r="M853" s="3">
        <v>29</v>
      </c>
      <c r="N853" s="3">
        <v>11</v>
      </c>
      <c r="O853" s="3">
        <v>5</v>
      </c>
    </row>
    <row r="854" spans="1:15" ht="20" customHeight="1">
      <c r="A854" s="3" t="s">
        <v>1260</v>
      </c>
      <c r="B854" s="2">
        <v>46294</v>
      </c>
      <c r="C854" s="3">
        <v>18</v>
      </c>
      <c r="D854" s="3" t="s">
        <v>181</v>
      </c>
      <c r="E854" s="3" t="s">
        <v>117</v>
      </c>
      <c r="F854" s="3" t="s">
        <v>139</v>
      </c>
      <c r="G854" s="3" t="s">
        <v>122</v>
      </c>
      <c r="H854" s="3" t="s">
        <v>153</v>
      </c>
      <c r="I854" s="3">
        <v>3</v>
      </c>
      <c r="J854" s="11">
        <v>130</v>
      </c>
      <c r="K854" s="4">
        <v>0.15</v>
      </c>
      <c r="L854" s="3" t="s">
        <v>95</v>
      </c>
      <c r="M854" s="3">
        <v>24</v>
      </c>
      <c r="N854" s="3">
        <v>9</v>
      </c>
      <c r="O854" s="3">
        <v>5</v>
      </c>
    </row>
    <row r="855" spans="1:15" ht="20" customHeight="1">
      <c r="A855" s="3" t="s">
        <v>1261</v>
      </c>
      <c r="B855" s="2">
        <v>46294</v>
      </c>
      <c r="C855" s="3">
        <v>9</v>
      </c>
      <c r="D855" s="3" t="s">
        <v>545</v>
      </c>
      <c r="E855" s="3" t="s">
        <v>117</v>
      </c>
      <c r="F855" s="3" t="s">
        <v>139</v>
      </c>
      <c r="G855" s="3" t="s">
        <v>135</v>
      </c>
      <c r="H855" s="3" t="s">
        <v>217</v>
      </c>
      <c r="I855" s="3">
        <v>5</v>
      </c>
      <c r="J855" s="11">
        <v>65</v>
      </c>
      <c r="K855" s="4">
        <v>0</v>
      </c>
      <c r="L855" s="3" t="s">
        <v>95</v>
      </c>
      <c r="M855" s="3">
        <v>28</v>
      </c>
      <c r="N855" s="3">
        <v>15</v>
      </c>
      <c r="O855" s="3">
        <v>5</v>
      </c>
    </row>
    <row r="856" spans="1:15" ht="20" customHeight="1">
      <c r="A856" s="3" t="s">
        <v>1262</v>
      </c>
      <c r="B856" s="2">
        <v>46294</v>
      </c>
      <c r="C856" s="3">
        <v>18</v>
      </c>
      <c r="D856" s="3" t="s">
        <v>436</v>
      </c>
      <c r="E856" s="3" t="s">
        <v>117</v>
      </c>
      <c r="F856" s="3" t="s">
        <v>92</v>
      </c>
      <c r="G856" s="3" t="s">
        <v>99</v>
      </c>
      <c r="H856" s="3" t="s">
        <v>130</v>
      </c>
      <c r="I856" s="3">
        <v>5</v>
      </c>
      <c r="J856" s="11">
        <v>85</v>
      </c>
      <c r="K856" s="4">
        <v>0</v>
      </c>
      <c r="L856" s="3" t="s">
        <v>95</v>
      </c>
      <c r="M856" s="3">
        <v>36</v>
      </c>
      <c r="N856" s="3">
        <v>6</v>
      </c>
      <c r="O856" s="3">
        <v>4</v>
      </c>
    </row>
    <row r="857" spans="1:15" ht="20" customHeight="1">
      <c r="A857" s="3" t="s">
        <v>1263</v>
      </c>
      <c r="B857" s="2">
        <v>46294</v>
      </c>
      <c r="C857" s="3">
        <v>22</v>
      </c>
      <c r="D857" s="3" t="s">
        <v>454</v>
      </c>
      <c r="E857" s="3" t="s">
        <v>91</v>
      </c>
      <c r="F857" s="3" t="s">
        <v>1313</v>
      </c>
      <c r="G857" s="3" t="s">
        <v>174</v>
      </c>
      <c r="H857" s="3" t="s">
        <v>175</v>
      </c>
      <c r="I857" s="3">
        <v>1</v>
      </c>
      <c r="J857" s="11">
        <v>155</v>
      </c>
      <c r="K857" s="4">
        <v>0</v>
      </c>
      <c r="L857" s="3" t="s">
        <v>95</v>
      </c>
      <c r="M857" s="3">
        <v>26</v>
      </c>
      <c r="N857" s="3">
        <v>13</v>
      </c>
      <c r="O857" s="3">
        <v>5</v>
      </c>
    </row>
    <row r="858" spans="1:15" ht="20" customHeight="1">
      <c r="A858" s="3" t="s">
        <v>1264</v>
      </c>
      <c r="B858" s="2">
        <v>46294</v>
      </c>
      <c r="C858" s="3">
        <v>11</v>
      </c>
      <c r="D858" s="3" t="s">
        <v>255</v>
      </c>
      <c r="E858" s="3" t="s">
        <v>91</v>
      </c>
      <c r="F858" s="3" t="s">
        <v>109</v>
      </c>
      <c r="G858" s="3" t="s">
        <v>122</v>
      </c>
      <c r="H858" s="3" t="s">
        <v>123</v>
      </c>
      <c r="I858" s="3">
        <v>6</v>
      </c>
      <c r="J858" s="11">
        <v>45</v>
      </c>
      <c r="K858" s="4">
        <v>0</v>
      </c>
      <c r="L858" s="3" t="s">
        <v>95</v>
      </c>
      <c r="M858" s="3">
        <v>29</v>
      </c>
      <c r="N858" s="3">
        <v>9</v>
      </c>
      <c r="O858" s="3">
        <v>5</v>
      </c>
    </row>
    <row r="859" spans="1:15" ht="20" customHeight="1">
      <c r="A859" s="3" t="s">
        <v>1265</v>
      </c>
      <c r="B859" s="2">
        <v>46294</v>
      </c>
      <c r="C859" s="3">
        <v>12</v>
      </c>
      <c r="D859" s="3" t="s">
        <v>845</v>
      </c>
      <c r="E859" s="3" t="s">
        <v>91</v>
      </c>
      <c r="F859" s="3" t="s">
        <v>121</v>
      </c>
      <c r="G859" s="3" t="s">
        <v>110</v>
      </c>
      <c r="H859" s="3" t="s">
        <v>111</v>
      </c>
      <c r="I859" s="3">
        <v>3</v>
      </c>
      <c r="J859" s="11">
        <v>115</v>
      </c>
      <c r="K859" s="4">
        <v>0.15</v>
      </c>
      <c r="L859" s="3" t="s">
        <v>95</v>
      </c>
      <c r="M859" s="3">
        <v>29</v>
      </c>
      <c r="N859" s="3">
        <v>11</v>
      </c>
      <c r="O859" s="3">
        <v>5</v>
      </c>
    </row>
    <row r="860" spans="1:15" ht="20" customHeight="1">
      <c r="A860" s="3" t="s">
        <v>1266</v>
      </c>
      <c r="B860" s="2">
        <v>46294</v>
      </c>
      <c r="C860" s="3">
        <v>10</v>
      </c>
      <c r="D860" s="3" t="s">
        <v>293</v>
      </c>
      <c r="E860" s="3" t="s">
        <v>91</v>
      </c>
      <c r="F860" s="3" t="s">
        <v>92</v>
      </c>
      <c r="G860" s="3" t="s">
        <v>93</v>
      </c>
      <c r="H860" s="3" t="s">
        <v>146</v>
      </c>
      <c r="I860" s="3">
        <v>3</v>
      </c>
      <c r="J860" s="11">
        <v>110</v>
      </c>
      <c r="K860" s="4">
        <v>0.1</v>
      </c>
      <c r="L860" s="3" t="s">
        <v>95</v>
      </c>
      <c r="M860" s="3">
        <v>22</v>
      </c>
      <c r="N860" s="3">
        <v>9</v>
      </c>
      <c r="O860" s="3">
        <v>4</v>
      </c>
    </row>
    <row r="861" spans="1:15" ht="20" customHeight="1">
      <c r="A861" s="3" t="s">
        <v>1267</v>
      </c>
      <c r="B861" s="2">
        <v>46294</v>
      </c>
      <c r="C861" s="3">
        <v>16</v>
      </c>
      <c r="D861" s="3" t="s">
        <v>201</v>
      </c>
      <c r="E861" s="3" t="s">
        <v>91</v>
      </c>
      <c r="F861" s="3" t="s">
        <v>121</v>
      </c>
      <c r="G861" s="3" t="s">
        <v>174</v>
      </c>
      <c r="H861" s="3" t="s">
        <v>184</v>
      </c>
      <c r="I861" s="3">
        <v>5</v>
      </c>
      <c r="J861" s="11">
        <v>62</v>
      </c>
      <c r="K861" s="4">
        <v>0.15</v>
      </c>
      <c r="L861" s="3" t="s">
        <v>95</v>
      </c>
      <c r="M861" s="3">
        <v>34</v>
      </c>
      <c r="N861" s="3">
        <v>5</v>
      </c>
      <c r="O861" s="3">
        <v>4</v>
      </c>
    </row>
    <row r="862" spans="1:15" ht="20" customHeight="1">
      <c r="A862" s="3" t="s">
        <v>1268</v>
      </c>
      <c r="B862" s="2">
        <v>46294</v>
      </c>
      <c r="C862" s="3">
        <v>8</v>
      </c>
      <c r="D862" s="3" t="s">
        <v>273</v>
      </c>
      <c r="E862" s="3" t="s">
        <v>117</v>
      </c>
      <c r="F862" s="3" t="s">
        <v>139</v>
      </c>
      <c r="G862" s="3" t="s">
        <v>122</v>
      </c>
      <c r="H862" s="3" t="s">
        <v>153</v>
      </c>
      <c r="I862" s="3">
        <v>4</v>
      </c>
      <c r="J862" s="11">
        <v>130</v>
      </c>
      <c r="K862" s="4">
        <v>0.05</v>
      </c>
      <c r="L862" s="3" t="s">
        <v>95</v>
      </c>
      <c r="M862" s="3">
        <v>27</v>
      </c>
      <c r="N862" s="3">
        <v>5</v>
      </c>
      <c r="O862" s="3">
        <v>5</v>
      </c>
    </row>
    <row r="863" spans="1:15" ht="20" customHeight="1">
      <c r="A863" s="3" t="s">
        <v>1269</v>
      </c>
      <c r="B863" s="2">
        <v>46294</v>
      </c>
      <c r="C863" s="3">
        <v>19</v>
      </c>
      <c r="D863" s="3" t="s">
        <v>244</v>
      </c>
      <c r="E863" s="3" t="s">
        <v>117</v>
      </c>
      <c r="F863" s="3" t="s">
        <v>121</v>
      </c>
      <c r="G863" s="3" t="s">
        <v>122</v>
      </c>
      <c r="H863" s="3" t="s">
        <v>123</v>
      </c>
      <c r="I863" s="3">
        <v>1</v>
      </c>
      <c r="J863" s="11">
        <v>45</v>
      </c>
      <c r="K863" s="4">
        <v>0</v>
      </c>
      <c r="L863" s="3" t="s">
        <v>95</v>
      </c>
      <c r="M863" s="3">
        <v>26</v>
      </c>
      <c r="N863" s="3">
        <v>4</v>
      </c>
      <c r="O863" s="3">
        <v>4</v>
      </c>
    </row>
    <row r="864" spans="1:15" ht="20" customHeight="1">
      <c r="A864" s="3" t="s">
        <v>1270</v>
      </c>
      <c r="B864" s="2">
        <v>46294</v>
      </c>
      <c r="C864" s="3">
        <v>10</v>
      </c>
      <c r="D864" s="3" t="s">
        <v>881</v>
      </c>
      <c r="E864" s="3" t="s">
        <v>91</v>
      </c>
      <c r="F864" s="3" t="s">
        <v>109</v>
      </c>
      <c r="G864" s="3" t="s">
        <v>93</v>
      </c>
      <c r="H864" s="3" t="s">
        <v>146</v>
      </c>
      <c r="I864" s="3">
        <v>1</v>
      </c>
      <c r="J864" s="11">
        <v>110</v>
      </c>
      <c r="K864" s="4">
        <v>0</v>
      </c>
      <c r="L864" s="3" t="s">
        <v>95</v>
      </c>
      <c r="M864" s="3">
        <v>25</v>
      </c>
      <c r="N864" s="3">
        <v>14</v>
      </c>
      <c r="O864" s="3">
        <v>5</v>
      </c>
    </row>
    <row r="865" spans="1:15" ht="20" customHeight="1">
      <c r="A865" s="3" t="s">
        <v>1271</v>
      </c>
      <c r="B865" s="2">
        <v>46294</v>
      </c>
      <c r="C865" s="3">
        <v>20</v>
      </c>
      <c r="D865" s="3" t="s">
        <v>226</v>
      </c>
      <c r="E865" s="3" t="s">
        <v>91</v>
      </c>
      <c r="F865" s="3" t="s">
        <v>121</v>
      </c>
      <c r="G865" s="3" t="s">
        <v>135</v>
      </c>
      <c r="H865" s="3" t="s">
        <v>136</v>
      </c>
      <c r="I865" s="3">
        <v>4</v>
      </c>
      <c r="J865" s="11">
        <v>40</v>
      </c>
      <c r="K865" s="4">
        <v>0.1</v>
      </c>
      <c r="L865" s="3" t="s">
        <v>101</v>
      </c>
      <c r="M865" s="3"/>
      <c r="N865" s="3"/>
      <c r="O865" s="3"/>
    </row>
    <row r="866" spans="1:15" ht="20" customHeight="1">
      <c r="A866" s="3" t="s">
        <v>1272</v>
      </c>
      <c r="B866" s="2">
        <v>46294</v>
      </c>
      <c r="C866" s="3">
        <v>17</v>
      </c>
      <c r="D866" s="3" t="s">
        <v>860</v>
      </c>
      <c r="E866" s="3" t="s">
        <v>91</v>
      </c>
      <c r="F866" s="3" t="s">
        <v>139</v>
      </c>
      <c r="G866" s="3" t="s">
        <v>110</v>
      </c>
      <c r="H866" s="3" t="s">
        <v>114</v>
      </c>
      <c r="I866" s="3">
        <v>5</v>
      </c>
      <c r="J866" s="11">
        <v>145</v>
      </c>
      <c r="K866" s="4">
        <v>0</v>
      </c>
      <c r="L866" s="3" t="s">
        <v>95</v>
      </c>
      <c r="M866" s="3">
        <v>24</v>
      </c>
      <c r="N866" s="3">
        <v>6</v>
      </c>
      <c r="O866" s="3">
        <v>5</v>
      </c>
    </row>
    <row r="867" spans="1:15" ht="20" customHeight="1">
      <c r="A867" s="3" t="s">
        <v>1273</v>
      </c>
      <c r="B867" s="2">
        <v>46294</v>
      </c>
      <c r="C867" s="3">
        <v>16</v>
      </c>
      <c r="D867" s="3" t="s">
        <v>462</v>
      </c>
      <c r="E867" s="3" t="s">
        <v>91</v>
      </c>
      <c r="F867" s="3" t="s">
        <v>92</v>
      </c>
      <c r="G867" s="3" t="s">
        <v>122</v>
      </c>
      <c r="H867" s="3" t="s">
        <v>153</v>
      </c>
      <c r="I867" s="3">
        <v>3</v>
      </c>
      <c r="J867" s="11">
        <v>130</v>
      </c>
      <c r="K867" s="4">
        <v>0</v>
      </c>
      <c r="L867" s="3" t="s">
        <v>95</v>
      </c>
      <c r="M867" s="3">
        <v>20</v>
      </c>
      <c r="N867" s="3">
        <v>11</v>
      </c>
      <c r="O867" s="3">
        <v>5</v>
      </c>
    </row>
    <row r="868" spans="1:15" ht="20" customHeight="1">
      <c r="A868" s="3" t="s">
        <v>1274</v>
      </c>
      <c r="B868" s="2">
        <v>46294</v>
      </c>
      <c r="C868" s="3">
        <v>16</v>
      </c>
      <c r="D868" s="3" t="s">
        <v>259</v>
      </c>
      <c r="E868" s="3" t="s">
        <v>91</v>
      </c>
      <c r="F868" s="3" t="s">
        <v>139</v>
      </c>
      <c r="G868" s="3" t="s">
        <v>135</v>
      </c>
      <c r="H868" s="3" t="s">
        <v>136</v>
      </c>
      <c r="I868" s="3">
        <v>1</v>
      </c>
      <c r="J868" s="11">
        <v>40</v>
      </c>
      <c r="K868" s="4">
        <v>0</v>
      </c>
      <c r="L868" s="3" t="s">
        <v>95</v>
      </c>
      <c r="M868" s="3">
        <v>13</v>
      </c>
      <c r="N868" s="3">
        <v>7</v>
      </c>
      <c r="O868" s="3">
        <v>5</v>
      </c>
    </row>
    <row r="869" spans="1:15" ht="20" customHeight="1">
      <c r="A869" s="3" t="s">
        <v>1275</v>
      </c>
      <c r="B869" s="2">
        <v>46294</v>
      </c>
      <c r="C869" s="3">
        <v>11</v>
      </c>
      <c r="D869" s="3" t="s">
        <v>597</v>
      </c>
      <c r="E869" s="3" t="s">
        <v>117</v>
      </c>
      <c r="F869" s="3" t="s">
        <v>139</v>
      </c>
      <c r="G869" s="3" t="s">
        <v>122</v>
      </c>
      <c r="H869" s="3" t="s">
        <v>153</v>
      </c>
      <c r="I869" s="3">
        <v>5</v>
      </c>
      <c r="J869" s="11">
        <v>130</v>
      </c>
      <c r="K869" s="4">
        <v>0.05</v>
      </c>
      <c r="L869" s="3" t="s">
        <v>95</v>
      </c>
      <c r="M869" s="3">
        <v>25</v>
      </c>
      <c r="N869" s="3">
        <v>9</v>
      </c>
      <c r="O869" s="3">
        <v>3</v>
      </c>
    </row>
    <row r="870" spans="1:15" ht="20" customHeight="1">
      <c r="A870" s="3" t="s">
        <v>1276</v>
      </c>
      <c r="B870" s="2">
        <v>46294</v>
      </c>
      <c r="C870" s="3">
        <v>18</v>
      </c>
      <c r="D870" s="3" t="s">
        <v>173</v>
      </c>
      <c r="E870" s="3" t="s">
        <v>91</v>
      </c>
      <c r="F870" s="3" t="s">
        <v>98</v>
      </c>
      <c r="G870" s="3" t="s">
        <v>174</v>
      </c>
      <c r="H870" s="3" t="s">
        <v>175</v>
      </c>
      <c r="I870" s="3">
        <v>5</v>
      </c>
      <c r="J870" s="11">
        <v>155</v>
      </c>
      <c r="K870" s="4">
        <v>0.15</v>
      </c>
      <c r="L870" s="3" t="s">
        <v>95</v>
      </c>
      <c r="M870" s="3">
        <v>36</v>
      </c>
      <c r="N870" s="3">
        <v>14</v>
      </c>
      <c r="O870" s="3">
        <v>5</v>
      </c>
    </row>
    <row r="871" spans="1:15" ht="20" customHeight="1">
      <c r="A871" s="3" t="s">
        <v>1277</v>
      </c>
      <c r="B871" s="2">
        <v>46294</v>
      </c>
      <c r="C871" s="3">
        <v>17</v>
      </c>
      <c r="D871" s="3" t="s">
        <v>353</v>
      </c>
      <c r="E871" s="3" t="s">
        <v>91</v>
      </c>
      <c r="F871" s="3" t="s">
        <v>98</v>
      </c>
      <c r="G871" s="3" t="s">
        <v>110</v>
      </c>
      <c r="H871" s="3" t="s">
        <v>114</v>
      </c>
      <c r="I871" s="3">
        <v>1</v>
      </c>
      <c r="J871" s="11">
        <v>145</v>
      </c>
      <c r="K871" s="4">
        <v>0</v>
      </c>
      <c r="L871" s="3" t="s">
        <v>95</v>
      </c>
      <c r="M871" s="3">
        <v>16</v>
      </c>
      <c r="N871" s="3">
        <v>9</v>
      </c>
      <c r="O871" s="3">
        <v>5</v>
      </c>
    </row>
    <row r="872" spans="1:15" ht="20" customHeight="1">
      <c r="A872" s="3" t="s">
        <v>1278</v>
      </c>
      <c r="B872" s="2">
        <v>46295</v>
      </c>
      <c r="C872" s="3">
        <v>20</v>
      </c>
      <c r="D872" s="3" t="s">
        <v>642</v>
      </c>
      <c r="E872" s="3" t="s">
        <v>91</v>
      </c>
      <c r="F872" s="3" t="s">
        <v>92</v>
      </c>
      <c r="G872" s="3" t="s">
        <v>110</v>
      </c>
      <c r="H872" s="3" t="s">
        <v>114</v>
      </c>
      <c r="I872" s="3">
        <v>5</v>
      </c>
      <c r="J872" s="11">
        <v>145</v>
      </c>
      <c r="K872" s="4">
        <v>0.1</v>
      </c>
      <c r="L872" s="3" t="s">
        <v>95</v>
      </c>
      <c r="M872" s="3">
        <v>37</v>
      </c>
      <c r="N872" s="3">
        <v>11</v>
      </c>
      <c r="O872" s="3">
        <v>4</v>
      </c>
    </row>
    <row r="873" spans="1:15" ht="20" customHeight="1">
      <c r="A873" s="3" t="s">
        <v>1279</v>
      </c>
      <c r="B873" s="2">
        <v>46295</v>
      </c>
      <c r="C873" s="3">
        <v>19</v>
      </c>
      <c r="D873" s="3" t="s">
        <v>770</v>
      </c>
      <c r="E873" s="3" t="s">
        <v>91</v>
      </c>
      <c r="F873" s="3" t="s">
        <v>92</v>
      </c>
      <c r="G873" s="3" t="s">
        <v>93</v>
      </c>
      <c r="H873" s="3" t="s">
        <v>146</v>
      </c>
      <c r="I873" s="3">
        <v>3</v>
      </c>
      <c r="J873" s="11">
        <v>110</v>
      </c>
      <c r="K873" s="4">
        <v>0.05</v>
      </c>
      <c r="L873" s="3" t="s">
        <v>95</v>
      </c>
      <c r="M873" s="3">
        <v>25</v>
      </c>
      <c r="N873" s="3">
        <v>13</v>
      </c>
      <c r="O873" s="3">
        <v>4</v>
      </c>
    </row>
    <row r="874" spans="1:15" ht="20" customHeight="1">
      <c r="A874" s="3" t="s">
        <v>1280</v>
      </c>
      <c r="B874" s="2">
        <v>46295</v>
      </c>
      <c r="C874" s="3">
        <v>19</v>
      </c>
      <c r="D874" s="3" t="s">
        <v>719</v>
      </c>
      <c r="E874" s="3" t="s">
        <v>91</v>
      </c>
      <c r="F874" s="3" t="s">
        <v>98</v>
      </c>
      <c r="G874" s="3" t="s">
        <v>93</v>
      </c>
      <c r="H874" s="3" t="s">
        <v>94</v>
      </c>
      <c r="I874" s="3">
        <v>3</v>
      </c>
      <c r="J874" s="11">
        <v>95</v>
      </c>
      <c r="K874" s="4">
        <v>0.05</v>
      </c>
      <c r="L874" s="3" t="s">
        <v>95</v>
      </c>
      <c r="M874" s="3">
        <v>28</v>
      </c>
      <c r="N874" s="3">
        <v>12</v>
      </c>
      <c r="O874" s="3">
        <v>5</v>
      </c>
    </row>
    <row r="875" spans="1:15" ht="20" customHeight="1">
      <c r="A875" s="3" t="s">
        <v>1281</v>
      </c>
      <c r="B875" s="2">
        <v>46295</v>
      </c>
      <c r="C875" s="3">
        <v>20</v>
      </c>
      <c r="D875" s="3" t="s">
        <v>230</v>
      </c>
      <c r="E875" s="3" t="s">
        <v>91</v>
      </c>
      <c r="F875" s="3" t="s">
        <v>98</v>
      </c>
      <c r="G875" s="3" t="s">
        <v>135</v>
      </c>
      <c r="H875" s="3" t="s">
        <v>162</v>
      </c>
      <c r="I875" s="3">
        <v>3</v>
      </c>
      <c r="J875" s="11">
        <v>180</v>
      </c>
      <c r="K875" s="4">
        <v>0</v>
      </c>
      <c r="L875" s="3" t="s">
        <v>95</v>
      </c>
      <c r="M875" s="3">
        <v>29</v>
      </c>
      <c r="N875" s="3">
        <v>6</v>
      </c>
      <c r="O875" s="3">
        <v>5</v>
      </c>
    </row>
    <row r="876" spans="1:15" ht="20" customHeight="1">
      <c r="A876" s="3" t="s">
        <v>1282</v>
      </c>
      <c r="B876" s="2">
        <v>46295</v>
      </c>
      <c r="C876" s="3">
        <v>10</v>
      </c>
      <c r="D876" s="3" t="s">
        <v>195</v>
      </c>
      <c r="E876" s="3" t="s">
        <v>91</v>
      </c>
      <c r="F876" s="3" t="s">
        <v>92</v>
      </c>
      <c r="G876" s="3" t="s">
        <v>135</v>
      </c>
      <c r="H876" s="3" t="s">
        <v>136</v>
      </c>
      <c r="I876" s="3">
        <v>1</v>
      </c>
      <c r="J876" s="11">
        <v>40</v>
      </c>
      <c r="K876" s="4">
        <v>0</v>
      </c>
      <c r="L876" s="3" t="s">
        <v>95</v>
      </c>
      <c r="M876" s="3">
        <v>35</v>
      </c>
      <c r="N876" s="3">
        <v>15</v>
      </c>
      <c r="O876" s="3">
        <v>4</v>
      </c>
    </row>
    <row r="877" spans="1:15" ht="20" customHeight="1">
      <c r="A877" s="3" t="s">
        <v>1283</v>
      </c>
      <c r="B877" s="2">
        <v>46295</v>
      </c>
      <c r="C877" s="3">
        <v>23</v>
      </c>
      <c r="D877" s="3" t="s">
        <v>971</v>
      </c>
      <c r="E877" s="3" t="s">
        <v>91</v>
      </c>
      <c r="F877" s="3" t="s">
        <v>92</v>
      </c>
      <c r="G877" s="3" t="s">
        <v>93</v>
      </c>
      <c r="H877" s="3" t="s">
        <v>118</v>
      </c>
      <c r="I877" s="3">
        <v>6</v>
      </c>
      <c r="J877" s="11">
        <v>45</v>
      </c>
      <c r="K877" s="4">
        <v>0.05</v>
      </c>
      <c r="L877" s="3" t="s">
        <v>101</v>
      </c>
      <c r="M877" s="3"/>
      <c r="N877" s="3"/>
      <c r="O877" s="3"/>
    </row>
    <row r="878" spans="1:15" ht="20" customHeight="1">
      <c r="A878" s="3" t="s">
        <v>1284</v>
      </c>
      <c r="B878" s="2">
        <v>46295</v>
      </c>
      <c r="C878" s="3">
        <v>20</v>
      </c>
      <c r="D878" s="3" t="s">
        <v>630</v>
      </c>
      <c r="E878" s="3" t="s">
        <v>91</v>
      </c>
      <c r="F878" s="3" t="s">
        <v>139</v>
      </c>
      <c r="G878" s="3" t="s">
        <v>135</v>
      </c>
      <c r="H878" s="3" t="s">
        <v>162</v>
      </c>
      <c r="I878" s="3">
        <v>4</v>
      </c>
      <c r="J878" s="11">
        <v>180</v>
      </c>
      <c r="K878" s="4">
        <v>0</v>
      </c>
      <c r="L878" s="3" t="s">
        <v>95</v>
      </c>
      <c r="M878" s="3">
        <v>13</v>
      </c>
      <c r="N878" s="3">
        <v>7</v>
      </c>
      <c r="O878" s="3">
        <v>4</v>
      </c>
    </row>
    <row r="879" spans="1:15" ht="20" customHeight="1">
      <c r="A879" s="3" t="s">
        <v>1285</v>
      </c>
      <c r="B879" s="2">
        <v>46295</v>
      </c>
      <c r="C879" s="3">
        <v>6</v>
      </c>
      <c r="D879" s="3" t="s">
        <v>695</v>
      </c>
      <c r="E879" s="3" t="s">
        <v>117</v>
      </c>
      <c r="F879" s="3" t="s">
        <v>109</v>
      </c>
      <c r="G879" s="3" t="s">
        <v>93</v>
      </c>
      <c r="H879" s="3" t="s">
        <v>118</v>
      </c>
      <c r="I879" s="3">
        <v>1</v>
      </c>
      <c r="J879" s="11">
        <v>45</v>
      </c>
      <c r="K879" s="4">
        <v>0</v>
      </c>
      <c r="L879" s="3" t="s">
        <v>95</v>
      </c>
      <c r="M879" s="3">
        <v>37</v>
      </c>
      <c r="N879" s="3">
        <v>9</v>
      </c>
      <c r="O879" s="3">
        <v>4</v>
      </c>
    </row>
    <row r="880" spans="1:15" ht="20" customHeight="1">
      <c r="A880" s="3" t="s">
        <v>1286</v>
      </c>
      <c r="B880" s="2">
        <v>46295</v>
      </c>
      <c r="C880" s="3">
        <v>20</v>
      </c>
      <c r="D880" s="3" t="s">
        <v>427</v>
      </c>
      <c r="E880" s="3" t="s">
        <v>91</v>
      </c>
      <c r="F880" s="3" t="s">
        <v>139</v>
      </c>
      <c r="G880" s="3" t="s">
        <v>122</v>
      </c>
      <c r="H880" s="3" t="s">
        <v>214</v>
      </c>
      <c r="I880" s="3">
        <v>5</v>
      </c>
      <c r="J880" s="11">
        <v>55</v>
      </c>
      <c r="K880" s="4">
        <v>0</v>
      </c>
      <c r="L880" s="3" t="s">
        <v>95</v>
      </c>
      <c r="M880" s="3">
        <v>36</v>
      </c>
      <c r="N880" s="3">
        <v>4</v>
      </c>
      <c r="O880" s="3">
        <v>4</v>
      </c>
    </row>
    <row r="881" spans="1:15" ht="20" customHeight="1">
      <c r="A881" s="3" t="s">
        <v>1287</v>
      </c>
      <c r="B881" s="2">
        <v>46295</v>
      </c>
      <c r="C881" s="3">
        <v>19</v>
      </c>
      <c r="D881" s="3" t="s">
        <v>1288</v>
      </c>
      <c r="E881" s="3" t="s">
        <v>117</v>
      </c>
      <c r="F881" s="3" t="s">
        <v>139</v>
      </c>
      <c r="G881" s="3" t="s">
        <v>174</v>
      </c>
      <c r="H881" s="3" t="s">
        <v>175</v>
      </c>
      <c r="I881" s="3">
        <v>3</v>
      </c>
      <c r="J881" s="11">
        <v>155</v>
      </c>
      <c r="K881" s="4">
        <v>0</v>
      </c>
      <c r="L881" s="3" t="s">
        <v>95</v>
      </c>
      <c r="M881" s="3">
        <v>36</v>
      </c>
      <c r="N881" s="3">
        <v>15</v>
      </c>
      <c r="O881" s="3">
        <v>3</v>
      </c>
    </row>
    <row r="882" spans="1:15" ht="20" customHeight="1">
      <c r="A882" s="3" t="s">
        <v>1289</v>
      </c>
      <c r="B882" s="2">
        <v>46295</v>
      </c>
      <c r="C882" s="3">
        <v>17</v>
      </c>
      <c r="D882" s="3" t="s">
        <v>763</v>
      </c>
      <c r="E882" s="3" t="s">
        <v>91</v>
      </c>
      <c r="F882" s="3" t="s">
        <v>121</v>
      </c>
      <c r="G882" s="3" t="s">
        <v>110</v>
      </c>
      <c r="H882" s="3" t="s">
        <v>111</v>
      </c>
      <c r="I882" s="3">
        <v>2</v>
      </c>
      <c r="J882" s="11">
        <v>115</v>
      </c>
      <c r="K882" s="4">
        <v>0</v>
      </c>
      <c r="L882" s="3" t="s">
        <v>95</v>
      </c>
      <c r="M882" s="3">
        <v>13</v>
      </c>
      <c r="N882" s="3">
        <v>5</v>
      </c>
      <c r="O882" s="3">
        <v>4</v>
      </c>
    </row>
    <row r="883" spans="1:15" ht="20" customHeight="1">
      <c r="A883" s="3" t="s">
        <v>1290</v>
      </c>
      <c r="B883" s="2">
        <v>46295</v>
      </c>
      <c r="C883" s="3">
        <v>15</v>
      </c>
      <c r="D883" s="3" t="s">
        <v>780</v>
      </c>
      <c r="E883" s="3" t="s">
        <v>91</v>
      </c>
      <c r="F883" s="3" t="s">
        <v>139</v>
      </c>
      <c r="G883" s="3" t="s">
        <v>110</v>
      </c>
      <c r="H883" s="3" t="s">
        <v>206</v>
      </c>
      <c r="I883" s="3">
        <v>5</v>
      </c>
      <c r="J883" s="11">
        <v>220</v>
      </c>
      <c r="K883" s="4">
        <v>0</v>
      </c>
      <c r="L883" s="3" t="s">
        <v>95</v>
      </c>
      <c r="M883" s="3">
        <v>33</v>
      </c>
      <c r="N883" s="3">
        <v>14</v>
      </c>
      <c r="O883" s="3">
        <v>4</v>
      </c>
    </row>
    <row r="884" spans="1:15" ht="20" customHeight="1">
      <c r="A884" s="3" t="s">
        <v>1291</v>
      </c>
      <c r="B884" s="2">
        <v>46295</v>
      </c>
      <c r="C884" s="3">
        <v>18</v>
      </c>
      <c r="D884" s="3" t="s">
        <v>429</v>
      </c>
      <c r="E884" s="3" t="s">
        <v>91</v>
      </c>
      <c r="F884" s="3" t="s">
        <v>98</v>
      </c>
      <c r="G884" s="3" t="s">
        <v>99</v>
      </c>
      <c r="H884" s="3" t="s">
        <v>100</v>
      </c>
      <c r="I884" s="3">
        <v>5</v>
      </c>
      <c r="J884" s="11">
        <v>120</v>
      </c>
      <c r="K884" s="4">
        <v>0.15</v>
      </c>
      <c r="L884" s="3" t="s">
        <v>95</v>
      </c>
      <c r="M884" s="3">
        <v>23</v>
      </c>
      <c r="N884" s="3">
        <v>9</v>
      </c>
      <c r="O884" s="3">
        <v>5</v>
      </c>
    </row>
    <row r="885" spans="1:15" ht="20" customHeight="1">
      <c r="A885" s="3" t="s">
        <v>1292</v>
      </c>
      <c r="B885" s="2">
        <v>46295</v>
      </c>
      <c r="C885" s="3">
        <v>12</v>
      </c>
      <c r="D885" s="3" t="s">
        <v>406</v>
      </c>
      <c r="E885" s="3" t="s">
        <v>91</v>
      </c>
      <c r="F885" s="3" t="s">
        <v>121</v>
      </c>
      <c r="G885" s="3" t="s">
        <v>99</v>
      </c>
      <c r="H885" s="3" t="s">
        <v>130</v>
      </c>
      <c r="I885" s="3">
        <v>6</v>
      </c>
      <c r="J885" s="11">
        <v>85</v>
      </c>
      <c r="K885" s="4">
        <v>0</v>
      </c>
      <c r="L885" s="3" t="s">
        <v>95</v>
      </c>
      <c r="M885" s="3">
        <v>35</v>
      </c>
      <c r="N885" s="3">
        <v>5</v>
      </c>
      <c r="O885" s="3">
        <v>5</v>
      </c>
    </row>
    <row r="886" spans="1:15" ht="20" customHeight="1">
      <c r="A886" s="3" t="s">
        <v>1293</v>
      </c>
      <c r="B886" s="2">
        <v>46295</v>
      </c>
      <c r="C886" s="3">
        <v>21</v>
      </c>
      <c r="D886" s="3" t="s">
        <v>406</v>
      </c>
      <c r="E886" s="3" t="s">
        <v>91</v>
      </c>
      <c r="F886" s="3" t="s">
        <v>121</v>
      </c>
      <c r="G886" s="3" t="s">
        <v>99</v>
      </c>
      <c r="H886" s="3" t="s">
        <v>130</v>
      </c>
      <c r="I886" s="3">
        <v>3</v>
      </c>
      <c r="J886" s="11">
        <v>85</v>
      </c>
      <c r="K886" s="4">
        <v>0.05</v>
      </c>
      <c r="L886" s="3" t="s">
        <v>95</v>
      </c>
      <c r="M886" s="3">
        <v>28</v>
      </c>
      <c r="N886" s="3">
        <v>10</v>
      </c>
      <c r="O886" s="3">
        <v>4</v>
      </c>
    </row>
    <row r="887" spans="1:15" ht="20" customHeight="1">
      <c r="A887" s="3" t="s">
        <v>1294</v>
      </c>
      <c r="B887" s="2">
        <v>46295</v>
      </c>
      <c r="C887" s="3">
        <v>10</v>
      </c>
      <c r="D887" s="3" t="s">
        <v>401</v>
      </c>
      <c r="E887" s="3" t="s">
        <v>91</v>
      </c>
      <c r="F887" s="3" t="s">
        <v>109</v>
      </c>
      <c r="G887" s="3" t="s">
        <v>110</v>
      </c>
      <c r="H887" s="3" t="s">
        <v>206</v>
      </c>
      <c r="I887" s="3">
        <v>4</v>
      </c>
      <c r="J887" s="11">
        <v>220</v>
      </c>
      <c r="K887" s="4">
        <v>0</v>
      </c>
      <c r="L887" s="3" t="s">
        <v>95</v>
      </c>
      <c r="M887" s="3">
        <v>33</v>
      </c>
      <c r="N887" s="3">
        <v>9</v>
      </c>
      <c r="O887" s="3">
        <v>4</v>
      </c>
    </row>
    <row r="888" spans="1:15" ht="20" customHeight="1">
      <c r="A888" s="3" t="s">
        <v>1295</v>
      </c>
      <c r="B888" s="2">
        <v>46295</v>
      </c>
      <c r="C888" s="3">
        <v>17</v>
      </c>
      <c r="D888" s="3" t="s">
        <v>244</v>
      </c>
      <c r="E888" s="3" t="s">
        <v>117</v>
      </c>
      <c r="F888" s="3" t="s">
        <v>139</v>
      </c>
      <c r="G888" s="3" t="s">
        <v>99</v>
      </c>
      <c r="H888" s="3" t="s">
        <v>130</v>
      </c>
      <c r="I888" s="3">
        <v>2</v>
      </c>
      <c r="J888" s="11">
        <v>85</v>
      </c>
      <c r="K888" s="4">
        <v>0</v>
      </c>
      <c r="L888" s="3" t="s">
        <v>95</v>
      </c>
      <c r="M888" s="3">
        <v>18</v>
      </c>
      <c r="N888" s="3">
        <v>6</v>
      </c>
      <c r="O888" s="3">
        <v>5</v>
      </c>
    </row>
    <row r="889" spans="1:15" ht="20" customHeight="1">
      <c r="A889" s="3" t="s">
        <v>1296</v>
      </c>
      <c r="B889" s="2">
        <v>46295</v>
      </c>
      <c r="C889" s="3">
        <v>8</v>
      </c>
      <c r="D889" s="3" t="s">
        <v>406</v>
      </c>
      <c r="E889" s="3" t="s">
        <v>91</v>
      </c>
      <c r="F889" s="3" t="s">
        <v>98</v>
      </c>
      <c r="G889" s="3" t="s">
        <v>135</v>
      </c>
      <c r="H889" s="3" t="s">
        <v>217</v>
      </c>
      <c r="I889" s="3">
        <v>6</v>
      </c>
      <c r="J889" s="11">
        <v>65</v>
      </c>
      <c r="K889" s="4">
        <v>0.1</v>
      </c>
      <c r="L889" s="3" t="s">
        <v>95</v>
      </c>
      <c r="M889" s="3">
        <v>35</v>
      </c>
      <c r="N889" s="3">
        <v>6</v>
      </c>
      <c r="O889" s="3">
        <v>4</v>
      </c>
    </row>
    <row r="890" spans="1:15" ht="20" customHeight="1">
      <c r="A890" s="3" t="s">
        <v>1297</v>
      </c>
      <c r="B890" s="2">
        <v>46295</v>
      </c>
      <c r="C890" s="3">
        <v>22</v>
      </c>
      <c r="D890" s="3" t="s">
        <v>1061</v>
      </c>
      <c r="E890" s="3" t="s">
        <v>91</v>
      </c>
      <c r="F890" s="3" t="s">
        <v>98</v>
      </c>
      <c r="G890" s="3" t="s">
        <v>122</v>
      </c>
      <c r="H890" s="3" t="s">
        <v>123</v>
      </c>
      <c r="I890" s="3">
        <v>6</v>
      </c>
      <c r="J890" s="11">
        <v>45</v>
      </c>
      <c r="K890" s="4">
        <v>0</v>
      </c>
      <c r="L890" s="3" t="s">
        <v>95</v>
      </c>
      <c r="M890" s="3">
        <v>32</v>
      </c>
      <c r="N890" s="3">
        <v>12</v>
      </c>
      <c r="O890" s="3">
        <v>4</v>
      </c>
    </row>
    <row r="891" spans="1:15" ht="20" customHeight="1">
      <c r="A891" s="3" t="s">
        <v>1298</v>
      </c>
      <c r="B891" s="2">
        <v>46295</v>
      </c>
      <c r="C891" s="3">
        <v>8</v>
      </c>
      <c r="D891" s="3" t="s">
        <v>265</v>
      </c>
      <c r="E891" s="3" t="s">
        <v>117</v>
      </c>
      <c r="F891" s="3" t="s">
        <v>98</v>
      </c>
      <c r="G891" s="3" t="s">
        <v>93</v>
      </c>
      <c r="H891" s="3" t="s">
        <v>118</v>
      </c>
      <c r="I891" s="3">
        <v>1</v>
      </c>
      <c r="J891" s="11">
        <v>45</v>
      </c>
      <c r="K891" s="4">
        <v>0.05</v>
      </c>
      <c r="L891" s="3" t="s">
        <v>95</v>
      </c>
      <c r="M891" s="3">
        <v>16</v>
      </c>
      <c r="N891" s="3">
        <v>6</v>
      </c>
      <c r="O891" s="3">
        <v>4</v>
      </c>
    </row>
    <row r="892" spans="1:15" ht="20" customHeight="1">
      <c r="A892" s="3" t="s">
        <v>1299</v>
      </c>
      <c r="B892" s="2">
        <v>46295</v>
      </c>
      <c r="C892" s="3">
        <v>21</v>
      </c>
      <c r="D892" s="3" t="s">
        <v>479</v>
      </c>
      <c r="E892" s="3" t="s">
        <v>117</v>
      </c>
      <c r="F892" s="3" t="s">
        <v>98</v>
      </c>
      <c r="G892" s="3" t="s">
        <v>93</v>
      </c>
      <c r="H892" s="3" t="s">
        <v>118</v>
      </c>
      <c r="I892" s="3">
        <v>3</v>
      </c>
      <c r="J892" s="11">
        <v>45</v>
      </c>
      <c r="K892" s="4">
        <v>0</v>
      </c>
      <c r="L892" s="3" t="s">
        <v>95</v>
      </c>
      <c r="M892" s="3">
        <v>12</v>
      </c>
      <c r="N892" s="3">
        <v>10</v>
      </c>
      <c r="O892" s="3">
        <v>4</v>
      </c>
    </row>
    <row r="893" spans="1:15" ht="20" customHeight="1">
      <c r="A893" s="3" t="s">
        <v>1300</v>
      </c>
      <c r="B893" s="2">
        <v>46295</v>
      </c>
      <c r="C893" s="3">
        <v>13</v>
      </c>
      <c r="D893" s="3" t="s">
        <v>1301</v>
      </c>
      <c r="E893" s="3" t="s">
        <v>91</v>
      </c>
      <c r="F893" s="3" t="s">
        <v>121</v>
      </c>
      <c r="G893" s="3" t="s">
        <v>110</v>
      </c>
      <c r="H893" s="3" t="s">
        <v>206</v>
      </c>
      <c r="I893" s="3">
        <v>4</v>
      </c>
      <c r="J893" s="11">
        <v>220</v>
      </c>
      <c r="K893" s="4">
        <v>0</v>
      </c>
      <c r="L893" s="3" t="s">
        <v>101</v>
      </c>
      <c r="M893" s="3"/>
      <c r="N893" s="3"/>
      <c r="O893" s="3"/>
    </row>
    <row r="894" spans="1:15" ht="20" customHeight="1">
      <c r="A894" s="3" t="s">
        <v>1302</v>
      </c>
      <c r="B894" s="2">
        <v>46295</v>
      </c>
      <c r="C894" s="3">
        <v>20</v>
      </c>
      <c r="D894" s="3" t="s">
        <v>780</v>
      </c>
      <c r="E894" s="3" t="s">
        <v>91</v>
      </c>
      <c r="F894" s="3" t="s">
        <v>92</v>
      </c>
      <c r="G894" s="3" t="s">
        <v>110</v>
      </c>
      <c r="H894" s="3" t="s">
        <v>206</v>
      </c>
      <c r="I894" s="3">
        <v>3</v>
      </c>
      <c r="J894" s="11">
        <v>220</v>
      </c>
      <c r="K894" s="4">
        <v>0</v>
      </c>
      <c r="L894" s="3" t="s">
        <v>95</v>
      </c>
      <c r="M894" s="3">
        <v>24</v>
      </c>
      <c r="N894" s="3">
        <v>11</v>
      </c>
      <c r="O894" s="3">
        <v>4</v>
      </c>
    </row>
    <row r="895" spans="1:15" ht="20" customHeight="1">
      <c r="A895" s="3" t="s">
        <v>1303</v>
      </c>
      <c r="B895" s="2">
        <v>46295</v>
      </c>
      <c r="C895" s="3">
        <v>14</v>
      </c>
      <c r="D895" s="3" t="s">
        <v>363</v>
      </c>
      <c r="E895" s="3" t="s">
        <v>91</v>
      </c>
      <c r="F895" s="3" t="s">
        <v>98</v>
      </c>
      <c r="G895" s="3" t="s">
        <v>93</v>
      </c>
      <c r="H895" s="3" t="s">
        <v>118</v>
      </c>
      <c r="I895" s="3">
        <v>1</v>
      </c>
      <c r="J895" s="11">
        <v>45</v>
      </c>
      <c r="K895" s="4">
        <v>0</v>
      </c>
      <c r="L895" s="3" t="s">
        <v>95</v>
      </c>
      <c r="M895" s="3">
        <v>37</v>
      </c>
      <c r="N895" s="3">
        <v>14</v>
      </c>
      <c r="O895" s="3">
        <v>5</v>
      </c>
    </row>
    <row r="896" spans="1:15" ht="20" customHeight="1">
      <c r="A896" s="3" t="s">
        <v>1304</v>
      </c>
      <c r="B896" s="2">
        <v>46295</v>
      </c>
      <c r="C896" s="3">
        <v>19</v>
      </c>
      <c r="D896" s="3" t="s">
        <v>349</v>
      </c>
      <c r="E896" s="3" t="s">
        <v>117</v>
      </c>
      <c r="F896" s="3" t="s">
        <v>139</v>
      </c>
      <c r="G896" s="3" t="s">
        <v>174</v>
      </c>
      <c r="H896" s="3" t="s">
        <v>274</v>
      </c>
      <c r="I896" s="3">
        <v>1</v>
      </c>
      <c r="J896" s="11">
        <v>90</v>
      </c>
      <c r="K896" s="4">
        <v>0</v>
      </c>
      <c r="L896" s="3" t="s">
        <v>95</v>
      </c>
      <c r="M896" s="3">
        <v>32</v>
      </c>
      <c r="N896" s="3">
        <v>10</v>
      </c>
      <c r="O896" s="3">
        <v>4</v>
      </c>
    </row>
    <row r="897" spans="1:15" ht="20" customHeight="1">
      <c r="A897" s="3" t="s">
        <v>1305</v>
      </c>
      <c r="B897" s="2">
        <v>46295</v>
      </c>
      <c r="C897" s="3">
        <v>11</v>
      </c>
      <c r="D897" s="3" t="s">
        <v>103</v>
      </c>
      <c r="E897" s="3" t="s">
        <v>91</v>
      </c>
      <c r="F897" s="3" t="s">
        <v>109</v>
      </c>
      <c r="G897" s="3" t="s">
        <v>122</v>
      </c>
      <c r="H897" s="3" t="s">
        <v>153</v>
      </c>
      <c r="I897" s="3">
        <v>5</v>
      </c>
      <c r="J897" s="11">
        <v>130</v>
      </c>
      <c r="K897" s="4">
        <v>0</v>
      </c>
      <c r="L897" s="3" t="s">
        <v>95</v>
      </c>
      <c r="M897" s="3">
        <v>33</v>
      </c>
      <c r="N897" s="3">
        <v>12</v>
      </c>
      <c r="O897" s="3">
        <v>5</v>
      </c>
    </row>
    <row r="898" spans="1:15" ht="20" customHeight="1">
      <c r="A898" s="3" t="s">
        <v>1306</v>
      </c>
      <c r="B898" s="2">
        <v>46295</v>
      </c>
      <c r="C898" s="3">
        <v>12</v>
      </c>
      <c r="D898" s="3" t="s">
        <v>881</v>
      </c>
      <c r="E898" s="3" t="s">
        <v>91</v>
      </c>
      <c r="F898" s="3" t="s">
        <v>98</v>
      </c>
      <c r="G898" s="3" t="s">
        <v>135</v>
      </c>
      <c r="H898" s="3" t="s">
        <v>136</v>
      </c>
      <c r="I898" s="3">
        <v>3</v>
      </c>
      <c r="J898" s="11">
        <v>40</v>
      </c>
      <c r="K898" s="4">
        <v>0</v>
      </c>
      <c r="L898" s="3" t="s">
        <v>95</v>
      </c>
      <c r="M898" s="3">
        <v>28</v>
      </c>
      <c r="N898" s="3">
        <v>10</v>
      </c>
      <c r="O898" s="3">
        <v>3</v>
      </c>
    </row>
    <row r="899" spans="1:15" ht="20" customHeight="1">
      <c r="A899" s="3" t="s">
        <v>1307</v>
      </c>
      <c r="B899" s="2">
        <v>46295</v>
      </c>
      <c r="C899" s="3">
        <v>13</v>
      </c>
      <c r="D899" s="3" t="s">
        <v>532</v>
      </c>
      <c r="E899" s="3" t="s">
        <v>91</v>
      </c>
      <c r="F899" s="3" t="s">
        <v>109</v>
      </c>
      <c r="G899" s="3" t="s">
        <v>93</v>
      </c>
      <c r="H899" s="3" t="s">
        <v>118</v>
      </c>
      <c r="I899" s="3">
        <v>1</v>
      </c>
      <c r="J899" s="11">
        <v>45</v>
      </c>
      <c r="K899" s="4">
        <v>0.15</v>
      </c>
      <c r="L899" s="3" t="s">
        <v>95</v>
      </c>
      <c r="M899" s="3">
        <v>19</v>
      </c>
      <c r="N899" s="3">
        <v>12</v>
      </c>
      <c r="O899" s="3">
        <v>4</v>
      </c>
    </row>
    <row r="900" spans="1:15" ht="20" customHeight="1">
      <c r="A900" s="3" t="s">
        <v>1308</v>
      </c>
      <c r="B900" s="2">
        <v>46295</v>
      </c>
      <c r="C900" s="3">
        <v>18</v>
      </c>
      <c r="D900" s="3" t="s">
        <v>188</v>
      </c>
      <c r="E900" s="3" t="s">
        <v>117</v>
      </c>
      <c r="F900" s="3" t="s">
        <v>139</v>
      </c>
      <c r="G900" s="3" t="s">
        <v>99</v>
      </c>
      <c r="H900" s="3" t="s">
        <v>104</v>
      </c>
      <c r="I900" s="3">
        <v>6</v>
      </c>
      <c r="J900" s="11">
        <v>240</v>
      </c>
      <c r="K900" s="4">
        <v>0</v>
      </c>
      <c r="L900" s="3" t="s">
        <v>95</v>
      </c>
      <c r="M900" s="3">
        <v>26</v>
      </c>
      <c r="N900" s="3">
        <v>8</v>
      </c>
      <c r="O900" s="3">
        <v>5</v>
      </c>
    </row>
    <row r="901" spans="1:15" ht="20" customHeight="1">
      <c r="A901" s="3" t="s">
        <v>1309</v>
      </c>
      <c r="B901" s="2">
        <v>46295</v>
      </c>
      <c r="C901" s="3">
        <v>23</v>
      </c>
      <c r="D901" s="3" t="s">
        <v>708</v>
      </c>
      <c r="E901" s="3" t="s">
        <v>117</v>
      </c>
      <c r="F901" s="3" t="s">
        <v>98</v>
      </c>
      <c r="G901" s="3" t="s">
        <v>110</v>
      </c>
      <c r="H901" s="3" t="s">
        <v>111</v>
      </c>
      <c r="I901" s="3">
        <v>6</v>
      </c>
      <c r="J901" s="11">
        <v>115</v>
      </c>
      <c r="K901" s="4">
        <v>0.05</v>
      </c>
      <c r="L901" s="3" t="s">
        <v>101</v>
      </c>
      <c r="M901" s="3"/>
      <c r="N901" s="3"/>
      <c r="O901" s="3"/>
    </row>
    <row r="902" spans="1:15" ht="20" customHeight="1">
      <c r="A902" s="3" t="s">
        <v>89</v>
      </c>
      <c r="B902" s="2">
        <v>46266</v>
      </c>
      <c r="C902" s="3">
        <v>13</v>
      </c>
      <c r="D902" s="3" t="s">
        <v>90</v>
      </c>
      <c r="E902" s="3" t="s">
        <v>91</v>
      </c>
      <c r="F902" s="3" t="s">
        <v>1310</v>
      </c>
      <c r="G902" s="3" t="s">
        <v>93</v>
      </c>
      <c r="H902" s="3" t="s">
        <v>94</v>
      </c>
      <c r="I902" s="3">
        <v>3</v>
      </c>
      <c r="J902" s="11">
        <v>95</v>
      </c>
      <c r="K902" s="4">
        <v>0</v>
      </c>
      <c r="L902" s="3" t="s">
        <v>1311</v>
      </c>
      <c r="M902" s="3">
        <v>24</v>
      </c>
      <c r="N902" s="3">
        <v>13</v>
      </c>
      <c r="O902" s="3">
        <v>5</v>
      </c>
    </row>
    <row r="903" spans="1:15" ht="20" customHeight="1">
      <c r="A903" s="3" t="s">
        <v>96</v>
      </c>
      <c r="B903" s="2">
        <v>46266</v>
      </c>
      <c r="C903" s="3">
        <v>16</v>
      </c>
      <c r="D903" s="3" t="s">
        <v>97</v>
      </c>
      <c r="E903" s="3" t="s">
        <v>91</v>
      </c>
      <c r="F903" s="3" t="s">
        <v>98</v>
      </c>
      <c r="G903" s="3" t="s">
        <v>99</v>
      </c>
      <c r="H903" s="3" t="s">
        <v>100</v>
      </c>
      <c r="I903" s="3">
        <v>5</v>
      </c>
      <c r="J903" s="11">
        <v>120</v>
      </c>
      <c r="K903" s="4">
        <v>0.1</v>
      </c>
      <c r="L903" s="3" t="s">
        <v>101</v>
      </c>
      <c r="M903" s="3"/>
      <c r="N903" s="3"/>
      <c r="O903" s="3"/>
    </row>
    <row r="904" spans="1:15" ht="20" customHeight="1">
      <c r="A904" s="3" t="s">
        <v>102</v>
      </c>
      <c r="B904" s="2">
        <v>46266</v>
      </c>
      <c r="C904" s="3">
        <v>18</v>
      </c>
      <c r="D904" s="3" t="s">
        <v>103</v>
      </c>
      <c r="E904" s="3" t="s">
        <v>91</v>
      </c>
      <c r="F904" s="3" t="s">
        <v>92</v>
      </c>
      <c r="G904" s="3" t="s">
        <v>99</v>
      </c>
      <c r="H904" s="3" t="s">
        <v>104</v>
      </c>
      <c r="I904" s="3">
        <v>4</v>
      </c>
      <c r="J904" s="11">
        <v>240</v>
      </c>
      <c r="K904" s="4">
        <v>0</v>
      </c>
      <c r="L904" s="3" t="s">
        <v>95</v>
      </c>
      <c r="M904" s="3">
        <v>30</v>
      </c>
      <c r="N904" s="3">
        <v>9</v>
      </c>
      <c r="O904" s="3">
        <v>5</v>
      </c>
    </row>
    <row r="905" spans="1:15" ht="20" customHeight="1">
      <c r="A905" s="3" t="s">
        <v>105</v>
      </c>
      <c r="B905" s="2">
        <v>46266</v>
      </c>
      <c r="C905" s="3">
        <v>17</v>
      </c>
      <c r="D905" s="3" t="s">
        <v>106</v>
      </c>
      <c r="E905" s="3" t="s">
        <v>91</v>
      </c>
      <c r="F905" s="3" t="s">
        <v>98</v>
      </c>
      <c r="G905" s="3" t="s">
        <v>99</v>
      </c>
      <c r="H905" s="3" t="s">
        <v>104</v>
      </c>
      <c r="I905" s="3">
        <v>2</v>
      </c>
      <c r="J905" s="11">
        <v>240</v>
      </c>
      <c r="K905" s="4">
        <v>0</v>
      </c>
      <c r="L905" s="3" t="s">
        <v>101</v>
      </c>
      <c r="M905" s="3"/>
      <c r="N905" s="3"/>
      <c r="O905" s="3"/>
    </row>
    <row r="906" spans="1:15" ht="20" customHeight="1">
      <c r="A906" s="3" t="s">
        <v>107</v>
      </c>
      <c r="B906" s="2">
        <v>46266</v>
      </c>
      <c r="C906" s="3">
        <v>7</v>
      </c>
      <c r="D906" s="3" t="s">
        <v>108</v>
      </c>
      <c r="E906" s="3" t="s">
        <v>91</v>
      </c>
      <c r="F906" s="3" t="s">
        <v>109</v>
      </c>
      <c r="G906" s="3" t="s">
        <v>110</v>
      </c>
      <c r="H906" s="3" t="s">
        <v>111</v>
      </c>
      <c r="I906" s="3">
        <v>3</v>
      </c>
      <c r="J906" s="11">
        <v>115</v>
      </c>
      <c r="K906" s="4">
        <v>0.15</v>
      </c>
      <c r="L906" s="3" t="s">
        <v>95</v>
      </c>
      <c r="M906" s="3">
        <v>32</v>
      </c>
      <c r="N906" s="3">
        <v>9</v>
      </c>
      <c r="O906" s="3">
        <v>4</v>
      </c>
    </row>
    <row r="907" spans="1:15" ht="20" customHeight="1">
      <c r="A907" s="3" t="s">
        <v>112</v>
      </c>
      <c r="B907" s="2">
        <v>46266</v>
      </c>
      <c r="C907" s="3">
        <v>9</v>
      </c>
      <c r="D907" s="3" t="s">
        <v>113</v>
      </c>
      <c r="E907" s="3" t="s">
        <v>91</v>
      </c>
      <c r="F907" s="3" t="s">
        <v>109</v>
      </c>
      <c r="G907" s="3" t="s">
        <v>110</v>
      </c>
      <c r="H907" s="3" t="s">
        <v>114</v>
      </c>
      <c r="I907" s="3">
        <v>1</v>
      </c>
      <c r="J907" s="11">
        <v>145</v>
      </c>
      <c r="K907" s="4">
        <v>0</v>
      </c>
      <c r="L907" s="3" t="s">
        <v>95</v>
      </c>
      <c r="M907" s="3">
        <v>21</v>
      </c>
      <c r="N907" s="3">
        <v>9</v>
      </c>
      <c r="O907" s="3">
        <v>4</v>
      </c>
    </row>
    <row r="908" spans="1:15" ht="20" customHeight="1">
      <c r="A908" s="3" t="s">
        <v>115</v>
      </c>
      <c r="B908" s="2">
        <v>46266</v>
      </c>
      <c r="C908" s="3">
        <v>18</v>
      </c>
      <c r="D908" s="3" t="s">
        <v>116</v>
      </c>
      <c r="E908" s="3" t="s">
        <v>117</v>
      </c>
      <c r="F908" s="3" t="s">
        <v>98</v>
      </c>
      <c r="G908" s="3" t="s">
        <v>93</v>
      </c>
      <c r="H908" s="3" t="s">
        <v>118</v>
      </c>
      <c r="I908" s="3">
        <v>4</v>
      </c>
      <c r="J908" s="11">
        <v>45</v>
      </c>
      <c r="K908" s="4">
        <v>0.1</v>
      </c>
      <c r="L908" s="3" t="s">
        <v>95</v>
      </c>
      <c r="M908" s="3">
        <v>28</v>
      </c>
      <c r="N908" s="3">
        <v>9</v>
      </c>
      <c r="O908" s="3">
        <v>4</v>
      </c>
    </row>
    <row r="909" spans="1:15" ht="20" customHeight="1">
      <c r="A909" s="3" t="s">
        <v>119</v>
      </c>
      <c r="B909" s="2">
        <v>46266</v>
      </c>
      <c r="C909" s="3">
        <v>21</v>
      </c>
      <c r="D909" s="3" t="s">
        <v>120</v>
      </c>
      <c r="E909" s="3" t="s">
        <v>91</v>
      </c>
      <c r="F909" s="3" t="s">
        <v>121</v>
      </c>
      <c r="G909" s="3" t="s">
        <v>122</v>
      </c>
      <c r="H909" s="3" t="s">
        <v>123</v>
      </c>
      <c r="I909" s="3">
        <v>5</v>
      </c>
      <c r="J909" s="11">
        <v>45</v>
      </c>
      <c r="K909" s="4">
        <v>0</v>
      </c>
      <c r="L909" s="3" t="s">
        <v>95</v>
      </c>
      <c r="M909" s="3">
        <v>24</v>
      </c>
      <c r="N909" s="3">
        <v>12</v>
      </c>
      <c r="O909" s="3">
        <v>4</v>
      </c>
    </row>
    <row r="910" spans="1:15" ht="20" customHeight="1">
      <c r="A910" s="3" t="s">
        <v>124</v>
      </c>
      <c r="B910" s="2">
        <v>46266</v>
      </c>
      <c r="C910" s="3">
        <v>19</v>
      </c>
      <c r="D910" s="3" t="s">
        <v>125</v>
      </c>
      <c r="E910" s="3" t="s">
        <v>91</v>
      </c>
      <c r="F910" s="3" t="s">
        <v>92</v>
      </c>
      <c r="G910" s="3" t="s">
        <v>99</v>
      </c>
      <c r="H910" s="3" t="s">
        <v>100</v>
      </c>
      <c r="I910" s="3">
        <v>1</v>
      </c>
      <c r="J910" s="11">
        <v>120</v>
      </c>
      <c r="K910" s="4">
        <v>0</v>
      </c>
      <c r="L910" s="3" t="s">
        <v>95</v>
      </c>
      <c r="M910" s="3">
        <v>17</v>
      </c>
      <c r="N910" s="3">
        <v>15</v>
      </c>
      <c r="O910" s="3">
        <v>4</v>
      </c>
    </row>
    <row r="911" spans="1:15" ht="20" customHeight="1">
      <c r="A911" s="3" t="s">
        <v>126</v>
      </c>
      <c r="B911" s="2">
        <v>46266</v>
      </c>
      <c r="C911" s="3">
        <v>22</v>
      </c>
      <c r="D911" s="3" t="s">
        <v>127</v>
      </c>
      <c r="E911" s="3" t="s">
        <v>91</v>
      </c>
      <c r="F911" s="3" t="s">
        <v>121</v>
      </c>
      <c r="G911" s="3" t="s">
        <v>93</v>
      </c>
      <c r="H911" s="3" t="s">
        <v>118</v>
      </c>
      <c r="I911" s="3">
        <v>4</v>
      </c>
      <c r="J911" s="11">
        <v>45</v>
      </c>
      <c r="K911" s="4">
        <v>0</v>
      </c>
      <c r="L911" s="3" t="s">
        <v>95</v>
      </c>
      <c r="M911" s="3">
        <v>16</v>
      </c>
      <c r="N911" s="3">
        <v>12</v>
      </c>
      <c r="O911" s="3">
        <v>5</v>
      </c>
    </row>
    <row r="912" spans="1:15" ht="20" customHeight="1">
      <c r="A912" s="3" t="s">
        <v>128</v>
      </c>
      <c r="B912" s="2">
        <v>46266</v>
      </c>
      <c r="C912" s="3">
        <v>20</v>
      </c>
      <c r="D912" s="3" t="s">
        <v>129</v>
      </c>
      <c r="E912" s="3" t="s">
        <v>91</v>
      </c>
      <c r="F912" s="3" t="s">
        <v>98</v>
      </c>
      <c r="G912" s="3" t="s">
        <v>99</v>
      </c>
      <c r="H912" s="3" t="s">
        <v>130</v>
      </c>
      <c r="I912" s="3">
        <v>3</v>
      </c>
      <c r="J912" s="11">
        <v>85</v>
      </c>
      <c r="K912" s="4">
        <v>0</v>
      </c>
      <c r="L912" s="3" t="s">
        <v>95</v>
      </c>
      <c r="M912" s="3">
        <v>34</v>
      </c>
      <c r="N912" s="3">
        <v>8</v>
      </c>
      <c r="O912" s="3">
        <v>5</v>
      </c>
    </row>
    <row r="913" spans="1:15" ht="20" customHeight="1">
      <c r="A913" s="3" t="s">
        <v>131</v>
      </c>
      <c r="B913" s="2">
        <v>46266</v>
      </c>
      <c r="C913" s="3">
        <v>23</v>
      </c>
      <c r="D913" s="3" t="s">
        <v>132</v>
      </c>
      <c r="E913" s="3" t="s">
        <v>91</v>
      </c>
      <c r="F913" s="3" t="s">
        <v>109</v>
      </c>
      <c r="G913" s="3" t="s">
        <v>110</v>
      </c>
      <c r="H913" s="3" t="s">
        <v>111</v>
      </c>
      <c r="I913" s="3">
        <v>2</v>
      </c>
      <c r="J913" s="11">
        <v>115</v>
      </c>
      <c r="K913" s="4">
        <v>0.15</v>
      </c>
      <c r="L913" s="3" t="s">
        <v>95</v>
      </c>
      <c r="M913" s="3">
        <v>22</v>
      </c>
      <c r="N913" s="3">
        <v>6</v>
      </c>
      <c r="O913" s="3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showGridLines="0" workbookViewId="0"/>
  </sheetViews>
  <sheetFormatPr defaultRowHeight="14"/>
  <cols>
    <col min="1" max="1" width="32" customWidth="1"/>
    <col min="2" max="2" width="22" customWidth="1"/>
  </cols>
  <sheetData>
    <row r="1" spans="1:2" ht="28" customHeight="1">
      <c r="A1" s="6" t="s">
        <v>1317</v>
      </c>
      <c r="B1" s="6" t="s">
        <v>1318</v>
      </c>
    </row>
    <row r="2" spans="1:2" ht="22" customHeight="1">
      <c r="A2" s="3" t="s">
        <v>1319</v>
      </c>
      <c r="B2" s="3">
        <f>ROWS(Clean_Data[OrderID])</f>
        <v>900</v>
      </c>
    </row>
    <row r="3" spans="1:2" ht="22" customHeight="1">
      <c r="A3" s="3" t="s">
        <v>1320</v>
      </c>
      <c r="B3" s="2">
        <f>MIN(Clean_Data[OrderDate])</f>
        <v>46266</v>
      </c>
    </row>
    <row r="4" spans="1:2" ht="22" customHeight="1">
      <c r="A4" s="3" t="s">
        <v>1321</v>
      </c>
      <c r="B4" s="2">
        <f>MAX(Clean_Data[OrderDate])</f>
        <v>46295</v>
      </c>
    </row>
    <row r="5" spans="1:2" ht="22" customHeight="1">
      <c r="A5" s="3"/>
      <c r="B5" s="3"/>
    </row>
    <row r="6" spans="1:2" ht="22" customHeight="1">
      <c r="A6" s="3" t="s">
        <v>1322</v>
      </c>
      <c r="B6" s="5">
        <f>SUM(Analysis!B21:B50)-Analysis!B2</f>
        <v>0</v>
      </c>
    </row>
    <row r="7" spans="1:2" ht="22" customHeight="1">
      <c r="A7" s="3" t="s">
        <v>1323</v>
      </c>
      <c r="B7" s="5">
        <f>SUM(Analysis!I2:I7)-Analysis!B2</f>
        <v>0</v>
      </c>
    </row>
    <row r="8" spans="1:2" ht="22" customHeight="1">
      <c r="A8" s="3" t="s">
        <v>1324</v>
      </c>
      <c r="B8" s="5">
        <f>SUM(Analysis!P2:P19)-Analysis!B2</f>
        <v>0</v>
      </c>
    </row>
    <row r="9" spans="1:2" ht="22" customHeight="1">
      <c r="A9" s="3" t="s">
        <v>1325</v>
      </c>
      <c r="B9" s="5">
        <f>SUM(Analysis!X2:X6)-Analysis!B2</f>
        <v>0</v>
      </c>
    </row>
    <row r="10" spans="1:2" ht="22" customHeight="1">
      <c r="A10" s="3" t="s">
        <v>1326</v>
      </c>
      <c r="B10" s="3">
        <f>SUM(Analysis!J56:L62)-Analysis!B3</f>
        <v>0</v>
      </c>
    </row>
    <row r="11" spans="1:2" ht="22" customHeight="1">
      <c r="A11" s="3" t="s">
        <v>1327</v>
      </c>
      <c r="B11" s="3">
        <f>SUM(Analysis!F56:F57)-Analysis!B4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Customers</vt:lpstr>
      <vt:lpstr>Settings</vt:lpstr>
      <vt:lpstr>Clean</vt:lpstr>
      <vt:lpstr>Raw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Kamuni</cp:lastModifiedBy>
  <dcterms:modified xsi:type="dcterms:W3CDTF">2026-10-18T18:48:07Z</dcterms:modified>
</cp:coreProperties>
</file>